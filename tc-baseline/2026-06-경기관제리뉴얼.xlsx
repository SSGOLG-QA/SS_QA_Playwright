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IA" sheetId="2" r:id="rId6"/>
    <sheet state="hidden" name="Sanity" sheetId="3" r:id="rId7"/>
    <sheet state="visible" name="시트15" sheetId="4" r:id="rId8"/>
    <sheet state="visible" name="시트30" sheetId="5" r:id="rId9"/>
    <sheet state="visible" name="HOME" sheetId="6" r:id="rId10"/>
    <sheet state="visible" name="라운드 관리" sheetId="7" r:id="rId11"/>
    <sheet state="visible" name="관제 관리" sheetId="8" r:id="rId12"/>
    <sheet state="visible" name="태블릿 운영 관리" sheetId="9" r:id="rId13"/>
    <sheet state="visible" name="홀맵 관리" sheetId="10" r:id="rId14"/>
    <sheet state="visible" name="코스 운영 관리" sheetId="11" r:id="rId15"/>
    <sheet state="visible" name="경기 진행 관리" sheetId="12" r:id="rId16"/>
    <sheet state="visible" name="캐디 관리" sheetId="13" r:id="rId17"/>
    <sheet state="visible" name="캐디피 관리" sheetId="14" r:id="rId18"/>
    <sheet state="visible" name="배토 관리" sheetId="15" r:id="rId19"/>
    <sheet state="visible" name="식음 관리" sheetId="16" r:id="rId20"/>
    <sheet state="visible" name="고객 평가 관리" sheetId="17" r:id="rId21"/>
    <sheet state="visible" name="계정 관리" sheetId="18" r:id="rId22"/>
    <sheet state="visible" name="나연_권한확인" sheetId="19" r:id="rId23"/>
    <sheet state="visible" name="이슈리스트" sheetId="20" r:id="rId24"/>
    <sheet state="visible" name="Jira_확인시트" sheetId="21" r:id="rId25"/>
    <sheet state="hidden" name="참고" sheetId="22" r:id="rId26"/>
  </sheets>
  <definedNames/>
  <calcPr/>
</workbook>
</file>

<file path=xl/sharedStrings.xml><?xml version="1.0" encoding="utf-8"?>
<sst xmlns="http://schemas.openxmlformats.org/spreadsheetml/2006/main" count="17958" uniqueCount="4783">
  <si>
    <t>[QA] 결과 보고서</t>
  </si>
  <si>
    <t>QA 서버</t>
  </si>
  <si>
    <t>TD</t>
  </si>
  <si>
    <t>최종결과</t>
  </si>
  <si>
    <t>진행중</t>
  </si>
  <si>
    <t xml:space="preserve">* 최종마무리 시 업데이트하여 관리 </t>
  </si>
  <si>
    <t>[QA 정보]</t>
  </si>
  <si>
    <t>구분</t>
  </si>
  <si>
    <t>내용</t>
  </si>
  <si>
    <t>요청서</t>
  </si>
  <si>
    <t>경기관제 리뉴얼 (골프장 어드민)</t>
  </si>
  <si>
    <t>기획서</t>
  </si>
  <si>
    <t>경기관제(클럽어드민) 개선</t>
  </si>
  <si>
    <t>계획서</t>
  </si>
  <si>
    <t>[QA계획] 경기관제 리뉴얼 (골프장 어드민)</t>
  </si>
  <si>
    <t>종료보고서</t>
  </si>
  <si>
    <t>[QA결과] 경기관제 리뉴얼 (골프장 어드민)</t>
  </si>
  <si>
    <t>수행 일정</t>
  </si>
  <si>
    <t>특이사항</t>
  </si>
  <si>
    <t>[테스트 수행 수]</t>
  </si>
  <si>
    <t>defect Link 바로가기</t>
  </si>
  <si>
    <t>테스트 일자</t>
  </si>
  <si>
    <t>진행일</t>
  </si>
  <si>
    <t>예상진척률</t>
  </si>
  <si>
    <t>Fail Rate</t>
  </si>
  <si>
    <t>테스트 환경</t>
  </si>
  <si>
    <t>TD #</t>
  </si>
  <si>
    <t>진행률</t>
  </si>
  <si>
    <t>PASS Rate</t>
  </si>
  <si>
    <t>테스트 전체 수</t>
  </si>
  <si>
    <t xml:space="preserve">테스트 수행 수 </t>
  </si>
  <si>
    <t xml:space="preserve">잔여  수행 수 </t>
  </si>
  <si>
    <t>수행결과</t>
  </si>
  <si>
    <t>PASS</t>
  </si>
  <si>
    <t>FAIL</t>
  </si>
  <si>
    <t>N/A</t>
  </si>
  <si>
    <t>N/T</t>
  </si>
  <si>
    <t>Home</t>
  </si>
  <si>
    <t>라운드 관리</t>
  </si>
  <si>
    <t>관제 관리</t>
  </si>
  <si>
    <t>태블릿 운영 관리</t>
  </si>
  <si>
    <t>홀맵 관리</t>
  </si>
  <si>
    <t>코스 운영 관리</t>
  </si>
  <si>
    <t>경기 진행 관리</t>
  </si>
  <si>
    <t>캐디 관리</t>
  </si>
  <si>
    <t>캐디피 관리</t>
  </si>
  <si>
    <t>배토 관리</t>
  </si>
  <si>
    <t>식음 관리</t>
  </si>
  <si>
    <t>고객 평가 관리</t>
  </si>
  <si>
    <t>계정 관리</t>
  </si>
  <si>
    <t>Total</t>
  </si>
  <si>
    <t>[이슈 처리 현황]</t>
  </si>
  <si>
    <t>이슈 발생율</t>
  </si>
  <si>
    <t>이슈 처리율</t>
  </si>
  <si>
    <t>Total 발생 버그</t>
  </si>
  <si>
    <t>즉시</t>
  </si>
  <si>
    <t>긴급</t>
  </si>
  <si>
    <t>높음</t>
  </si>
  <si>
    <t>보통</t>
  </si>
  <si>
    <t>낮음</t>
  </si>
  <si>
    <t>잔여 이슈</t>
  </si>
  <si>
    <t>할 일</t>
  </si>
  <si>
    <t>진행 중</t>
  </si>
  <si>
    <t>완료 이슈</t>
  </si>
  <si>
    <t>완료</t>
  </si>
  <si>
    <t>중요도별 %</t>
  </si>
  <si>
    <t>* 필요에 따라 이력누적이 필요한경우 자유롭게 아래 영역에 추가하여 사용.</t>
  </si>
  <si>
    <t>No.</t>
  </si>
  <si>
    <t>화면 (진입점 구분)</t>
  </si>
  <si>
    <t>담당자 (TC)</t>
  </si>
  <si>
    <t>완료여부 (TC)</t>
  </si>
  <si>
    <t>담당자 (QA)</t>
  </si>
  <si>
    <t>완료여부 (QA)</t>
  </si>
  <si>
    <t>비고</t>
  </si>
  <si>
    <t>0 depth</t>
  </si>
  <si>
    <t>1 depth</t>
  </si>
  <si>
    <t>2 depth</t>
  </si>
  <si>
    <t>기존 0depth</t>
  </si>
  <si>
    <t>기존 1depth</t>
  </si>
  <si>
    <t>0depth (변경)</t>
  </si>
  <si>
    <t>1depth (변경)</t>
  </si>
  <si>
    <t>기대결과</t>
  </si>
  <si>
    <t>확인 결과</t>
  </si>
  <si>
    <t>대메뉴(0depth)</t>
  </si>
  <si>
    <t>메뉴(1depth)</t>
  </si>
  <si>
    <t>구현여부</t>
  </si>
  <si>
    <t>URL</t>
  </si>
  <si>
    <t>현상</t>
  </si>
  <si>
    <t>기대 결과(문구 변경)</t>
  </si>
  <si>
    <t>분석여부</t>
  </si>
  <si>
    <t>스크립트 작성</t>
  </si>
  <si>
    <t>홈</t>
  </si>
  <si>
    <t>-</t>
  </si>
  <si>
    <t>한지연</t>
  </si>
  <si>
    <t>HOME</t>
  </si>
  <si>
    <t>✎ 변경 메뉴명 변경: HOME → 홈</t>
  </si>
  <si>
    <t>구현</t>
  </si>
  <si>
    <t>https://td17.smartscore.kr/club/page/home</t>
  </si>
  <si>
    <t>대메뉴 존재</t>
  </si>
  <si>
    <t>라운드관리</t>
  </si>
  <si>
    <t>내장 현황</t>
  </si>
  <si>
    <t>(없음-기존 홈 화면 항목)</t>
  </si>
  <si>
    <t>✚ 추가 신규 생성 / 기존 홈화면 항목 편입</t>
  </si>
  <si>
    <t>https://td17.smartscore.kr/club/page/round-visit?cp=1</t>
  </si>
  <si>
    <t>진입 성공</t>
  </si>
  <si>
    <t>내장 통계</t>
  </si>
  <si>
    <t>● 유지 유지 (메뉴명 동일)</t>
  </si>
  <si>
    <t>https://td17.smartscore.kr/club/page/round-visit-statistics?cp=1&amp;searchStartDate=2026-03-03&amp;searchEndDate=2026-06-01</t>
  </si>
  <si>
    <t>전체 라운드</t>
  </si>
  <si>
    <t>● 유지 유지</t>
  </si>
  <si>
    <t>https://td17.smartscore.kr/club/page/round-all</t>
  </si>
  <si>
    <t>전체라운드</t>
  </si>
  <si>
    <t>단체 라운드</t>
  </si>
  <si>
    <t>범위제외</t>
  </si>
  <si>
    <t>https://td17.smartscore.kr/club/page/round-group</t>
  </si>
  <si>
    <t>단체라운드</t>
  </si>
  <si>
    <t>라운드 설정</t>
  </si>
  <si>
    <t>라운드 코스관리</t>
  </si>
  <si>
    <t>✎ 변경 메뉴명 변경: 라운드 코스관리 → 라운드 설정</t>
  </si>
  <si>
    <t>https://td17.smartscore.kr/club/page/round-course</t>
  </si>
  <si>
    <t>카트 관리</t>
  </si>
  <si>
    <t>라이브관리</t>
  </si>
  <si>
    <t>(없음)</t>
  </si>
  <si>
    <t>→ 이동 기존 라이브관리 &gt; 카트관리에서 이동 / 라운드관리로 편입</t>
  </si>
  <si>
    <t>https://td17.smartscore.kr/club/page/cart-all</t>
  </si>
  <si>
    <t>카트관리</t>
  </si>
  <si>
    <t>홀별 정산 관리</t>
  </si>
  <si>
    <t>홀별정산관리</t>
  </si>
  <si>
    <t>→ 이동 기존 라이브관리에서 라운드관리로 이동</t>
  </si>
  <si>
    <t>https://td17.smartscore.kr/club/page/live-hole-calc</t>
  </si>
  <si>
    <t>관제팝업</t>
  </si>
  <si>
    <t>관제관리</t>
  </si>
  <si>
    <t>● 유지 유지 (0depth 띄어쓰기 추가)</t>
  </si>
  <si>
    <t>관제 팝업</t>
  </si>
  <si>
    <t>진입(URL 동일)</t>
  </si>
  <si>
    <t>메시지 기록 조회</t>
  </si>
  <si>
    <t>박경선</t>
  </si>
  <si>
    <t>✎ 변경 메뉴명 변경: 메시지 기록 조회 → 메시지 기기 조회</t>
  </si>
  <si>
    <t>미구현</t>
  </si>
  <si>
    <t>SNB 메뉴 없음/명칭 불일치</t>
  </si>
  <si>
    <t>라이브채팅 공지 조회</t>
  </si>
  <si>
    <t>https://td17.smartscore.kr/club/page/control-live-chat</t>
  </si>
  <si>
    <t>아이콘 관리</t>
  </si>
  <si>
    <t>아이콘 관리 (라이브관리에도 존재)</t>
  </si>
  <si>
    <t>→ 이동 기존 라이브관리 &gt; 아이콘 관리와 통합·이동</t>
  </si>
  <si>
    <t>https://td17.smartscore.kr/club/page/live-icon</t>
  </si>
  <si>
    <t>카트이동경로 확인</t>
  </si>
  <si>
    <t>없음</t>
  </si>
  <si>
    <t>✚ 추가 신규 추가 메뉴</t>
  </si>
  <si>
    <t>https://td17.smartscore.kr/club/page/live-cart-trace</t>
  </si>
  <si>
    <t>태블릿 기능 설정</t>
  </si>
  <si>
    <t>경기진행관리</t>
  </si>
  <si>
    <t>→ 이동 신규 생성 대메뉴 / 기존 라이브관리 &gt; 경기진행관리에서 이동</t>
  </si>
  <si>
    <t>https://td17.smartscore.kr/club/page/live-game</t>
  </si>
  <si>
    <t>메시지 관리</t>
  </si>
  <si>
    <t>메시지관리</t>
  </si>
  <si>
    <t>→ 이동 기존 라이브관리에서 이동</t>
  </si>
  <si>
    <t>https://td17.smartscore.kr/club/page/live-message</t>
  </si>
  <si>
    <t>홀 이벤트 관리</t>
  </si>
  <si>
    <t>홀이벤트관리</t>
  </si>
  <si>
    <t>→ 이동 기존 라이브관리에서 이동 / 메뉴명 변경: 홀이벤트관리 → 홀 이벤트 관리</t>
  </si>
  <si>
    <t>https://td17.smartscore.kr/club/page/live-hole-event</t>
  </si>
  <si>
    <t>홀맵 구역 설정</t>
  </si>
  <si>
    <t>전영신</t>
  </si>
  <si>
    <t>홀맵 구역 관리</t>
  </si>
  <si>
    <t>→ 이동 신규 생성 대메뉴 / 기존 관제관리 &gt; 홀맵 구역 관리에서 분리 이동</t>
  </si>
  <si>
    <t>카트패스 진입여부 설정</t>
  </si>
  <si>
    <t>https://td17.smartscore.kr/club/page/holemap-cart-entrance</t>
  </si>
  <si>
    <t>티샷 유의 거리 설정</t>
  </si>
  <si>
    <t>https://td17.smartscore.kr/club/page/holemap-teeshot-distance</t>
  </si>
  <si>
    <t>홀맵 미리보기</t>
  </si>
  <si>
    <t>https://td17.smartscore.kr/club/page/holemap-preview</t>
  </si>
  <si>
    <t>핀 포지션 관리</t>
  </si>
  <si>
    <t>핀포지션관리</t>
  </si>
  <si>
    <t>→ 이동 기존 관제관리에서 이동 / 메뉴명 변경</t>
  </si>
  <si>
    <t>https://td17.smartscore.kr/club/page/course-analysis-pin-position</t>
  </si>
  <si>
    <t>핀 포지션 변경이력</t>
  </si>
  <si>
    <t>코스분석</t>
  </si>
  <si>
    <t>핀포지션 변경이력</t>
  </si>
  <si>
    <t>→ 이동 기존 코스분석에서 이동 / 메뉴명 변경</t>
  </si>
  <si>
    <t>https://td17.smartscore.kr/club/page/course-analysis-pin-history</t>
  </si>
  <si>
    <t>핀 포지션 분석</t>
  </si>
  <si>
    <t>핀포지션분석</t>
  </si>
  <si>
    <t>https://td17.smartscore.kr/club/page/course-analysis-pin</t>
  </si>
  <si>
    <t>코스 분석</t>
  </si>
  <si>
    <t>→ 이동 기존 코스분석에서 이동</t>
  </si>
  <si>
    <t>https://td17.smartscore.kr/club/page/course-analysis-detail</t>
  </si>
  <si>
    <t>그린 스피드</t>
  </si>
  <si>
    <t>웰컴 메시지</t>
  </si>
  <si>
    <t>그린스피드</t>
  </si>
  <si>
    <t>→ 이동 기존 웰컴 메시지에서 이동 / 메뉴명 변경</t>
  </si>
  <si>
    <t>https://td17.smartscore.kr/club/page/course-analysis-green-speed</t>
  </si>
  <si>
    <t>골프장 소식</t>
  </si>
  <si>
    <t>골프장소식</t>
  </si>
  <si>
    <t>https://td17.smartscore.kr/club/page/course-analysis-club-news</t>
  </si>
  <si>
    <t>진행시간 표준 설정</t>
  </si>
  <si>
    <t>진행시간 표준설정</t>
  </si>
  <si>
    <t>→ 이동 신규 생성 대메뉴 / 기존 관제관리에서 이동</t>
  </si>
  <si>
    <t>https://td17.smartscore.kr/club/page/control-time-standard</t>
  </si>
  <si>
    <t>진행시간 실시간</t>
  </si>
  <si>
    <t>→ 이동 기존 관제관리에서 이동</t>
  </si>
  <si>
    <t>https://td17.smartscore.kr/club/page/control-time-realtime</t>
  </si>
  <si>
    <t>진행시간 조회</t>
  </si>
  <si>
    <t>https://td17.smartscore.kr/club/page/control-time-search</t>
  </si>
  <si>
    <t>진행시간 통계</t>
  </si>
  <si>
    <t>https://td17.smartscore.kr/club/page/control-time-statistics</t>
  </si>
  <si>
    <t>캐디 리스트</t>
  </si>
  <si>
    <t>캐디관리</t>
  </si>
  <si>
    <t>전체캐디</t>
  </si>
  <si>
    <t>✎ 변경 메뉴명 변경: 전체캐디 → 캐디 리스트</t>
  </si>
  <si>
    <t>캐디 등록 관리</t>
  </si>
  <si>
    <t>캐디등록/수정/해지</t>
  </si>
  <si>
    <t>✎ 변경 메뉴명 변경: 캐디등록/수정/해지 → 캐디 등록 관리</t>
  </si>
  <si>
    <t>캐디 등록</t>
  </si>
  <si>
    <t>캐디 실적</t>
  </si>
  <si>
    <t>캐디실적</t>
  </si>
  <si>
    <t>https://td17.smartscore.kr/club/page/caddie-performance</t>
  </si>
  <si>
    <t>캐디 실적 페이지</t>
  </si>
  <si>
    <t>캐디피 설정</t>
  </si>
  <si>
    <t>● 유지 유지 (하위메뉴 포함)</t>
  </si>
  <si>
    <t>SNB 대메뉴 없음/명칭 불일치</t>
  </si>
  <si>
    <t>캐디피 통계</t>
  </si>
  <si>
    <t>캐디피 결제 내역</t>
  </si>
  <si>
    <t>캐디피 결제내역</t>
  </si>
  <si>
    <t>✎ 변경 메뉴명 띄어쓰기 변경</t>
  </si>
  <si>
    <t>캐디 자료/신고서</t>
  </si>
  <si>
    <t>캐디 자료 / 신고서</t>
  </si>
  <si>
    <t>배토 기록 조회</t>
  </si>
  <si>
    <t>강나연</t>
  </si>
  <si>
    <t>배토기록조회</t>
  </si>
  <si>
    <t>→ 이동 신규 생성 대메뉴 / 기존 라운드관리에서 이동</t>
  </si>
  <si>
    <t>https://td17.smartscore.kr/club/page/topdressing-record</t>
  </si>
  <si>
    <t>배토 통계</t>
  </si>
  <si>
    <t>https://td17.smartscore.kr/club/page/topdressing-statistics</t>
  </si>
  <si>
    <t>버전 업데이트</t>
  </si>
  <si>
    <t>식음관리(F&amp;B)</t>
  </si>
  <si>
    <t>✎ 변경 0depth 명칭 변경: 식음관리(F&amp;B) → 식음 관리</t>
  </si>
  <si>
    <t>식음관리</t>
  </si>
  <si>
    <t>대메뉴명 변경 필요</t>
  </si>
  <si>
    <t>그늘집 및 TOS관리</t>
  </si>
  <si>
    <t>그늘집 및 TOS 관리</t>
  </si>
  <si>
    <t>● 유지 유지 (신규 생성 / 기존 그늘집 관리에서 분리)</t>
  </si>
  <si>
    <t>식당 관리</t>
  </si>
  <si>
    <t>식당 관리 (신규 생성)</t>
  </si>
  <si>
    <t>✚ 추가 신규 생성 / 기존 그늘집 관리에서 분리</t>
  </si>
  <si>
    <t>상품 등록 관리</t>
  </si>
  <si>
    <t>상품 등록/관리</t>
  </si>
  <si>
    <t>✎ 변경 메뉴명 변경: 상품 등록/관리 → 상품 등록 관리</t>
  </si>
  <si>
    <t>/' 제외 필요</t>
  </si>
  <si>
    <t>식당·품목 매핑</t>
  </si>
  <si>
    <t>주문 내역 관리</t>
  </si>
  <si>
    <t>통계</t>
  </si>
  <si>
    <t>✎ 변경 메뉴명 변경 / 기존 캐디주문실적·그늘집주문내역 통합 편입</t>
  </si>
  <si>
    <t>캐디 평가</t>
  </si>
  <si>
    <t>캐디평가</t>
  </si>
  <si>
    <t>→ 이동 기존 캐디관리에서 이동 / 대메뉴 신규 생성</t>
  </si>
  <si>
    <t>https://td17.smartscore.kr/club/page/caddie-evaluation</t>
  </si>
  <si>
    <t>띄어쓰기 필요</t>
  </si>
  <si>
    <t>고객 평가</t>
  </si>
  <si>
    <t>✚ 추가 신규 추가 (코스, 식음료 등 키오스크 평가 항목)</t>
  </si>
  <si>
    <t>https://td17.smartscore.kr/club/page/customer-eval-poll</t>
  </si>
  <si>
    <t>캐디 핑가</t>
  </si>
  <si>
    <t>식음료 평가</t>
  </si>
  <si>
    <t>✚ 추가 신규 추가</t>
  </si>
  <si>
    <t>후기 통계</t>
  </si>
  <si>
    <t>후기 리스트</t>
  </si>
  <si>
    <t>골프장 후기</t>
  </si>
  <si>
    <t>→ 이동 기존 골프장 후기에서 이동</t>
  </si>
  <si>
    <t>https://td17.smartscore.kr/club/page/review-list</t>
  </si>
  <si>
    <t>https://td17.smartscore.kr/club/page/review-statistics</t>
  </si>
  <si>
    <t>대회</t>
  </si>
  <si>
    <t>대회관리</t>
  </si>
  <si>
    <t>✚ 추가 신규 추가 대메뉴 및 메뉴</t>
  </si>
  <si>
    <t>https://td17.smartscore.kr/club/page/tournament</t>
  </si>
  <si>
    <t>계정 리스트</t>
  </si>
  <si>
    <t>계정 권한 관리</t>
  </si>
  <si>
    <t>전체 사용자 계정</t>
  </si>
  <si>
    <t>✎ 변경 0depth 명칭 변경: 계정 권한 관리 → 계정 관리 / 메뉴명 변경</t>
  </si>
  <si>
    <t>https://td17.smartscore.kr/club/page/account-user</t>
  </si>
  <si>
    <t>계정 관리인 리스트</t>
  </si>
  <si>
    <t>게시판</t>
  </si>
  <si>
    <t>FAQ</t>
  </si>
  <si>
    <t>(삭제)</t>
  </si>
  <si>
    <t>게시판 &gt; FAQ</t>
  </si>
  <si>
    <t>✖ 삭제 삭제 (하위 메뉴 전체: 사용률 저조 및 장기 미 업데이트)</t>
  </si>
  <si>
    <t>Q&amp;A</t>
  </si>
  <si>
    <t>게시판 &gt; Q&amp;A</t>
  </si>
  <si>
    <t>✖ 삭제 삭제</t>
  </si>
  <si>
    <t>버젼관리</t>
  </si>
  <si>
    <t>게시판 &gt; 버젼관리</t>
  </si>
  <si>
    <t>광고 관리</t>
  </si>
  <si>
    <t>라이브관리 &gt; 광고 관리</t>
  </si>
  <si>
    <t>✖ 삭제 삭제 (클라우드 개별 분화)</t>
  </si>
  <si>
    <t>대기모니터 관리</t>
  </si>
  <si>
    <t>라이브관리 &gt; 대기모니터 관리</t>
  </si>
  <si>
    <t>대기모니터 뷰어</t>
  </si>
  <si>
    <t>라이브관리 &gt; 대기모니터 뷰어</t>
  </si>
  <si>
    <t>블랙박스 관리</t>
  </si>
  <si>
    <t>라이브관리 &gt; 블랙박스 관리</t>
  </si>
  <si>
    <t>공지사항</t>
  </si>
  <si>
    <t>관제관리 &gt; 공지사항</t>
  </si>
  <si>
    <t>✖ 삭제 삭제 (공지사항 기능 이관)</t>
  </si>
  <si>
    <t>내장객관리</t>
  </si>
  <si>
    <t>문자발송내역</t>
  </si>
  <si>
    <t>내장객관리 &gt; 문자발송내역</t>
  </si>
  <si>
    <t>✖ 삭제 삭제 (데이터 마케팅으로 이관)</t>
  </si>
  <si>
    <t>전체 권한 그룹</t>
  </si>
  <si>
    <t>계정 권한 관리 &gt; 전체 권한 그룹</t>
  </si>
  <si>
    <t>✖ 삭제 계정 관리 &gt; 계정 권한 관리로 메뉴 통합</t>
  </si>
  <si>
    <t>복지몰</t>
  </si>
  <si>
    <t>복지몰 회원관리</t>
  </si>
  <si>
    <t>복지몰 &gt; 복지몰 회원관리</t>
  </si>
  <si>
    <t>✖ 삭제 삭제 (미사용)</t>
  </si>
  <si>
    <t>전체카트</t>
  </si>
  <si>
    <t>카트관리 &gt; 전체카트</t>
  </si>
  <si>
    <t>✖ 삭제 상위메뉴 삭제 / 라운드관리 &gt; 카트 관리로 이동</t>
  </si>
  <si>
    <t>웰컴 메시지 (대메뉴)</t>
  </si>
  <si>
    <t>✖ 삭제 대메뉴 삭제 / 하위 메뉴 코스 운영 관리로 이동</t>
  </si>
  <si>
    <t>골프장 후기 (대메뉴)</t>
  </si>
  <si>
    <t>✖ 삭제 대메뉴 삭제 / 하위 메뉴 고객 평가 관리로 이동</t>
  </si>
  <si>
    <t>셀프체크</t>
  </si>
  <si>
    <t>설정</t>
  </si>
  <si>
    <t>셀프체크 &gt; 설정</t>
  </si>
  <si>
    <t>스마트캐디</t>
  </si>
  <si>
    <t>캘린더/매칭관리/캐디관리/클럽정보관리</t>
  </si>
  <si>
    <t>스마트캐디 (전체)</t>
  </si>
  <si>
    <t>코스분석 (대메뉴)</t>
  </si>
  <si>
    <t>✖ 삭제 대메뉴 삭제 / 하위 코스 운영 관리로 통합 이동</t>
  </si>
  <si>
    <t>라이브관리 (대메뉴 잔여)</t>
  </si>
  <si>
    <t>✖ 삭제 대메뉴 내 메뉴 전체 타 메뉴로 이동 후 삭제</t>
  </si>
  <si>
    <t>화면</t>
  </si>
  <si>
    <t>절차</t>
  </si>
  <si>
    <t>확인사항 및 기대결과</t>
  </si>
  <si>
    <t>QA 확인 결과</t>
  </si>
  <si>
    <t>Comment</t>
  </si>
  <si>
    <t>담당자</t>
  </si>
  <si>
    <t>3 depth</t>
  </si>
  <si>
    <t>조인</t>
  </si>
  <si>
    <t>1. 홈 메뉴 선택</t>
  </si>
  <si>
    <t xml:space="preserve">1. 홈 메뉴 진입 
2. 나의 조인 내역 표시 
3. 조인 등록, 조인찾기 버튼 제공 
4. 추천 키워드 등록 기능 제공 
5. 추천 키워드  리스트 제공 </t>
  </si>
  <si>
    <t>나의조인</t>
  </si>
  <si>
    <t>1. 홈 메뉴 선택
2. 나의 조인 확인</t>
  </si>
  <si>
    <t xml:space="preserve">1. 조인 항목 표시 됨 </t>
  </si>
  <si>
    <t>new 뱃지</t>
  </si>
  <si>
    <t xml:space="preserve">1. 홈 메뉴 선택
2. 나의 조인 &gt; 신청자내역, 대화, 신청정보 확인. </t>
  </si>
  <si>
    <t xml:space="preserve">1. 새로운 정보가 있을 때 n 뱃지 표시 </t>
  </si>
  <si>
    <t>부부커플</t>
  </si>
  <si>
    <t>1. 부부 커플 메뉴 선택</t>
  </si>
  <si>
    <t>남남여여</t>
  </si>
  <si>
    <t>스크린</t>
  </si>
  <si>
    <t>1박2일</t>
  </si>
  <si>
    <t>해외동반</t>
  </si>
  <si>
    <t>조인등록</t>
  </si>
  <si>
    <t>조인 수정</t>
  </si>
  <si>
    <t>조인 참여</t>
  </si>
  <si>
    <t>조인찾기</t>
  </si>
  <si>
    <t>키워드 등록</t>
  </si>
  <si>
    <t>키워드 리스트</t>
  </si>
  <si>
    <t>SMARTSCORE 경기관제(클럽어드민) 개선 — Information Architecture</t>
  </si>
  <si>
    <t>대메뉴 (Depth 1)</t>
  </si>
  <si>
    <t>중메뉴 (Depth 2)</t>
  </si>
  <si>
    <t>소메뉴 (Depth 3)</t>
  </si>
  <si>
    <t>주요 기능 / 기획 정의</t>
  </si>
  <si>
    <t>기획서
 정의 여부</t>
  </si>
  <si>
    <t>–</t>
  </si>
  <si>
    <t>공지사항 팝업(최신 공지 제목 표시, 좌/우 화살표로 이전/다음 전환)
 클럽공지 제목 클릭 시 본문 진입
 언어 선택(KR/EN) 셀렉트 칩
 골프장명 표시</t>
  </si>
  <si>
    <t>O</t>
  </si>
  <si>
    <t>공통 상단 포함</t>
  </si>
  <si>
    <t>당일 내장객 현황 조회
 내장객 남/여 구분 표시
 유효 내장객 수 표시</t>
  </si>
  <si>
    <t>기간별 내장 통계 조회
 내보내기(엑셀 다운로드) 기능
 데이터 없음 시 '내역이 없습니다' 표시</t>
  </si>
  <si>
    <t>태블릿 전송 라운드 전체 기록 조회(90일 보관)
 라운드 상세 정보 관리
 사진 팝업(클럽사진 이동/일반사진 이동 알럿)
 스코어카드 레이어팝업
 라운드 상태 Live 시 수정·이름변경·삭제·코스변경·티오프변경 버튼 미노출
 오버타수 변경·총타수 변경 버튼 전환
 라운드 날짜·티오프 시간 변경 팝업
 코스변경 알럿 ('선택하신 코스로 전,후반 코스를 변경합니다.')
 라운드 삭제 알럿
 고객 내장객 사진 1일 보관</t>
  </si>
  <si>
    <t>별도 프로젝트 [단체팀 고도화] 진행 중 — 설명 생략</t>
  </si>
  <si>
    <t>△</t>
  </si>
  <si>
    <t>단체팀 고도화 별도</t>
  </si>
  <si>
    <t>라운드 기준 홀 수 설정(6홀/9홀/18홀 선택)
 초기화·저장 버튼
 홀 난이도 설정(홀별 select박스, 중복 난이도 불가)
 롱기스트·니어리스트 기본 적용 홀 설정
 신페리오 적용 홀 설정(랜덤선택·초기화·저장)
 코스별 롱기/니어 홀 설정</t>
  </si>
  <si>
    <t>기존 메뉴 UI 통합</t>
  </si>
  <si>
    <t>카트 목록 조회(사용구분 필터: 전체/사용/중지, 기본값:사용)
 조회일 선택 시 해당일 운행 카트만 표시
 카트 등록 레이어팝업(기존 펼치기→팝업 변경)
 카트 번호 일괄 생성(최대 4자리, 중복 미생성)
 카트 별 라운드 기록 레이어팝업
  - 기본 조회기간: 과거 30일 / 전년도 이전 조회 불가
  - 순번 내림차순 정렬</t>
  </si>
  <si>
    <t>홀별 정산 기능 설정 토글(태블릿 홀정산 요청 활성화)
 홀별 정산 사유 관리(최대 3개, 기본값: 약친후/부상/천재지변)
 조회일·내장객명·캐디명 기준 홀정산 요청 내역 검색
 내역 없음 처리</t>
  </si>
  <si>
    <t>관제 지도 팝업 — 기존 기능 UI 변경</t>
  </si>
  <si>
    <t>상세 미정의</t>
  </si>
  <si>
    <t>기존 기능 유지 / UI만 데이터마케팅 기준으로 변경
 문구 수정</t>
  </si>
  <si>
    <t>Maintain</t>
  </si>
  <si>
    <t>라이브채팅 공지사항 기록 조회
 1개월 이내 공지사항만 보관</t>
  </si>
  <si>
    <t>아이콘 시인성 향상 사용유무 설정(저장 Btn)
 아이콘관리 사용유무 설정
 코스별 아이콘 색상 설정(대표색상 설정)
 사용중 아이콘 목록 / 초기화 Btn
 그늘집 이미지 추가·홀 위치 설정(코스보기 내 노출)</t>
  </si>
  <si>
    <t>카트 이동 경로 조회 — 상세 기획 미정의</t>
  </si>
  <si>
    <t>X</t>
  </si>
  <si>
    <t>미정의</t>
  </si>
  <si>
    <t>태블릿 운영
 관리</t>
  </si>
  <si>
    <t>경기 진행 설정</t>
  </si>
  <si>
    <t>태블릿 기능 토글 목록:
  - 고객확인서 팝업(라운드 시작 시)
  - 중대재해 확인서
  - 추가 확인서(필수/선택)
  - 드론영상 텍스트 음성 변환
  - 관제 긴급 호출
  - 관제 긴급 메시지
  - 전체 관제화면 보기
  - 날씨 확인
  - 다음 코스 대기 카트 표시(8번홀 진입 시)
  - 그린 팝업
 전체/활성화/비활성화 기능 수 카드 요약 표시
 토글 26.5.7 변경 반영</t>
  </si>
  <si>
    <t>고객 확인서 관리</t>
  </si>
  <si>
    <t>라운드 시작 전 팝업 고객확인서 내용 관리</t>
  </si>
  <si>
    <t>중대재해 확인서</t>
  </si>
  <si>
    <t>2022.01.27 시행 중대재해처벌법 안내 문구 관리
 기존 기능 / UI만 변경</t>
  </si>
  <si>
    <t>추가 확인서</t>
  </si>
  <si>
    <t>추가 확인서 항목 커스터마이징(캐디모드 전용)
 태블릿 서명 전 확인용 노출</t>
  </si>
  <si>
    <t>잠금 모드 설정</t>
  </si>
  <si>
    <t>태블릿 잠금 모드 설정</t>
  </si>
  <si>
    <t>센터 메시지 관리
 기획서 오류로 개발4팀 문의 예정(25.5.11)</t>
  </si>
  <si>
    <t>개발 문의 필요</t>
  </si>
  <si>
    <t>홀 이벤트 설정 관리 — 상세 기획 미정의</t>
  </si>
  <si>
    <t>홀맵구역 표 조회(기존 기능)
 '뒷카트알림' 타이틀 수정
 구역관리 레이어팝업:
  - 코스/홀/파 표시
  - 지도옵션(지도/위성/홀맵/정보 radio, 확대축소)
  - 홀맵 옵션(신규): 등록 홀맵 기준 지형 표시, 확대/축소
  - 위험구역 설정
  - 플레이 영역 설정(OB 설정·PA 설정 — 점으로 선 그리기)
  - 거리표시 지점 설정(신규 — 주황색 점, 거리표시 팝업)
  - 특정위치 알림 설정(초록색 점, 카트패스 선 위)
  - 뒷카트 알림 설정(영역 잡기, 전체면적·총거리 자동계산, 구역추가 팝업)
  - 다음 홀 방향 설정(카트패스 선 위 점 찍기)
  - 경로 위 포인트 등록</t>
  </si>
  <si>
    <t>신규 기능 다수</t>
  </si>
  <si>
    <t>페어웨이 진입 알림 전체 설정(활성화/비활성화)
 코스별 페어웨이 진입 가능여부 설정</t>
  </si>
  <si>
    <t>티샷 유의 거리 설정 — 상세 기획 미정의</t>
  </si>
  <si>
    <t>등록된 홀맵 미리보기 — 상세 기획 미정의</t>
  </si>
  <si>
    <t>코스 운영
 관리</t>
  </si>
  <si>
    <t>핀 포지션 등록·수정·삭제 관리</t>
  </si>
  <si>
    <t>핀 포지션 변경 이력 조회</t>
  </si>
  <si>
    <t>핀 포지션 분석 데이터 조회</t>
  </si>
  <si>
    <t>코스 분석 데이터 조회·관리</t>
  </si>
  <si>
    <t>그린 스피드 입력·조회</t>
  </si>
  <si>
    <t>골프장 소식 등록·관리</t>
  </si>
  <si>
    <t>경기 진행
 관리</t>
  </si>
  <si>
    <t>진행시간 표준값 설정·저장</t>
  </si>
  <si>
    <t>실시간 진행시간 조회</t>
  </si>
  <si>
    <t>기간별 진행시간 조회·검색</t>
  </si>
  <si>
    <t>진행시간 통계 조회·내보내기</t>
  </si>
  <si>
    <t>캐디 현황 조회
 하우스/외부 캐디 비율 차트
 활동/비활동 캐디 비율 차트
 회원/비회원 캐디 비율 차트</t>
  </si>
  <si>
    <t>캐디 등록·수정·삭제 관리</t>
  </si>
  <si>
    <t>캐디별 실적 조회·통계</t>
  </si>
  <si>
    <t>캐디피 금액 설정
 감사팁 결제 여부 설정</t>
  </si>
  <si>
    <t>캐디피 결제 금액 순위 조회
 탭: 전체/태블릿-카드결제/태블릿-현금결제/앱결제 (26.5.7 수정)
 내보내기(엑셀) 기능</t>
  </si>
  <si>
    <t>캐디피 결제 내역 조회·결제 취소
 내보내기(엑셀) 기능</t>
  </si>
  <si>
    <t>캐디 자료·신고서 조회·다운로드</t>
  </si>
  <si>
    <t>배토 기록 조회·검색
 내보내기(엑셀) 기능</t>
  </si>
  <si>
    <t>배토 통계 데이터 조회</t>
  </si>
  <si>
    <t>식음 관리 버전 업데이트 안내 / TOS 전환 설정
 구버전: 기존 TOS 사용으로 설정 변경 안내</t>
  </si>
  <si>
    <t>그늘집·TOS 관리 설정</t>
  </si>
  <si>
    <t>상세 일부 미정의</t>
  </si>
  <si>
    <t>식당 정보 등록·수정·관리</t>
  </si>
  <si>
    <t>식음 상품 등록·수정·삭제</t>
  </si>
  <si>
    <t>식당·품목 매칭</t>
  </si>
  <si>
    <t>식당과 품목 매칭 설정</t>
  </si>
  <si>
    <t>식음 주문 내역 조회·처리</t>
  </si>
  <si>
    <t>고객 평가
 관리</t>
  </si>
  <si>
    <t>캐디 평가 내역 조회·통계</t>
  </si>
  <si>
    <t>코스 및 시설 평가</t>
  </si>
  <si>
    <t>코스·시설 평가 내역 조회</t>
  </si>
  <si>
    <t>고객 후기 목록 조회·관리</t>
  </si>
  <si>
    <t>후기 통계 조회·내보내기</t>
  </si>
  <si>
    <t>계정 목록 조회(총 계정 수 표시)
 비활성화 계정 영구삭제 권고
 내보내기(엑셀) 기능</t>
  </si>
  <si>
    <t>계정 권한 리스트</t>
  </si>
  <si>
    <t>계정별 권한 설정:
  게시판/캐디관리/라운드관리/내장객관리
  라이브관리/코스분석/관제관리/복지몰
  카트관리/골프장후기/웰컴메시지/스마트캐디</t>
  </si>
  <si>
    <t>공통 UI</t>
  </si>
  <si>
    <t>테이블 공통</t>
  </si>
  <si>
    <t>데이터 없음 시 '내역이 없습니다' 표시
 페이지네이션: 데이터 없을 때 숫자 미표시
 코스관리 공통화 적용</t>
  </si>
  <si>
    <t>전체 공통</t>
  </si>
  <si>
    <t>내보내기</t>
  </si>
  <si>
    <t>내보내기 Btn: 현재 조회 결과 테이블 → 엑셀 변환·다운로드</t>
  </si>
  <si>
    <t>언어 선택</t>
  </si>
  <si>
    <t>상단 KR/EN 셀렉트 칩 → 언어 변경 옵션 노출</t>
  </si>
  <si>
    <t>스마트스코어
 지원센터</t>
  </si>
  <si>
    <t>1877-7281 / 평일 9시~18시 표시</t>
  </si>
  <si>
    <t>고정 영역</t>
  </si>
  <si>
    <t>이용 가이드</t>
  </si>
  <si>
    <t>이용 가이드 링크 노출</t>
  </si>
  <si>
    <t>분석여부 = 분석 JSON 존재 / 스크립트 = suite+spec 존재</t>
  </si>
  <si>
    <t>대메뉴</t>
  </si>
  <si>
    <t>1depth</t>
  </si>
  <si>
    <t>분석(Z)</t>
  </si>
  <si>
    <t>스크립트(AA)</t>
  </si>
  <si>
    <t>내장 현황/내장 통계/전체라운드/라운드 설정/카트관리/홀별정산관리</t>
  </si>
  <si>
    <t>X(범위제외)</t>
  </si>
  <si>
    <t>아이콘 관리/라이브채팅 공지 조회/카트이동경로 확인</t>
  </si>
  <si>
    <t>X(빈 화면·미구현 의심)</t>
  </si>
  <si>
    <t>관제 모니터</t>
  </si>
  <si>
    <t>X (신규·범위제외 가능)</t>
  </si>
  <si>
    <t>메시지 관리 / 홀 이벤트 관리</t>
  </si>
  <si>
    <t>X ← 진행</t>
  </si>
  <si>
    <t>홀맵 구역 설정/카트패스 진입여부/티샷 유의 거리/홀맵 미리보기</t>
  </si>
  <si>
    <t>핀 포지션 관리/변경이력/분석, 코스 분석, 그린스피드, 골프장소식</t>
  </si>
  <si>
    <t>진행시간 표준설정/실시간/조회/통계</t>
  </si>
  <si>
    <t>캐디리스트/캐디 등록 관리/캐디 실적</t>
  </si>
  <si>
    <t>캐디피/식음/고객평가/대회/계정 관리</t>
  </si>
  <si>
    <t>(전체)</t>
  </si>
  <si>
    <t>X (분석 미수행)</t>
  </si>
  <si>
    <t>→ "분석 O · 스크립트 X" = 이어서 작업 대상: 20개 (태블릿2 + 홀맵4 + 코스6 + 경기진행4 + 캐디3 + 배토기록1). 메시지 기록 조회·단체라운드는 제외(사유 명시).</t>
  </si>
  <si>
    <t>기능</t>
  </si>
  <si>
    <t>사전 조건</t>
  </si>
  <si>
    <t>예상결과</t>
  </si>
  <si>
    <t>JIRA</t>
  </si>
  <si>
    <t>0 dapth</t>
  </si>
  <si>
    <t>제공정보</t>
  </si>
  <si>
    <t>1. 홈 화면 진입</t>
  </si>
  <si>
    <t>1. 헤더 영역 제공
2. 최신 공지 글 제공
3. 좌측 메뉴 아코디언 모두 접힌 상태로 제공</t>
  </si>
  <si>
    <t>공통 및 메인</t>
  </si>
  <si>
    <t>헤더</t>
  </si>
  <si>
    <t>GNB (공통)</t>
  </si>
  <si>
    <t>1. 홈 진입 후 GNB 영역 확인</t>
  </si>
  <si>
    <t>1. 왼쪽 상단에 타이틀 제공
2. 타이틀 우측에 로그인한 골프장명 제공
 - SMARTSCORE 경기관제 | $골프장명$
3. 언어 선택 드롭다운 박스 제공
4. 프로필 진입(사진) 버튼 제공</t>
  </si>
  <si>
    <t>1. 언어 선택 드롭다운 박스 선택</t>
  </si>
  <si>
    <t>1. 선택 가능 언어 항목 제공되고 선택 시 해당 언어로 변경</t>
  </si>
  <si>
    <t>1. 프로필 버튼 선택</t>
  </si>
  <si>
    <t>1. 마이 페이지 팝업 제공
 - 아이디 / 부서 / 휴대폰 / 이메일
2. 로그아웃 버튼 제공
 - 선택 시 로그아웃 됨</t>
  </si>
  <si>
    <t>https://smartscoretech.atlassian.net/browse/QA-14823</t>
  </si>
  <si>
    <t>클라우드 제공 마이페이지와 상이</t>
  </si>
  <si>
    <t>메인</t>
  </si>
  <si>
    <t>1. 최신 등록 공지글 제공
 - 공지사항 제목 영역 제공
 - 공지사항 본문 영역 제공
2. 공지사항 리스트 제공</t>
  </si>
  <si>
    <t>공지사항 제목</t>
  </si>
  <si>
    <t>1. 공지사항 제목 영역 확인</t>
  </si>
  <si>
    <t>1. 좌/우 이동 버튼 제공
 - 이전/다음 글 존재할 경우 노출
2. 공지글 제목 표시
3. 공지글 작성/수정 최종 일시 제공</t>
  </si>
  <si>
    <t>1. 이전/다음 글 존재</t>
  </si>
  <si>
    <t>1. 공지사항 제목 영역
2. 이전/다음 버튼 선택</t>
  </si>
  <si>
    <t>1. 이전/다음글 제공</t>
  </si>
  <si>
    <t>1. 공지글 수정</t>
  </si>
  <si>
    <t>1. 공지글 작성/수정 일시 영역 확인</t>
  </si>
  <si>
    <t>1. 수정한 최종 일시 제공</t>
  </si>
  <si>
    <t>공지사항본문</t>
  </si>
  <si>
    <t>1. 공지사항 본문 영역 확인</t>
  </si>
  <si>
    <t>1. 최신 등록 공지글 제공
 - 공지글 제목 표시
 - 해당 공지글작성/수정 최종 일시 표시
 - 공지글 본문 제공</t>
  </si>
  <si>
    <t>1. 수정 사항 반영되어 제공
2. 수정한 최종 일시 제공</t>
  </si>
  <si>
    <t>공지사항 리스트</t>
  </si>
  <si>
    <t>1. 공지사항 리스트 확인</t>
  </si>
  <si>
    <t>1. 등록된 공지사항 리스트 제공
 - 공지글 제목 표시
 - 해당 공지글작성/수정 최종 일시 표시</t>
  </si>
  <si>
    <t>1. 공지글 선택</t>
  </si>
  <si>
    <t>1. 선택한 공지글이 공지사항 본문 영역에 제공</t>
  </si>
  <si>
    <t>1. 라운드 관리
2. 내장 현황 선택</t>
  </si>
  <si>
    <t>1. 내장 현황 설명 영역 제공
 - [데이터 마케팅 바로가기] 버튼 노출
 - [도움말] 버튼 노출
2. 내장 현황 테이블 제공
 - [내보내기] 버튼 노출</t>
  </si>
  <si>
    <t>https://smartscoretech.atlassian.net/browse/QA-14828</t>
  </si>
  <si>
    <t>내장 현황 설명</t>
  </si>
  <si>
    <t>1. 내장 현황 설명 확인</t>
  </si>
  <si>
    <t>1. 내장 현황 설명 제공
 - 문구: 골프장에 방문한 일별 내장객수와 스마트스코어 회원수, 출력량, 출력률 등을 확인하고 엑셀로 다운로드할 수 있습니다. 90일 동안의 기록만 확인 가능합니다.
스마트스코어 회원이 어플로 라운드를 전송받는 경우, 해당 회원정보(성별, 연령, 지역)를 골프장에서 타겟마케팅의 목적으로 활용할 수 있습니다. 
내장객에게 스마트스코어 어플을 추천하고, 라운드기록을 전송받을 수 있도록 안내해 주세요.</t>
  </si>
  <si>
    <t>도움말 버튼</t>
  </si>
  <si>
    <t>1. [도움말] 버튼 선택</t>
  </si>
  <si>
    <t>1. 도움말 제공
 - 문구: 스마트스코어가 보유한 전국골프장의 내장/라운드 데이타를 제공하여 골프장의 매출증대에 활용하실 수 있는 서비스를 제공받으실 수 있습니다.</t>
  </si>
  <si>
    <t>데이터 마케팅 바로가기</t>
  </si>
  <si>
    <t>데이터 마케팅 바로가기 버튼</t>
  </si>
  <si>
    <t>1. [데이터 마케팅 바로가기] 버튼 선택</t>
  </si>
  <si>
    <t>1. 데이터 마케팅 화면이 새 탭/창으로 오픈 
2. 현재 내장 현황 화면은 유지</t>
  </si>
  <si>
    <t>테이블</t>
  </si>
  <si>
    <t>1. 테이블 영역 확인</t>
  </si>
  <si>
    <t>1. 내장 현황 테이블 제공
2. 테이블 컬럼
 - 날짜 / 총 내장객 / 내장객 남여 / 유효 내장객 / 기존 SS회원 / 신규 SS회원 / 일일 SS회원 / SS회원 비율 / 출력 횟수 / 출력률</t>
  </si>
  <si>
    <t>https://smartscoretech.atlassian.net/browse/QA-14831</t>
  </si>
  <si>
    <t>정렬 및 조회 기간</t>
  </si>
  <si>
    <t>1. 내장 현황 데이터 90일 이내 존재</t>
  </si>
  <si>
    <t>1. 테이블 영역
2. 날짜 컬럼 및 정렬 순서 확인</t>
  </si>
  <si>
    <t xml:space="preserve">1. 날짜 내림차순(최신순) 정렬
2. 최근 90일 이내 데이터만 표시됨 </t>
  </si>
  <si>
    <t>1. 내장 현황 데이터 90일 이전 존재</t>
  </si>
  <si>
    <t>1. 91일 이전 데이터 미노출</t>
  </si>
  <si>
    <t>총 내장객</t>
  </si>
  <si>
    <t>1. 총 내장객 영역 확인</t>
  </si>
  <si>
    <t>1. 해당일자의 총 내장객 정보 제공
2. 회원 여부 상관 없이 제공</t>
  </si>
  <si>
    <t>로드힐즈에서 확인</t>
  </si>
  <si>
    <t>내장객 남/여</t>
  </si>
  <si>
    <t>1. 당일 남/여 내장객 각 1명 이상 존재</t>
  </si>
  <si>
    <t>1. 내장객 남/여 영역 확인</t>
  </si>
  <si>
    <t>1. 남/여 내장객 수 정상 표시됨 
2. 남+여 합산 = 해당일 총 내장객 수</t>
  </si>
  <si>
    <t>태블릿 성별을 가져옴</t>
  </si>
  <si>
    <t>유효 내장객</t>
  </si>
  <si>
    <t>1. 회원/비회원
 - 18 홀 완료 내장객 존재
 - 18 홀 미완료 내장객 존재</t>
  </si>
  <si>
    <t>1. 유효 내장객 영역 확인</t>
  </si>
  <si>
    <t>1. 18홀 완료한 내장객 수 제공</t>
  </si>
  <si>
    <t>https://smartscoretech.atlassian.net/browse/QA-14844</t>
  </si>
  <si>
    <t>6/2 로드힐즈에서 확인</t>
  </si>
  <si>
    <t>기존 SS회원</t>
  </si>
  <si>
    <t>1. 기존 SS회원 영역 확인</t>
  </si>
  <si>
    <t>1. 기존 스마트스코어 회원 수 제공</t>
  </si>
  <si>
    <t>신규 SS회원</t>
  </si>
  <si>
    <t>1. 신규 SS회원 영역 확인</t>
  </si>
  <si>
    <t>1. 해당일 신규로 스마트스코어 가입한 회원 수 제공</t>
  </si>
  <si>
    <t>일일 SS회원</t>
  </si>
  <si>
    <t>1. 일일 SS회원 영역 확인</t>
  </si>
  <si>
    <t>1. 해당일 기준 기존 스마트스코어 회원 + 신규 스마트스코어 회원 수 제공</t>
  </si>
  <si>
    <t>SS회원 비율</t>
  </si>
  <si>
    <t>1. 유효내장객, 기존SS회원, 신규SS회원 데이터 존재</t>
  </si>
  <si>
    <t>1. SS 회원 비율 영역 확인</t>
  </si>
  <si>
    <t>1. SS회원 비율 = (기존SS회원+신규SS회원)/유효내장객×100</t>
  </si>
  <si>
    <t>반올림?</t>
  </si>
  <si>
    <t>출력 횟수</t>
  </si>
  <si>
    <t>1. 출력 횟수 영역 확인</t>
  </si>
  <si>
    <t>1. 스코어카드 출력 횟수 제공</t>
  </si>
  <si>
    <t>6/2 킹즈락 데이터 확인</t>
  </si>
  <si>
    <t>출력률</t>
  </si>
  <si>
    <t>1. 유효내장객, 출력횟수 데이터 존재</t>
  </si>
  <si>
    <t>1. 출력률 영역 확인</t>
  </si>
  <si>
    <t>1. 출력률 = (출력횟수/유효내장객)×100</t>
  </si>
  <si>
    <t>비노출</t>
  </si>
  <si>
    <t>1. 내장 현황 데이터 1건 이상 존재</t>
  </si>
  <si>
    <t>1. [내보내기] 버튼 선택</t>
  </si>
  <si>
    <t>1. 엑셀 파일 다운로드됨 
2. 파일 내 컬럼 구성이 화면 테이블과 일치함
3. 최근 90일 기록 전체 포함됨</t>
  </si>
  <si>
    <t>관제 어드민 로그인 완료</t>
  </si>
  <si>
    <t>1. 라운드 관리
2. 내장 통계 선택</t>
  </si>
  <si>
    <t>1. 내장 통계 설명 영역 제공
 - [데이터 마케팅 바로가기] 버튼 노출
2. 조회 기간 선택 영역 노출됨
 - [초기화][적용] 버튼 제공
3. 카드 요약 영역 제공
4. 필터 버튼 제공
5. 일별 내장 통계 테이블 영역 제공</t>
  </si>
  <si>
    <t>내장 통계 설명</t>
  </si>
  <si>
    <t>1. 내장 통계 설명 확인</t>
  </si>
  <si>
    <t>1. 내장 통계 설명 제공
 - 문구: 스마트스코어 회원이 내장하여 라운드기록을 전송받는 경우, 골프장에서는 해당 회원의 정보를 활용하여 타겟마케팅이 가능합니다.
 스마트스코어 회원이 라운드기록을 전송받은 데이타에 근거하여 골프장 내장객의 성격과 추이를 확인할 수 있습니다.</t>
  </si>
  <si>
    <t>검색 영역</t>
  </si>
  <si>
    <t>조회기간 기본값</t>
  </si>
  <si>
    <t>1. 조회기간 영역 확인</t>
  </si>
  <si>
    <t>1. 기간 자동 세팅 제공
 - 기본값: 과거 30일 전 ~ 현재일</t>
  </si>
  <si>
    <t>https://smartscoretech.atlassian.net/browse/QA-14840</t>
  </si>
  <si>
    <t>데이터가 있는 날 ~ 오늘 날로 제공</t>
  </si>
  <si>
    <t>조회기간 적용</t>
  </si>
  <si>
    <t>1. 조회기간 영역 선택</t>
  </si>
  <si>
    <t>1. 데이트 피커 제공</t>
  </si>
  <si>
    <t>1. 조회기간 영역
2. 기간 설정
3. [적용] 버튼 선택</t>
  </si>
  <si>
    <t>1. 설정 기간 기준 전체 영역 갱신
 - 요약 카드
 - 일별 내장 통계 테이블</t>
  </si>
  <si>
    <t>조회기간 경계값</t>
  </si>
  <si>
    <t>1. 조회 기간 1년 설정
 - 364일</t>
  </si>
  <si>
    <t>1. 조회 기간 1년 설정
 - 365일</t>
  </si>
  <si>
    <t>1. 조회 기간 1년 초과 설정
 - 366일</t>
  </si>
  <si>
    <t>1. 조회 불가 얼럿 제공
 - 문구: 최대 조회 가능 기간은 1년입니다.</t>
  </si>
  <si>
    <t>https://smartscoretech.atlassian.net/browse/QA-14841</t>
  </si>
  <si>
    <t>오류 메시지 표시?</t>
  </si>
  <si>
    <t>조회 기간 역순</t>
  </si>
  <si>
    <t>1. 조회 기간 역순 설정
 - 시작일 &gt; 종료일</t>
  </si>
  <si>
    <t>1. 날짜 선택 제한 처리됨</t>
  </si>
  <si>
    <t>초기화</t>
  </si>
  <si>
    <t>1. 조회기간 영역
2. 기간 설정
3. [초기화] 버튼 선택</t>
  </si>
  <si>
    <t>1. 설정한 기간이 초기화되어 기본값으로 제공 됨</t>
  </si>
  <si>
    <t>요약카드, 테이블 모두?</t>
  </si>
  <si>
    <t>카드 요약</t>
  </si>
  <si>
    <t>제공 정보</t>
  </si>
  <si>
    <t>1. 카드 요약 영역확인</t>
  </si>
  <si>
    <t>1. 3개 카드 제공
 - 총 스스회원 내장객
 - 일 평균 스스 회원수
 - 남성/여성 비중</t>
  </si>
  <si>
    <t>총 스스 회원 내장객</t>
  </si>
  <si>
    <t>1. 총 스스 회원 내장객 영역 확인</t>
  </si>
  <si>
    <t>1. 조회기간 내 스코어 전송한 스스 회원 합계 표시
 - 타이틀: 총 스스 회원 내장객
 - 서브 라벨: 조회기간 기준 합계</t>
  </si>
  <si>
    <t>스코어 전송을 안한 회원도 포함일수도..</t>
  </si>
  <si>
    <t>1. 조회 기간 내 동일인이 2회 이상 라운드</t>
  </si>
  <si>
    <t>1. 해당 회원은 1명으로 카운팅</t>
  </si>
  <si>
    <t>https://smartscoretech.atlassian.net/browse/QA-14879</t>
  </si>
  <si>
    <t>6/2 로드힐스/한지연으로 확인</t>
  </si>
  <si>
    <t>일평균 스스 회원수</t>
  </si>
  <si>
    <t>1. 일평균 스스 회원수 영역 확인</t>
  </si>
  <si>
    <t>1. 총 스스 회원 내장객 수 ÷ 조회기간 일수 계산값 표시
 - 타이틀: 일평균 스스 회원수
 - 라벨: n일 평균</t>
  </si>
  <si>
    <t>https://smartscoretech.atlassian.net/browse/QA-14849</t>
  </si>
  <si>
    <t>남성/여성 비중</t>
  </si>
  <si>
    <t>1. 남성/여성 비중 영역 확인</t>
  </si>
  <si>
    <t>1. 조회 기간 내 총 스스 회원 내장객의 남성/여성을 비율로 표시
 - 타이틀: 남성/여성 비중
 - 서브라벨: 스스 회원 기준</t>
  </si>
  <si>
    <t>개인앱 성별 가져옴</t>
  </si>
  <si>
    <t>1. 성별 미입력 내장객: Y</t>
  </si>
  <si>
    <t>1. 남성/여성 비중에 반영되지 않음</t>
  </si>
  <si>
    <t>6/2 로드힐스 확인</t>
  </si>
  <si>
    <t>필터 버튼</t>
  </si>
  <si>
    <t>1. 필터 버튼 영역 확인</t>
  </si>
  <si>
    <t>1. 필터 버튼 제공
 - [전체보기] (디폴트)
 - [성별만 보기]
 - [연령별만 보기]</t>
  </si>
  <si>
    <t>[전체보기] 버튼</t>
  </si>
  <si>
    <t>1. [전체보기] 버튼 선택
2. 일별 내장 통계 테이블 확인</t>
  </si>
  <si>
    <t>1. [전체보기] 버튼 기본 활성화 상태
2. 일자, 스스 회원수, 성별(남자/여자/기타), 연령별 컬럼 표시</t>
  </si>
  <si>
    <t>[성별만 보기] 버튼</t>
  </si>
  <si>
    <t>1. [성별만 보기] 버튼 선택
2. 일별 내장 통계 테이블 확인</t>
  </si>
  <si>
    <t>1. [성별만 보기] 버튼 기본 활성화 상태
2. 일자, 스스 회원수, 남자, 여자, 기타 컬럼만 표시</t>
  </si>
  <si>
    <t>[연령별만 보기] 탭 전환 시 컬럼 변경</t>
  </si>
  <si>
    <t>1. [연령별만 보기] 버튼 선택
2. 일별 내장 통계 테이블 확인</t>
  </si>
  <si>
    <t>1. [연령별만 보기] 활성화
2. 일자, 스스 회원수, 연령별 (~10, 11~20, 21~30, 31~40, 41~50, 51~60, 61~70, 71~80, 81~90, 90~, 기타) 컬럼만 표시</t>
  </si>
  <si>
    <t>탭 전환 시 데이터 값 유지 확인</t>
  </si>
  <si>
    <t>1. 조회기간 설정 후 [검색]
 2. [전체보기] 수치 기록
 3. [성별만 보기] → [연령별만 보기] 순 전환</t>
  </si>
  <si>
    <t>1. 탭 전환 시 조회기간·데이터 값 변경 없음
 - 컬럼 표시/숨김만 변경, 재조회 없음</t>
  </si>
  <si>
    <t>일별 내장 통계 테이블</t>
  </si>
  <si>
    <t>테이블 안내 문구 원문 확인</t>
  </si>
  <si>
    <t>1. 테이블 섹션 제목 및 설명 확인</t>
  </si>
  <si>
    <t>1. 타이틀: 일별 내장 통계 테이블
 - 문구: 스스 회원수, 성별, 연령별, 지역별 내장 통계를 일자 기준으로 제공합니다.
 성별, 연령별의 [기타] 값은 스마트스코어 회원 가입 시 미입력한 회원들의 숫자입니다.</t>
  </si>
  <si>
    <t>1. [전체보기] 탭 선택 상태
 - 기본값</t>
  </si>
  <si>
    <t>1. 일별 내장 통계 테이블 확인</t>
  </si>
  <si>
    <t>1. 전체보기 기준 일별 내장 통계 제공
 - 일자, 스스 회원수, 성별, 연령별
 - 성별 하위: 남자, 여자, 기타
 - 연령별 하위: ~10, 11~20, 21~30, 31~40, 41~50, 51~60, 61~70, 71~80, 81~90, 90~, 기타</t>
  </si>
  <si>
    <t>https://smartscoretech.atlassian.net/browse/QA-14863</t>
  </si>
  <si>
    <t>연령&gt;기타 비노출</t>
  </si>
  <si>
    <t>스스 회원 수</t>
  </si>
  <si>
    <t>1. 스스 회원 수 영역 확인</t>
  </si>
  <si>
    <t>1. 조회 기간 내 스마트스코어 회원 내장객 수 제공</t>
  </si>
  <si>
    <t>https://smartscoretech.atlassian.net/browse/QA-14846
https://smartscoretech.atlassian.net/browse/QA-14881</t>
  </si>
  <si>
    <t>재확인 필요</t>
  </si>
  <si>
    <t>성별</t>
  </si>
  <si>
    <t>1. 성별 영역 확인</t>
  </si>
  <si>
    <t>1. 조회 기간 내 총 스스 회원 내장객의 남성/여성/기타 수 제공
 - 기타: 성별 미선택 회원</t>
  </si>
  <si>
    <t>1. 성별 미선택 회원: Y</t>
  </si>
  <si>
    <t>1. 성별 영역
2. 기타 영역 확인</t>
  </si>
  <si>
    <t>1. 성별 미선택 회원이 해당 영역에 카운팅되어 제공</t>
  </si>
  <si>
    <t>https://smartscoretech.atlassian.net/browse/QA-14865</t>
  </si>
  <si>
    <t>1. 성별 영역
2. 남자+여자+기타 회원수 합계 확인</t>
  </si>
  <si>
    <t>1. 남자 + 여자 + 기타 = 해당 일자 스스 회원수와 일치</t>
  </si>
  <si>
    <t>연령별</t>
  </si>
  <si>
    <t>1. 연령별 영역 확인</t>
  </si>
  <si>
    <t>1. 조회 기간 내 연령별 스스 회원 내장객 수 제공
 - 기타: 연령 미설정 회원</t>
  </si>
  <si>
    <t>1. 연령 미설정 회원: Y</t>
  </si>
  <si>
    <t>1. 연령별 영역
2. 기타 영역 확인</t>
  </si>
  <si>
    <t>1. 연령 미설정 회원이 해당 영역에 카운팅되어 제공</t>
  </si>
  <si>
    <t>1. 연령별 영역
2. 전 연령대 합계 확인</t>
  </si>
  <si>
    <t>1. 전 연령대 합계 = 해당 일자 스스 회원수와 일치</t>
  </si>
  <si>
    <t>데이터 미노출 시 문구</t>
  </si>
  <si>
    <t>1. 데이터 없는 기간 설정 후 [검색]
2. 테이블 영역 확인</t>
  </si>
  <si>
    <t>1. 통계 데이터 미노출
 - 문구: 통계 데이터가 없습니다.</t>
  </si>
  <si>
    <t>https://smartscoretech.atlassian.net/browse/QA-14854</t>
  </si>
  <si>
    <t>1. 엑셀 파일 다운로드
2. 파일 내 컬럼 구성이 화면 테이블과 일치함</t>
  </si>
  <si>
    <t>1. 데이터 없는 기간 조회 완료</t>
  </si>
  <si>
    <t>1. 내보내기 동작 되지 않음</t>
  </si>
  <si>
    <t>1. [성별만 보기] 버튼 선택
2. [내보내기] 버튼 선택
3. 다운로드 파일 컬럼 확인</t>
  </si>
  <si>
    <t>1. 일자, 스스 회원수, 남자, 여자, 기타 컬럼 및 해당 통계 데이터만 표시</t>
  </si>
  <si>
    <t>https://smartscoretech.atlassian.net/browse/QA-14856</t>
  </si>
  <si>
    <t>1. [연령별만 보기] 버튼 선택
2. [내보내기] 버튼 선택
3. 다운로드 파일 컬럼 확인</t>
  </si>
  <si>
    <t>1. 일자, 스스 회원수, 연령별 (~10, 11~20, 21~30, 31~40, 41~50, 51~60, 61~70, 71~80, 81~90, 90~, 기타) 컬럼 및 해당 데이터만 표시</t>
  </si>
  <si>
    <t>1. 라운드 관리
2. 전체 라운드 선택</t>
  </si>
  <si>
    <t>1. 전체 라운드 설명 영역 제공
 - 안내 문구 노출
2. 검색 영역 제공
3. 전체라운드 테이블 영역 제공</t>
  </si>
  <si>
    <t>전제 라운드 설명</t>
  </si>
  <si>
    <t>1. 라운드 관리 설명 영역 확인</t>
  </si>
  <si>
    <t xml:space="preserve">1. 안내 문구 제공
 - 문구: 태블릿에서 전송된 골프장의 모든 라운드가 기록되며 라운드 상세정보를 관리할 수 있습니다.  라운드 정보 및 클럽체크, 확인서는 90일간 보관됩니다. 단, 고객촬영으로 촬영한 내장객 사진은 1일간만 보관됩니다. </t>
  </si>
  <si>
    <t>1. 검색 영역 확인</t>
  </si>
  <si>
    <t>1. 조회일 영역 제공
2. 검색어 입력 필드 제공
 - 내장객 / 캐디명 / 디바이스 / 단체팀 / 카트번호
3. [초기화][적용] 버튼 제공</t>
  </si>
  <si>
    <t>조회일</t>
  </si>
  <si>
    <t>1. 조회일 영역 확인</t>
  </si>
  <si>
    <t>1. 조회일 기본값 제공
 - 기본값: 30일 전 ~ 현재일</t>
  </si>
  <si>
    <t>확인 필요</t>
  </si>
  <si>
    <t>조회일 적용</t>
  </si>
  <si>
    <t>1. 조회일 영역 선택</t>
  </si>
  <si>
    <t>1. 조회일 영역
2. 기간 설정
3. [적용] 버튼 선택</t>
  </si>
  <si>
    <t>1. 설정 기간 기준 테이블 데이터 갱신되어 제공</t>
  </si>
  <si>
    <t>조회일 경계값</t>
  </si>
  <si>
    <t>1. 조회일 1년 설정
 - 364일</t>
  </si>
  <si>
    <t>1. 조회일 1년 설정
 - 365일</t>
  </si>
  <si>
    <t>1. 조회일 1년 초과 설정
 - 366일</t>
  </si>
  <si>
    <t>조회일 역순</t>
  </si>
  <si>
    <t>1. 조회일 역순 설정
 - 시작일 &gt; 종료일</t>
  </si>
  <si>
    <t>내장객 검색</t>
  </si>
  <si>
    <t>1. 내장객 검색필드 입력
 2. [적용] 버튼 선택</t>
  </si>
  <si>
    <t>1. 입력값이 포함된 내장객명 행만 테이블에 표시됨</t>
  </si>
  <si>
    <t>현재 2자 이상입력해야 검색 됨
입력제한 없음</t>
  </si>
  <si>
    <t>캐디명 검색</t>
  </si>
  <si>
    <t>1. 캐디명 검색필드 입력
 2. [적용] 버튼 선택</t>
  </si>
  <si>
    <t>1. 입력값이 포함된 캐디명 행만 테이블에 표시됨</t>
  </si>
  <si>
    <t>디바이스 검색</t>
  </si>
  <si>
    <t>1. 디바이스 검색필드 입력
 2. [적용] 버튼 선택</t>
  </si>
  <si>
    <t>1. 입력값이 포함된 디바이스 행만 테이블에 표시됨</t>
  </si>
  <si>
    <t>단체명 검색</t>
  </si>
  <si>
    <t>1. 단체명 검색필드 입력
 2. [적용] 버튼 선택</t>
  </si>
  <si>
    <t>1. 입력값이 포함된 단체명 행만 테이블에 표시됨</t>
  </si>
  <si>
    <t>카트번호 검색</t>
  </si>
  <si>
    <t>1. 카트번호 검색필드 입력
 2. [적용] 버튼 선택</t>
  </si>
  <si>
    <t>1. 입력값이 포함된 카트번호 행만 테이블에 표시됨</t>
  </si>
  <si>
    <t>복합 검색</t>
  </si>
  <si>
    <t>1. 조회일 범위 설정
2. 모든 검색 필드 입력
3. [적용] 버튼 선택</t>
  </si>
  <si>
    <t>1. 조회일 범위 검색 조건이 모두 적용된 결과만 표시됨</t>
  </si>
  <si>
    <t>[초기화] 버튼</t>
  </si>
  <si>
    <t>1. 검색 조건 임의 입력
 2. [초기화] 버튼 선택</t>
  </si>
  <si>
    <t>1. 모든 검색 필드가 기본값으로 초기화됨
 - 조회일: 30일 전 ~ 현재일
 - 나머지 필드: 공란</t>
  </si>
  <si>
    <t>조회기간 확인 필요</t>
  </si>
  <si>
    <t>1. 검색 조건에 없는 검색어</t>
  </si>
  <si>
    <t>1. 검색 결과 없음 문구 노출 
 - 문구: 라운드 기록이 없습니다.</t>
  </si>
  <si>
    <t>1. 전체 라운드 테이블 영역 확인</t>
  </si>
  <si>
    <t>1. 아래 컬럼 정보 제공
 - 순번
 - 날짜&lt;디바이스&gt;
 - 티타임&lt;라운드 번호&gt;
 - 코스
 - 캐디&lt;카트번호&gt;
 - 진행시간
 - 내장객
 - 단체명
 - 스코어 카드
 - 사진
 - 클럽사진
 - 중대재해 확인서
 - 추가 확인서 
 - 카트 확인서
 - 캐디수첩
 - 배터리 잔량
 - 배터리 경고</t>
  </si>
  <si>
    <t>https://smartscoretech.atlassian.net/browse/QA-14868</t>
  </si>
  <si>
    <t>사진/동영상 제공</t>
  </si>
  <si>
    <t>순번</t>
  </si>
  <si>
    <t>1. 순번 컬럼 확인</t>
  </si>
  <si>
    <t>1. 순번이 내림차순(최신순)으로 제공</t>
  </si>
  <si>
    <t>날짜
&lt;디바이스&gt;</t>
  </si>
  <si>
    <t>1. 날짜&lt;디바이스&gt; 컬럼 내용 확인</t>
  </si>
  <si>
    <t>1. 해당 라운드 날짜&lt;디바이스 넘버&gt; 표시</t>
  </si>
  <si>
    <t>티타임
&lt;라운드 번호&gt;</t>
  </si>
  <si>
    <t>1. 티타임&lt;라운드 번호&gt; 컬럼 내용 확인</t>
  </si>
  <si>
    <t>1. 해당 라운드의 티타임&lt;라운드번호&gt; 표시</t>
  </si>
  <si>
    <t>코스</t>
  </si>
  <si>
    <t>1. 코스 컬럼 내용 확인</t>
  </si>
  <si>
    <t>1. 해당 라운드의 코스 정보 제공</t>
  </si>
  <si>
    <t>캐디
&lt;카트번호&gt;</t>
  </si>
  <si>
    <t>1. 캐디&lt;카트번호&gt; 컬럼 내용 확인</t>
  </si>
  <si>
    <t>1. 해당 라운드의 캐디명&lt;카트번호&gt; 제공</t>
  </si>
  <si>
    <t>1. 캐디수첩 작성: Y</t>
  </si>
  <si>
    <t>1. 캐디명이 bold 처리 제공</t>
  </si>
  <si>
    <t>1.카트번호: N</t>
  </si>
  <si>
    <t>1. 카트번호 영역 하이픈 노출</t>
  </si>
  <si>
    <t>내맘대로 씀</t>
  </si>
  <si>
    <t>1. 카트번호 영역 선택</t>
  </si>
  <si>
    <t>1. 드롭다운 박스 제공되고 카트번호 선택/수정 됨</t>
  </si>
  <si>
    <t>진행시간</t>
  </si>
  <si>
    <t>1. 전/후반 라운드 완료</t>
  </si>
  <si>
    <t>1. 진행시간 영역 확인</t>
  </si>
  <si>
    <t>1. 좌측은 코스 시작/종료 시간 표시
 - 전반 코스 시작 시간 ~ 종료 시간
 - 후반 코스 시작 시간 ~ 종료 시간
2. 우측은 시간의 합 표시
 - 전/후반 코스 시간 합
 - 라운딩 중 걸린 전체 시간의 합</t>
  </si>
  <si>
    <t>1. 전/후반 라운드 미완료
 - 전반 코스 진행 중</t>
  </si>
  <si>
    <t>1. 진행 시간 모두 "?" 로 표시</t>
  </si>
  <si>
    <t>1. 전/후반 라운드 미완료
 - 전반 코스 완료 후 후반 코스 진행 중</t>
  </si>
  <si>
    <t>1. 좌측
 - 전반 코스 시작 시간 ~ 종료 시간
 - 후반코스 영역 "?" 로 표시
2. 우측 
 - 전반 코스 시간만 표시 
 - 전체 시간 영역 "?"로 표시</t>
  </si>
  <si>
    <t>1. 진행시간 영역
2. 우측 컬럼 선택</t>
  </si>
  <si>
    <t>1. 전반·후반의 시작/종료 시각을 수정할 수 있는 모달 팝업 제공</t>
  </si>
  <si>
    <t>1. 진행시간 영역
2. 우측 컬럼 선택
3. 시작/종료 시각 입력 후 저장</t>
  </si>
  <si>
    <t>1. 우측 컬럼에 입력한 시각에 따른 진행 시간 노출</t>
  </si>
  <si>
    <t>내장객</t>
  </si>
  <si>
    <t>1. 내장객 영역 확인</t>
  </si>
  <si>
    <t>1. 내장객 이름 제공</t>
  </si>
  <si>
    <t>1. 내장객 컬럼 선택</t>
  </si>
  <si>
    <t>1. 해당 행의 내장객 수정 팝업 노출
 - 내장객 정보 제공 
 - [취소][저장] 버튼 제공(취소 선택 시 해당 팝업 닫힘)</t>
  </si>
  <si>
    <t>1. 내장객 수정 팝업 확인</t>
  </si>
  <si>
    <t>1. 내장객 정보 제공
 - 성명(수정 불가)
 - 성별(남자/여자 선택 드롭다운 박스 제공)
 - 출력(Y/N/A 선택 드롭다운 박스 제공)
 - 전화(뒷자리만 제공, 없을 경우 X
 - 회원이름(스스회원 실명, 비회원 경우 공란
 - 캐디(캐디 선택 드롭다운 박스 제공)</t>
  </si>
  <si>
    <t>https://smartscoretech.atlassian.net/browse/QA-14870</t>
  </si>
  <si>
    <t>1. 내장객 수정 팝업
2. 내장객 정보 수정
3. [저장]</t>
  </si>
  <si>
    <t>1. 변경 정보 저장 됨</t>
  </si>
  <si>
    <t>캐디 정보 변경되지 않음</t>
  </si>
  <si>
    <t>단체명</t>
  </si>
  <si>
    <t>1. 단체명 영역 확인</t>
  </si>
  <si>
    <t>1. 단체명 노출 영역 제공 
 - 단체명이 있는 경우 단체명 제공
 - 단체명이 없을 경우 하이픈(-) 제공
2. [수정] 버튼 제공</t>
  </si>
  <si>
    <t>https://smartscoretech.atlassian.net/browse/QA-14871</t>
  </si>
  <si>
    <t>기획과 상이하게 구현</t>
  </si>
  <si>
    <t>단체명 [수정] 버튼</t>
  </si>
  <si>
    <t>1. 단체명 영역 확인
2. [수정] 버튼 선택</t>
  </si>
  <si>
    <t>1. 단체명 수정 팝업 노출
 - 문구: 선택한 란운드의 단체명을 수정합니다. 저장 시 해당 행의 단체명만 변경됩니다.
 - 날짜, 티타임, 코스, 단제명 입력필드 제공
 - [취소][저장][닫기] 버튼 표시</t>
  </si>
  <si>
    <t>1. 단체명 수정 팝업
2. 단체명 입력</t>
  </si>
  <si>
    <t>1. 100자 까지만 입력 됨</t>
  </si>
  <si>
    <t>단체명 수정</t>
  </si>
  <si>
    <t>1. 단체명: N</t>
  </si>
  <si>
    <t>1. 단체명 수정 팝업
2. 단체명 입력
3. [저장] 버튼 선택</t>
  </si>
  <si>
    <t>1. 해당 팝업 닫히고 단체명 컬럼에 입력한 단체명 노출</t>
  </si>
  <si>
    <t>1. 단체명: Y</t>
  </si>
  <si>
    <t>1. 단체명 수정 팝업
2. 단체명 수정 입력
3. [저장] 버튼 선택</t>
  </si>
  <si>
    <t>1. 해당 팝업 닫히고 단체명 컬럼에 수정한 단체명 노출</t>
  </si>
  <si>
    <t>스코어 카드</t>
  </si>
  <si>
    <t>1. 스코어 카드 영역 확인</t>
  </si>
  <si>
    <t xml:space="preserve">1. 라운드 종료 후 테블릿에서 전체결과 전송한 경우 [스코어] 버튼 노출
2. 라운드 진행중일 경우 [Live] 버튼 노출
 - 스코어 1개 이상 입력 된 상태
3. 라운드 진행중이지만 스코어 입력 전일 경우 [삭제] 버튼 노출 </t>
  </si>
  <si>
    <t>1. 스코어 카드 영역
2. [스코어] 버튼 선택</t>
  </si>
  <si>
    <t>1. 라운드 스코어카드 레이어팝업 호출</t>
  </si>
  <si>
    <t>1. 스코어 카드 영역
2. [Live] 버튼 선택</t>
  </si>
  <si>
    <t>1. 스코어 카드 영역
2. [삭제] 버튼 선택</t>
  </si>
  <si>
    <t>1. 삭제 여부 확인 팝업 노출
 - 문구: 스코어 카드를 삭제하시겠습니까?
2. 확인 시 해당 라운드 삭제</t>
  </si>
  <si>
    <t>라운드 스코어 카드</t>
  </si>
  <si>
    <t>1. [스코어] 버튼 선택</t>
  </si>
  <si>
    <t>1. 라운드 스코어카드 레이어 팝업</t>
  </si>
  <si>
    <t>1. 상단 버튼 영역 제공
2. 골프장 및 라운드 정보 영역 제공
3. 로컬룰 정보 영역 제공
4. 전/후반  코스 스코어 정보 제공
5. 라운드 코스 안내 영역 제공
6. 야디지 정보 영역 제공</t>
  </si>
  <si>
    <t>https://smartscoretech.atlassian.net/browse/QA-14885</t>
  </si>
  <si>
    <t>골프장 및 라운드 정보</t>
  </si>
  <si>
    <t>1. 골프장 및 라운드 정보 영역 확인</t>
  </si>
  <si>
    <r>
      <rPr>
        <rFont val="Arial"/>
        <strike/>
        <color theme="1"/>
      </rPr>
      <t>1. 우측 상단에 기본 정보 / 코스 / 티타임 / 주소 문구 노출</t>
    </r>
    <r>
      <rPr>
        <rFont val="Arial"/>
        <color theme="1"/>
      </rPr>
      <t xml:space="preserve">
2. 해당 클럽 로고 제공
3. 골프장명 제공 
 - 골프장명 (mng &gt; 클럽정보 &gt; 클럽명 연동)
4. 코스정보 제공
 - 플레이한 전/후반 코스 (예: South / East)
5. 티오프 시간 정보 제공 
 - 라운드 일시 기준 (예: 2026-03-30 06:51)
6. 부가정보 제공 
 - 주소 (mng &gt; 클럽정보 &gt; 상세주소)
 - 전화번호 (mng &gt; 클럽정보 &gt; 연락처)
 - 홈페이지 주소 (mng &gt; 클럽정보 &gt; 웹사이트)</t>
    </r>
  </si>
  <si>
    <t>단체 라운드 시 코스 영역에 단체명 표시</t>
  </si>
  <si>
    <t>1. 단체명이 있는 라운드의 스코어카드 팝업 열린 상태</t>
  </si>
  <si>
    <t>1. 단체 라운드 스코어카드
2. 골프장 및 라운드 정보 영역 
3. 코스 영역 확인</t>
  </si>
  <si>
    <t>1. 코스 대신 단체명이 표시됨
 (카드요약 총 6개 표시 목적)</t>
  </si>
  <si>
    <t>기획서 어디에 있지?
클로드에서 추출 됨
QA 시 기능 확인 예정</t>
  </si>
  <si>
    <t>로컬룰</t>
  </si>
  <si>
    <t>1. mng &gt; 클럽정보에 로컬룰 입력된 상태</t>
  </si>
  <si>
    <t>1. 로컬룰 영역 내용 확인</t>
  </si>
  <si>
    <t>1. mng &gt; 클럽정보 &gt; 로컬룰에 입력된 내용이 그대로 제공
2. [로컬룰 요약] 문구 노출</t>
  </si>
  <si>
    <t>전/후반 코스 스코어</t>
  </si>
  <si>
    <t>전/후반 코스 스코어 테이블</t>
  </si>
  <si>
    <t>1. 전/후반 코스 스코어 테이블 확인</t>
  </si>
  <si>
    <t>1. Hole 1~9(OUT), 1~9(IN), 합계 컬럼 표시
2. Par 정보 표시
3. 플레이어 이름(Player) 표시
4. 플레이어별 홀 스코어, OUT/IN/합계 값 표시</t>
  </si>
  <si>
    <t xml:space="preserve"> 라운드 코스 안내</t>
  </si>
  <si>
    <t>라운드 코스 안내</t>
  </si>
  <si>
    <t>1. 라운드 코스 안내 영역 확인</t>
  </si>
  <si>
    <t>1. 플레이한 코스·홀의 야디지 맵(홀맵) 표시됨 (최대 18홀)
2. 우측 상단: '코스 : 코스명(1) → 코스명(2)' 형식으로 표시됨</t>
  </si>
  <si>
    <t>아디지</t>
  </si>
  <si>
    <t>1. 아디지 영역 테이블 확인</t>
  </si>
  <si>
    <t>1. 플레이한 코스/홀의 야디지 정보 제공 
 - PAR / HDCP / Tee별 홀 거리 표시됨
 - 우측 상단: '모든 티 거리는 m 기준' 문구 제공 
2. 구분: PAR, HDCP, Black, Blue, White, Red, Gold, Junior 등
 홀별 1~18 + 합계 컬럼 제공</t>
  </si>
  <si>
    <t>1. 상단 버튼 영역 확인</t>
  </si>
  <si>
    <t>1. 세로/가로 라디오 버튼 제공
2. [인쇄] 버튼 제공
3. [수정] 버튼 제공
4. [이름 변경] 버튼 제공
5. [삭제] 버튼 제공
6. [전후반 스코어 변경] 버튼 제공
7. [코스 변경] 버튼 제공
8. [티오프 변경] 버튼 제공
9. [총타수로 변경] 버튼 제공</t>
  </si>
  <si>
    <t>삭제버튼 위치는 구현된 대로 진행</t>
  </si>
  <si>
    <t>상단 버튼</t>
  </si>
  <si>
    <t>세로/가로 라디오버튼</t>
  </si>
  <si>
    <t>1. 상단 세로/가로 라디오버튼 확인</t>
  </si>
  <si>
    <t>1. 기본값: [세로] 선택 상태
 - 스코어카드가 세로 보기로 표시됨</t>
  </si>
  <si>
    <t>https://smartscoretech.atlassian.net/browse/QA-14890</t>
  </si>
  <si>
    <t>가로 제공</t>
  </si>
  <si>
    <t>1. 스코어카드 팝업 열린 상태 (세로 기본값)</t>
  </si>
  <si>
    <t>1. [가로] 라디오버튼 선택
2. 스코어카드 레이아웃 확인</t>
  </si>
  <si>
    <t>1. 스코어카드가 가로 보기로 전환됨</t>
  </si>
  <si>
    <t>[인쇄] 버튼</t>
  </si>
  <si>
    <t>1. [인쇄] 버튼 선택</t>
  </si>
  <si>
    <t>1. 브라우저 인쇄 미리보기 팝업 호출됨</t>
  </si>
  <si>
    <t>https://smartscoretech.atlassian.net/browse/QA-14907</t>
  </si>
  <si>
    <t>다른 정보 노출</t>
  </si>
  <si>
    <t xml:space="preserve">[수정] 버튼 </t>
  </si>
  <si>
    <t>1. [수정] 버튼 선택</t>
  </si>
  <si>
    <t>1. 전/후반 코스 스코어 필드가 인풋필드로 활성화
2. 상단 버튼 영역에 [수정완료] [취소] 버튼만 노출
3. 전송일시 표시 노출</t>
  </si>
  <si>
    <t>https://smartscoretech.atlassian.net/browse/QA-14886</t>
  </si>
  <si>
    <t>전송일시 표시 비노출
버튼 위치 상이</t>
  </si>
  <si>
    <t>1. 수정 모드 진입 상태 (스코어 필드 활성화)</t>
  </si>
  <si>
    <t>1. 임의 홀 스코어 값 변경
2. [수정완료] 선택</t>
  </si>
  <si>
    <t>1. 변경된 스코어 저장
2. 수정 모드 종료
3. 상단 버튼 원상 복귀</t>
  </si>
  <si>
    <t>1. 임의 홀 스코어 값 변경
2. [취소] 선택</t>
  </si>
  <si>
    <t>1. 수정 내용 미반영
 - 원래 스코어 유지
2. 수정 모드 종료
3. 상단 버튼 원상 복귀</t>
  </si>
  <si>
    <t>[이름변경] 버튼</t>
  </si>
  <si>
    <t>1. [이름변경] 버튼 선택</t>
  </si>
  <si>
    <t>1. 전/후반 코스 스코어 영역 플레이어 이름 필드가 인풋필드 활성화
2. 상단 버튼 영역에 [수정완료] [취소] 버튼만 노출
3. 전송일시 표시 노출</t>
  </si>
  <si>
    <t>전송일시 표시 비노출
버튼 위치 상이
버튼명 상이</t>
  </si>
  <si>
    <t>1. 이름변경 모드 진입 상태</t>
  </si>
  <si>
    <t>1. 플레이어 이름 변경
2. [이름 변경 완료] 버튼 선택</t>
  </si>
  <si>
    <t>1. 수정된 이름 반영됨
2. 수정 모드 종료
3. 상단 버튼 원상 복귀</t>
  </si>
  <si>
    <t>1. 플레이어 이름 변경
2. [취소] 버튼 선택</t>
  </si>
  <si>
    <t>1. 이름 변경 미반영
 - 원래 이름 유지
2. 수정 모드 종료
3. 상단 버튼 원상 복귀</t>
  </si>
  <si>
    <t>[삭제] 버튼</t>
  </si>
  <si>
    <t>1. [삭제] 버튼 선택</t>
  </si>
  <si>
    <t>1. 브라우저 얼럿 호출됨
 - 문구: 라운드를 삭제합니다. 삭제하시겠습니까?
 [확인] [취소] 버튼 표시</t>
  </si>
  <si>
    <t>1. 삭제 얼럿 호출된 상태</t>
  </si>
  <si>
    <t>1. 얼럿에서 [확인] 선택
2. 전체 라운드 테이블 확인</t>
  </si>
  <si>
    <t>1. 라운드 스코어 카드 팝업 닫힘
2. 전체 라운드 테이블에서 해당 라운드 행 삭제됨
 (기존 동일 동작)</t>
  </si>
  <si>
    <t>https://smartscoretech.atlassian.net/browse/QA-14903</t>
  </si>
  <si>
    <t>1. 얼럿에서 [취소] 선택</t>
  </si>
  <si>
    <t>1. 라운드 삭제되지 않고 라운드 스코어카드 팝업 유지됨</t>
  </si>
  <si>
    <t>[전후반 스코어 변경] 버튼</t>
  </si>
  <si>
    <t>1. [전후반 스코어 변경] 버튼 선택</t>
  </si>
  <si>
    <t>1. 브라우저 얼럿 호출됨
 - 문구: 전후반 코스는 유지하면서 전후반의 스코어를 변경합니다. 변경하시겠습니까?
 [확인] [취소] 버튼 표시</t>
  </si>
  <si>
    <t>https://smartscoretech.atlassian.net/browse/QA-14887</t>
  </si>
  <si>
    <t>문구 상이</t>
  </si>
  <si>
    <t>1. 전후반 스코어 변경 얼럿 호출된 상태</t>
  </si>
  <si>
    <t>1. 얼럿에서 [확인] 선택
2. 전/후반 코스 스코어 테이블 확인</t>
  </si>
  <si>
    <t>1. 전후반 코스는 유지된 채 전반↔후반 스코어가 교체됨 (기존 동일 동작)</t>
  </si>
  <si>
    <t>https://smartscoretech.atlassian.net/browse/QA-14888</t>
  </si>
  <si>
    <t>교체되지 않음</t>
  </si>
  <si>
    <t>1. 얼럿에서 [취소] 선택
2. 전/후반 코스 스코어 테이블 확인</t>
  </si>
  <si>
    <t>1. 전/후반 코스 스코어 테이블 유지</t>
  </si>
  <si>
    <t>[코스 변경] 버튼</t>
  </si>
  <si>
    <t>1. [코스 변경] 버튼 선택</t>
  </si>
  <si>
    <t>1. 코스 변경 팝업 제공
 - 문구: 플레이어가 플레이한 전/후반 코스를 다른 코스로 변경합니다.
2. 전반코스* 선택 드롭다운 박스 제공
 - 기존 코스 정보 노출(디폴트)
3. 후반코스* 선택 드롭다운 박스 제공
 - 기존 코스 정보 노출(디폴트)
4. [취소] [저장] 버튼 표시</t>
  </si>
  <si>
    <t>https://smartscoretech.atlassian.net/browse/QA-14894
https://smartscoretech.atlassian.net/browse/QA-14901</t>
  </si>
  <si>
    <t>out/in 으로 제공
안내문구 비제공</t>
  </si>
  <si>
    <t>1. 코스 변경 팝업 열린 상태</t>
  </si>
  <si>
    <t>1. 전반코스 / 후반코스 선택
 2. [저장] 선택</t>
  </si>
  <si>
    <t>1. 얼럿 노출 
 - 문구: 선택하신 코스로 전,후반 코스를 변경합니다. 진행하시겠습니까?
 [확인] [취소] 버튼 표시</t>
  </si>
  <si>
    <t>https://smartscoretech.atlassian.net/browse/QA-14900</t>
  </si>
  <si>
    <t>1. 얼럿에서 [확인] 선택</t>
  </si>
  <si>
    <t>1. 코스 변경 팝업 닫힘
2. 해당 라운드 전/후반 코스 변경 적용됨
 (기존 동일 동작)</t>
  </si>
  <si>
    <t>1. 코스 변경 팝업 닫힘
2. 해당 라운드 전/후반 코스 유지</t>
  </si>
  <si>
    <t>[티오프 변경] 버튼</t>
  </si>
  <si>
    <t>1. [티오프 변경] 버튼 선택</t>
  </si>
  <si>
    <t>1. 티오프 변경 팝업 제공
 - 문구: 플레이어가 플레이한 라운드의 티오프 시간을 변경합니다.
2. 라운드 날짜 * (필수): 날짜 입력 필드
 - 기존 라운드 날짜 정보 노출(디폴트)
3. 티오프 시간 * (필수): 시간 입력 필드
 - 기존 라운드 티오프 시간 정보 노출(디폴트)
4. [취소] [저장] 버튼 표시</t>
  </si>
  <si>
    <t>https://smartscoretech.atlassian.net/browse/QA-14901</t>
  </si>
  <si>
    <t>안내문구 비제공</t>
  </si>
  <si>
    <t>1. 티오프 변경 팝업 열린 상태</t>
  </si>
  <si>
    <t>1. 라운드 날짜 영역 선택</t>
  </si>
  <si>
    <t>1. 데이트 피커 노출되고 선택 가능</t>
  </si>
  <si>
    <t>1. 티오프 시간 영역 선택</t>
  </si>
  <si>
    <t>1. 타임 피커 노출 되고 선택 가능</t>
  </si>
  <si>
    <t>1. 라운드 날짜 및 티오프 시간 변경
2. [저장] 선택</t>
  </si>
  <si>
    <t>1. 얼럿 호출됨: 정말 변경합니까?
 [확인] [취소] 버튼 표시</t>
  </si>
  <si>
    <t>컨펌팝업 비노출</t>
  </si>
  <si>
    <t>1. 티오프 변경 팝업 닫힘
2. 라운드 날짜 / 티오프 시간 변경 적용됨
 - 골프장 및 라운드 정보의 티오프 시간 갱신됨 (기존 동일 동작)</t>
  </si>
  <si>
    <t>1. 티오프 변경 팝업 닫힘
2. 라운드 날짜 / 티오프 시간 유지</t>
  </si>
  <si>
    <t>[오버타수/총타수로 변경] 버튼</t>
  </si>
  <si>
    <t>1. [오버타수로 변경] 버튼 선택</t>
  </si>
  <si>
    <r>
      <rPr>
        <rFont val="Arial"/>
        <color theme="1"/>
      </rPr>
      <t xml:space="preserve">1. 브라우저 얼럿 호출됨
 - 문구: 오버타수 보기로 변경하시겠습니까? </t>
    </r>
    <r>
      <rPr>
        <rFont val="Arial"/>
        <strike/>
        <color theme="1"/>
      </rPr>
      <t>(스코어카드 출력 시에도 적용됩니다.)</t>
    </r>
    <r>
      <rPr>
        <rFont val="Arial"/>
        <color theme="1"/>
      </rPr>
      <t xml:space="preserve">
 [확인] [취소] 버튼 표시</t>
    </r>
  </si>
  <si>
    <t>1. 오버타수 변경 얼럿 호출된 상태</t>
  </si>
  <si>
    <t>1. 전/후반 코스 스코어의 홀별 점수가 오버타수로 변경
2. 상단에 [총타수로 변경] 버튼으로 변경 (기존 기능 동일)</t>
  </si>
  <si>
    <t>1. 전/후반 코스 스코어의 홀별 점수가 총타수 표시로 유지
2. 상단에 [오버타수 변경] 버튼 유지</t>
  </si>
  <si>
    <t>1. 스코어카드 팝업 오버타수 표시 상태</t>
  </si>
  <si>
    <t>1. [총타수로 변경] 버튼 선택</t>
  </si>
  <si>
    <r>
      <rPr>
        <rFont val="Arial"/>
        <color theme="1"/>
      </rPr>
      <t xml:space="preserve">1. 브라우저 얼럿 호출됨
 - 문구: 총타수 보기로 변경하시겠습니까? </t>
    </r>
    <r>
      <rPr>
        <rFont val="Arial"/>
        <strike/>
        <color theme="1"/>
      </rPr>
      <t>(스코어카드 출력시에도 적용됩니다)</t>
    </r>
    <r>
      <rPr>
        <rFont val="Arial"/>
        <color theme="1"/>
      </rPr>
      <t xml:space="preserve">
 [확인] [취소] 버튼 표시</t>
    </r>
  </si>
  <si>
    <t>1. 총타수로 변경 얼럿 호출된 상태</t>
  </si>
  <si>
    <t>1. 전/후반 코스 스코어의 홀별 점수가 총타수로 변경
2. 상단에 [오버타수로 변경] 버튼으로 변경 (기존 기능 동일)</t>
  </si>
  <si>
    <t>1. 전/후반 코스 스코어의 홀별 점수가 오버타수로 유지
2. 상단에 [총타수로 변경] 버튼 유지</t>
  </si>
  <si>
    <t>[Live] 라운드 스코어카드 상단버튼</t>
  </si>
  <si>
    <t>1. [Live] 버튼 선택</t>
  </si>
  <si>
    <t>1. 라운드 스코어카드 레이어 팝업
2. 상단 버튼 영역 확인</t>
  </si>
  <si>
    <t>1. 세로/가로 라디오버튼, [인쇄], [총타수로 변경], [라운드 완료처리] 버튼만 노출</t>
  </si>
  <si>
    <t>라운드 스코어 카드_Live</t>
  </si>
  <si>
    <t>세로/가로</t>
  </si>
  <si>
    <t>1. 세로/가로 버튼 선택</t>
  </si>
  <si>
    <t>1. 선택한 방향으로 제공</t>
  </si>
  <si>
    <t>인쇄</t>
  </si>
  <si>
    <t>최타수/오버타수 변경</t>
  </si>
  <si>
    <t>1. [총타수로 변경]/[오버타수로 변경] 버튼 선택</t>
  </si>
  <si>
    <t>1. 선택한 Mode로 타수 제공</t>
  </si>
  <si>
    <t>라운드 완료처리</t>
  </si>
  <si>
    <t>1. [라운드 완료처리] 버튼 선택</t>
  </si>
  <si>
    <t>1. 알림 팝업 제공
 - 문구: 선택하신 라운딩의 상태를 라이브에서 완료로 변경합니다. 스코어가 일부만 입력된 경우 전체 스코어 통계에 영향이 있을 수 있습니다. 진행하시겠습니까?
[취소][확인]</t>
  </si>
  <si>
    <t>1. 팝업에서 [확인] 선택</t>
  </si>
  <si>
    <t>1. 라운드 미완료로 완료처리 됨</t>
  </si>
  <si>
    <t>1. 팝업에서 [취소] 선택</t>
  </si>
  <si>
    <t>1. 라운드 유지
2. 팝업만 닫힘</t>
  </si>
  <si>
    <t>전체라운드 리프레시</t>
  </si>
  <si>
    <t>1. 스코어카드 팝업 내 수정 또는 삭제 작업 후 얼럿 [확인] 선택 완료 상태</t>
  </si>
  <si>
    <t>1. 전체 라운드 테이블 확인</t>
  </si>
  <si>
    <t>1. 전체 라운드 테이블 리프레시됨 (최신 데이터 반영)
 (기존 동일)</t>
  </si>
  <si>
    <t>사진</t>
  </si>
  <si>
    <t>1. 태블릿에서 사진 촬영:Y 
2. 전체 스코어 전송 완료</t>
  </si>
  <si>
    <t>1. 사진 컬럼 영역 확인</t>
  </si>
  <si>
    <t>1. [보기] 버튼 제공
 - 사전조건 미충족 시 버튼 미노출</t>
  </si>
  <si>
    <t>1. [보기] 버튼 선택</t>
  </si>
  <si>
    <t>1. 사진 팝업 노출
 - 문구: 태블릿에서 [고객 촬영]한 사진들이 나타납니다.
2. 사진 썸네일 제공
 - [클럽사진으로 이동] 버튼 표시
 - 촬영 일시 표시
3. [닫기] 버튼 제공
 - 선택 시 해당 팝업 닫힘</t>
  </si>
  <si>
    <t>클럽사진이 없으면 클럽사진으로 이동 버튼이 안뜨나?</t>
  </si>
  <si>
    <t>사진 팝업</t>
  </si>
  <si>
    <t>확대</t>
  </si>
  <si>
    <t>1. 사진 팝업
2. 사진 선택</t>
  </si>
  <si>
    <t>1. 확대 사진 제공</t>
  </si>
  <si>
    <t>[클럽사진으로 이동] 버튼</t>
  </si>
  <si>
    <t>1. 사진 팝업
2. [클럽사진으로 이동] 버튼 선택</t>
  </si>
  <si>
    <t>1. 클럽사진 팝업 노출
 - 문구: 테블릿에서 [클럽 촬영] 또는 [클럽 체크] 한 사진들이 나타납니다.
2. 사진 썸네일 제공
 - [사진으로 이동] 버튼 표시
 - 촬영 일시 표시</t>
  </si>
  <si>
    <t>클럽사진</t>
  </si>
  <si>
    <t>1. 태블릿에서 클럽 사진 촬영: Y
2. 전체 스코어 전송 완료</t>
  </si>
  <si>
    <t>1. 클럽사진 클럼 영역 확인</t>
  </si>
  <si>
    <t>1. 클럽사진 팝업 노출
 - 문구: 테블릿에서 [클럽 촬영] 또는 [클럽 체크] 한 사진들이 나타납니다.
2. 사진 썸네일 제공
 - [사진으로 이동] 버튼 표시
 - 촬영 일시 표시
3. [닫기] 버튼 제공
 - 선택 시 해당 팝업 닫힘</t>
  </si>
  <si>
    <t>클럽 사진</t>
  </si>
  <si>
    <t>클럽사진 팝업</t>
  </si>
  <si>
    <t>1. 클럽사진 팝업
2. 사진 선택</t>
  </si>
  <si>
    <t>[사진으로 이동] 버튼</t>
  </si>
  <si>
    <t>1. 클럽사진 팝업
2. [사진으로 이동] 버튼 선택</t>
  </si>
  <si>
    <t>1. 사진 팝업 노출
 - 문구: 태블릿에서 [고객 촬영]한 사진들이 나타납니다.
2. 사진 썸네일 제공
 - [클럽사진으로 이동] 버튼 표시
 - 촬영 일시 표시</t>
  </si>
  <si>
    <t>1. 태블릿에서 중대재해 작성: Y
2. 전체 스코어 전송 완료</t>
  </si>
  <si>
    <t>1. 중대재해 확인서 영역 확인</t>
  </si>
  <si>
    <t>1. [확인서] 버튼 제공
 - 사전조건 미충족 시 버튼 미노출</t>
  </si>
  <si>
    <t>1. [확인서] 버튼 선택</t>
  </si>
  <si>
    <t>1. 중대재해 확인서 팝업 노출됨
 - 문구: 태블릿에서 [중대재해 확인서] 에 서명한 내역이 나타납니다.
2. 중대재해 확인서 이미지 제공
3. [닫기] 버튼 제공
 - 선택 시 팝업 닫힘</t>
  </si>
  <si>
    <t>1. 태블릿에서 추가 확인서 작성: Y
2. 전체 스코어 전송 완료</t>
  </si>
  <si>
    <t>1. 추가 확인서 영역 확인</t>
  </si>
  <si>
    <t>1. 추가 확인서 팝업 노출됨
 - 문구: 태블릿에서 [추가 확인서] 에 서명한 내역이 나타납니다.
2. 추가 확인서 이미지 제공
3. [닫기] 버튼 제공
 - 선택 시 팝업 닫힘</t>
  </si>
  <si>
    <t>카트 확인서</t>
  </si>
  <si>
    <t>1. 태블릿에서 카트 확인서 작성: Y
2. 전체 스코어 전송 완료</t>
  </si>
  <si>
    <t>1. 카트 확인서 영역 확인</t>
  </si>
  <si>
    <t>1. 카트 확인서 팝업 노출됨
 - 문구: 태블릿에서 [추가 확인서] 에 서명한 내역이 나타납니다.
2. 카트 확인서 이미지 제공
3. [닫기] 버튼 제공
 - 선택 시 팝업 닫힘</t>
  </si>
  <si>
    <t>캐디수첩</t>
  </si>
  <si>
    <t>1. 태블릿에서 캐디수첩 작성: Y
2. 전체 스코어 전송 완료</t>
  </si>
  <si>
    <t>1. 캐디수첩 영역 확인</t>
  </si>
  <si>
    <t>1. [수첩] 버튼 제공
 - 사전조건 미충족 시 버튼 미노출</t>
  </si>
  <si>
    <t>1. [수첩] 버튼 선택</t>
  </si>
  <si>
    <t>1. 캐디수첩 팝업 노출됨
 - 문구: 태블릿에서 [캐디수첩] 에 서명한 내역이 나타납니다.
2. 캐디수첩 이미지 제공
3. [닫기] 버튼 제공
 - 선택 시 팝업 닫힘</t>
  </si>
  <si>
    <t>배터리 잔량</t>
  </si>
  <si>
    <t>1. 라운드 진행 중</t>
  </si>
  <si>
    <t>1. 배터리 잔량 영역 확인</t>
  </si>
  <si>
    <t>1. 현재 배터리 잔량 버튼 노출</t>
  </si>
  <si>
    <t>1. 전체 스코어 전송 완료</t>
  </si>
  <si>
    <t>1. 공란 노출</t>
  </si>
  <si>
    <t>배터리 잔량 버튼 선택</t>
  </si>
  <si>
    <t>1. [n%] 버튼 선택</t>
  </si>
  <si>
    <t>1. 모달 팝업 노출
 - 티타임
 - 코스
 - 태블릿 넘버 
 - 진행 홀 수 n홀
 - 남은 홀 수 18-n홀</t>
  </si>
  <si>
    <t>배터리 경고</t>
  </si>
  <si>
    <t>1. 배터리 경고 영역 확인</t>
  </si>
  <si>
    <t>1. [보내기] 버튼 제공
 - 사전조건 미충족 시 버튼 미노출</t>
  </si>
  <si>
    <t>1. [보내기] 버튼 선택</t>
  </si>
  <si>
    <t>1. 태블릿 선택 팝업 노출 
 - 문구: 메세지를 보낼 태블릿을 선택해주세요
2. 캐디 정보, 테블릿 넘버 제공
3. [취소][보내기] 버튼 제공
 - 취소 버튼 선택 시 해당 팝업 닫힘</t>
  </si>
  <si>
    <t>1. 태블릿 선택 팝업
2. 캐디 선택
3. [보내기] 버튼 선택</t>
  </si>
  <si>
    <t>1. 해당 태블릿에 알림 발송
 -문구: 태블릿 잔여 배터리가 n%입니다. 
  미리 확인해주세요.</t>
  </si>
  <si>
    <t>기준 홀 수 미충족 라운드 전체라운드 취소선 처리</t>
  </si>
  <si>
    <t>1. 라운드 기준 홀 수: 9홀 저장 상태
 - 경로:라운드 관리 &gt; 라운드 설정
2. 스코어 미완성(예: 5홀만 입력) 라운드 전송 상태</t>
  </si>
  <si>
    <t>1. 스코어 미충족 라운드 행 표시 확인</t>
  </si>
  <si>
    <t>1. 스코어 미충족 라운드 행이 취소선으로 표시됨</t>
  </si>
  <si>
    <t>순번 글씨 색 빨간색</t>
  </si>
  <si>
    <t>기능 확인 필요</t>
  </si>
  <si>
    <t>기획서에 정의 없으나 기구현</t>
  </si>
  <si>
    <t>1. 라운드 관리
2. 라운드 설정 선택</t>
  </si>
  <si>
    <t>1. 라운드 설정 안내 문구 제공
 - 문구: 코스별 롱기스트, 니어리스트, 스테리오 적용 홀을 설정하고 라운드 기준 홀 수 및 홀 난이도를 관리할 수 있습니다. 운영 정책에 맞게 라운드 기본값을 미리 설정해 두면 대회/이벤트 생성 시 동일한 기준으로 빠르게 적용할 수 있습니다.
2. 롱기스트/니어리스트 설정 영역 제공
3. 신페리오 적용 홀 설정 영역 제공
4. 라운드 기준 홀 수 설정 영역 제공
5. 홀 난이도 설정 영역 제공</t>
  </si>
  <si>
    <t>롱기스트/니어리스트</t>
  </si>
  <si>
    <t>1. 롱기스트 / 니어리스트 영역 확인</t>
  </si>
  <si>
    <t>1. 설명 문구 제공
 - 문구: 홀 카드를 선택하면 선택됩니다. 선택된 홀은 음영으로 표시됩니다.
2. 해당 클럽의 코스 및 홀별 파정보 제공</t>
  </si>
  <si>
    <t>롱기스트 홀 설정</t>
  </si>
  <si>
    <t>1. 롱기스트 영역
2. 임의 홀 카드 선택 (예: South 2번 홀)</t>
  </si>
  <si>
    <t>1. 선택한 홀 카드가 선택(음영) 상태로 표시됨</t>
  </si>
  <si>
    <t>1. 롱기스트 설정된 상태</t>
  </si>
  <si>
    <t>1. 선택된 홀 카드 재선택</t>
  </si>
  <si>
    <t>1. 해당 홀 카드 선택 해제됨 (음영 제거)</t>
  </si>
  <si>
    <t>니어리스트 홀 설정</t>
  </si>
  <si>
    <t>1. 니어리스트 영역
2. 임의 홀 카드 선택 (예: South 6번 홀)</t>
  </si>
  <si>
    <t>1. 선택한 홀 카드가 선택(음영) 상태로 표시됨
 - 롱기스트 선택과 독립 동작</t>
  </si>
  <si>
    <t>1. 니어스트 설정된 상태</t>
  </si>
  <si>
    <t>저장</t>
  </si>
  <si>
    <t>1. 롱기스트/니어리스트 홀 선택 완료 상태</t>
  </si>
  <si>
    <t>1. 홀 카드 선택 후 [저장] 버튼 선택</t>
  </si>
  <si>
    <t>1.  저장 완료 팝업 제공
 - 문구: 저장완료
2. [확인] 버튼 노출되고 선택 시 팝업 닫힘
3. 선택한 롱기스트/니어리스트 홀 설정 저장</t>
  </si>
  <si>
    <t>1. 홀 선택 변경 후 아직 저장 안 한 상태</t>
  </si>
  <si>
    <t>1. 롱기스트/니어리스트 홀 선택 변경
2. [초기화] 선택</t>
  </si>
  <si>
    <t>1. 이전 저장값으로 롱기스트/니어리스트 홀 선택 상태 복원됨
 - 변경 내역 미반영</t>
  </si>
  <si>
    <t>복수 설정</t>
  </si>
  <si>
    <t>1. 한 코스에서 롱기스트 복수 선택
2. 한 코스에서 니어리스트 복수 선택
3. [저장] 버튼 선택</t>
  </si>
  <si>
    <t>1. 복수 설정되어 저장 완료 됨</t>
  </si>
  <si>
    <t>미설정 저장</t>
  </si>
  <si>
    <t>1. 롱기스트/리어리스트 홀 선택 홀 없이 [저장] 선택</t>
  </si>
  <si>
    <t>1. 설정없이 저장 됨</t>
  </si>
  <si>
    <t>신페리오 적용 홀</t>
  </si>
  <si>
    <t>1. 신페리오 적용 홀 영역 확인</t>
  </si>
  <si>
    <t>1. 설명 문구 제공
 - 홀 카드를 선택하면 선택됩니다. 선택된 홀은 음영으로 표시됩니다.</t>
  </si>
  <si>
    <t>신페리오 적용 홀 설정</t>
  </si>
  <si>
    <t>1. 신페리오 적용 홀 영역
2. 임의 홀 카드 선택</t>
  </si>
  <si>
    <t>1. 신페리오 적용 홀 설정된 상태</t>
  </si>
  <si>
    <t>랜덤선택</t>
  </si>
  <si>
    <t>1. [랜덤선택] 버튼 선택</t>
  </si>
  <si>
    <t>1. 각 코스별로 6개씩 무작위로 홀 카드가 선택됨 (기존 기능 동일)</t>
  </si>
  <si>
    <t>1. [랜덤선택] 선택 → 선택 홀 기록
2. [랜덤선택] 재선택 → 선택 홀 확인</t>
  </si>
  <si>
    <t>1. 2회차 랜덤 결과가 1회차와 동일하지 않음</t>
  </si>
  <si>
    <t>1. 홀 선택 또는 랜덤선택
2. [저장]버튼 선택</t>
  </si>
  <si>
    <t>1. 신페리오 적용 홀 저장됨
 - 저장완료 팝업 노출</t>
  </si>
  <si>
    <t>1. 신페리오 홀 선택 변경 후 저장 안 한 상태</t>
  </si>
  <si>
    <t>1. 신페리오 홀 선택 변경
2. [초기화] 선택</t>
  </si>
  <si>
    <t>1. 이전 저장값으로 신페리오 적용 홀 선택 상태 복원됨 
 - 변경 내역 미반영</t>
  </si>
  <si>
    <t>코스별 선택 홀 수 경계값</t>
  </si>
  <si>
    <t>1. 코스에서 정확히 6개 홀 카드 선택
2. [저장] 선택</t>
  </si>
  <si>
    <t>코스별 선택 홀 수 6개 미만 시 처리</t>
  </si>
  <si>
    <t>1. 코스에서 5개 홀 카드 선택
2. [저장] 선택</t>
  </si>
  <si>
    <t>1. 경고 메시지 팝업 제공 됨
 - 문구: 신페리오홀 지정이 잘못되었습니다. 무시하고 진행하시겠습니까?
 - [확인][취소]</t>
  </si>
  <si>
    <t>1. 경고 메시지 팝업 제공 상태</t>
  </si>
  <si>
    <t>1. [확인] 선택</t>
  </si>
  <si>
    <t>1. 신페리오 적용 홀 저장됨</t>
  </si>
  <si>
    <t>코스별 선택 홀 수 6개 초과 시 처리</t>
  </si>
  <si>
    <t>1. 코스에서 7개 홀 카드 선택
2. [저장] 선택</t>
  </si>
  <si>
    <t>라운드 기준 홀 수 설정</t>
  </si>
  <si>
    <t>1. 라운드 기준 홀 수 설정 영역 확인</t>
  </si>
  <si>
    <t>1.  안내 문구 제공
 - 문구: 설정한 홀 수가 기준 홀 수로 지정됩니다. 설정한 홀 수의 스코어를 다 입력하지 않고 전송된 라운드는 전체 라운드 내에서 취소선 처리됩니다.
2. 기준 홀수 설정 슬라이더 제공</t>
  </si>
  <si>
    <t>기준 홀수 설정</t>
  </si>
  <si>
    <t>1. 라운드 기준 홀 수 슬라이더 영역 확인</t>
  </si>
  <si>
    <t>1. 슬라이더 제공
2. 6홀 / 9홀 / 18홀 버튼 제공</t>
  </si>
  <si>
    <t>1. [6홀] 선택</t>
  </si>
  <si>
    <t>1. 6홀 버튼 점등됨
2. 슬라이더 영역에 6홀까지 제공 됨</t>
  </si>
  <si>
    <t>1. [9홀] 선택</t>
  </si>
  <si>
    <t>1. 9홀 버튼 점등됨
2. 슬라이더 영역에 9홀까지 제공 됨</t>
  </si>
  <si>
    <t>1. [18홀] 선택</t>
  </si>
  <si>
    <t>1. 18홀 버튼 점등됨
2. 슬라이더 영역에 18홀까지 제공 됨</t>
  </si>
  <si>
    <t>기준 홀수 설정 저장</t>
  </si>
  <si>
    <t>1. 라운드 기준 홀수 설정</t>
  </si>
  <si>
    <t>1. [저장] 버튼 선택</t>
  </si>
  <si>
    <t>1. 설정한 기준 홀수로 저장됨</t>
  </si>
  <si>
    <t>1. 라운드 기준 홀 수 변경 후 저장 안 한 상태</t>
  </si>
  <si>
    <t>1. 기준 홀 수 변경 (예: 6홀→18홀)
2. [초기화] 선택</t>
  </si>
  <si>
    <t>1. 이전 저장값 기준 홀 수로 복원됨
 - 변경 내역 미반영</t>
  </si>
  <si>
    <t>홀 난이도 설정</t>
  </si>
  <si>
    <t>1. 홀 난이도 설정 영역 확인</t>
  </si>
  <si>
    <t>1. 안내문구 제공
 - 각 홀의 난이도를 설정할 수 있습니다. 설정한 난이도가 태블릿에 홀 별 핸디캡 정보로 표시되며, 단체팀 성적 집계시 적용하는 홀 핸디캡으로 사용됩니다. 홀에 설정된 숫자가 낮을수록 홀의 난이도가 높으며 모든 홀에 값을 지정해야 적용 가능합니다.
2. 홀 난이도 설정 테이블 영역 제공</t>
  </si>
  <si>
    <t>홀 난이도 테이블 코스/홀 셀렉트박스 표시 확인</t>
  </si>
  <si>
    <t>1. 홀 난이도 설정 테이블 확인</t>
  </si>
  <si>
    <t>1. 코스별 1~9홀 각각에 셀렉트박스 표시됨
 - 체크박스 컬럼 표시</t>
  </si>
  <si>
    <t>코스 체크박스 체크/해제</t>
  </si>
  <si>
    <t>1. 특정 코스 체크 해제</t>
  </si>
  <si>
    <t>1. 체크 해제된 코스 행이 비활성화 됨</t>
  </si>
  <si>
    <t>이렇게 되나?</t>
  </si>
  <si>
    <t>1. 코스 체크 상태: 언체크</t>
  </si>
  <si>
    <t>1. 셀렉트 박스 선택</t>
  </si>
  <si>
    <t>1. 선택 안함 상태로 선택 가능 난이도 비노출</t>
  </si>
  <si>
    <t>1. 코스 체크 상태: 1개 코스 체크</t>
  </si>
  <si>
    <t>1. 1~9까지 난이도 선택 항목 제공</t>
  </si>
  <si>
    <t>1. 코스 체크 상태: 2개 코스 체크</t>
  </si>
  <si>
    <t>1. 1~18까지 난이도 선택 항목 제공</t>
  </si>
  <si>
    <t>중복 선택 불가</t>
  </si>
  <si>
    <t>1. A코스 1홀 난이도를 '1'로 설정
2. B코스 2홀 난이도도 '1'로 설정 시도</t>
  </si>
  <si>
    <t>1. 이미 선택된 난이도는 선택 불가 함</t>
  </si>
  <si>
    <t>1. 일부 홀 난이도 값을 비워둔 상태
2. [저장] 선택</t>
  </si>
  <si>
    <t>1. 저장 불가 팝업 노출
 문구: 모든 홀에 난이도를 지정해야 합니다.
 [확인]</t>
  </si>
  <si>
    <t>1. 전체 홀 난이도 값 설정 완료
2. [저장] 버튼 선택</t>
  </si>
  <si>
    <t>1. 홀 난이도 저장됨</t>
  </si>
  <si>
    <t>1. 홀 난이도 일부 변경 후 저장 안 한 상태</t>
  </si>
  <si>
    <t>1. 임의 홀 난이도 변경
 2. [초기화] 선택</t>
  </si>
  <si>
    <t>1. 이전 저장값 홀 난이도로 복원됨
 - 변경 내역 미반영</t>
  </si>
  <si>
    <t>라운드 설정 화면</t>
  </si>
  <si>
    <t>라운드 설정 적용 확인</t>
  </si>
  <si>
    <t>1. 롱기스트/니어리스트, 신페리오, 기준홀수, 홀난이도 모두 저장 완료 상태</t>
  </si>
  <si>
    <t>1. 대회/이벤트 생성 메뉴 이동
 2. 대회/이벤트 신규 생성 시 각 항목 기본값 확인</t>
  </si>
  <si>
    <t>1. 라운드 설정에서 저장한 값들이 대회/이벤트 생성 시 동일한 기준으로 자동 적용됨</t>
  </si>
  <si>
    <t>저장 없이 다른 메뉴 이동 시 변경 내용 소실 처리</t>
  </si>
  <si>
    <t>1. 임의 영역 값 변경 후 저장 안 한 상태</t>
  </si>
  <si>
    <t>1. 임의 영역 값 변경
2. [저장] 미선택 상태에서 LNB 다른 메뉴 선택</t>
  </si>
  <si>
    <t>1. 변경 내용이 저장되지 않고 이전 저장값 유지됨</t>
  </si>
  <si>
    <t>카트 관리 화면</t>
  </si>
  <si>
    <t>1. 라운드 관리
2. 카트 관리 선택</t>
  </si>
  <si>
    <t>1. 카트 관리 설명 영역 제공
 - 문구: 골프장에서 운영 중인 카트를 관리하고 카트의 라운드 기록을 확인할 수 있습니다.
2. 사용구분 선택 영역 표시
3. [카트 추가] 버튼 표시
4. 카트 테이블 영역</t>
  </si>
  <si>
    <t>사용구분 선택</t>
  </si>
  <si>
    <t>1. 사용구분 셀렉트박스 확인</t>
  </si>
  <si>
    <t>1. 사용구분 선택 항목 제공
 - 전체 / 사용(기본값) / 중지</t>
  </si>
  <si>
    <t>1. 사용구분 셀렉트박스
2. [사용] 선택
3. 테이블 결과 확인</t>
  </si>
  <si>
    <t>1. 사용 상태인 카트만 테이블에 표시됨</t>
  </si>
  <si>
    <t>1. 사용구분 셀렉트박스
2. [전체] 선택
3. 테이블 결과 확인</t>
  </si>
  <si>
    <t>1. 사용 중 + 중지 중 카트 전체가 테이블에 표시됨</t>
  </si>
  <si>
    <t>1. 사용구분 셀렉트박스
2. [중지] 선택
3. 테이블 결과 확인</t>
  </si>
  <si>
    <t>1. 중지 상태인 카트만 테이블에 표시됨</t>
  </si>
  <si>
    <t>카트 등록</t>
  </si>
  <si>
    <t>[카트추가] 버튼</t>
  </si>
  <si>
    <t>1. [카트 추가] 버튼 선택</t>
  </si>
  <si>
    <t>1. 카트 등록 팝업 제공
 - 타이틀: 카트 등록
 - 문구: 카트 번호를 빠르게 일괄 생성하거나 직접 입력하여 등록할 수 있습니다.
 - 빠른생성/직접입력
 - [취소] [저장] 버튼 표시</t>
  </si>
  <si>
    <t>카트 등록
_빠른생성</t>
  </si>
  <si>
    <t>1. 카트 등록 팝업 호출 상태</t>
  </si>
  <si>
    <t>1. 빠른생성 영역 확인</t>
  </si>
  <si>
    <t>1. Prefix(선택) 입력 영역 제공
2. 시작번호 ~ 끝번호 입력 영역 제공
3. 자리수(배딩) 드롭다운 선택 박스 제공
4. 생성 결과 미리보기(최대 24개 표시) 박스 영역 제공
 - 문구: 최대 4자리 까지만 생성되며, 이미 등록된 번호는 생성되지 않습니다.</t>
  </si>
  <si>
    <t>1. 카트 등록 팝업 호출 상태
1. 빠른생성</t>
  </si>
  <si>
    <t>1. 각 입력 박스 입력</t>
  </si>
  <si>
    <t>1. 입력 및 선택 값에 맞게 생성 결과 미리보기 박스에 카트번호 일괄 생성되어 제공
 - 최대 24개까지 생성</t>
  </si>
  <si>
    <t>1. 유효값 생성</t>
  </si>
  <si>
    <t>1. [등록] 버튼 선택
2. 테이블 영역 확인</t>
  </si>
  <si>
    <t>1. 신규 카트 번호 생성
 - 초기상태: 사용
2. 운영중인 카드 대수 증가함</t>
  </si>
  <si>
    <t>1. 이미 등록된 카트 번호: Y</t>
  </si>
  <si>
    <t>1. 중복 번호는 생성되지 않음</t>
  </si>
  <si>
    <t>1. [취소] 버튼 선택</t>
  </si>
  <si>
    <t>1. 카드 등록 팝업 닫힘
2. 신규 카트 생성되지 않음</t>
  </si>
  <si>
    <t>카트 등록
_직접입력</t>
  </si>
  <si>
    <t>1. 카트 등록 팝업 호출 상태
2. 직접입력</t>
  </si>
  <si>
    <t>1. 직접입력 영역 확인</t>
  </si>
  <si>
    <t>1. 직접입력 박스 제공
 - 문구: 최대 4자리 까지만 생성되며, 이미 등록된 번호는 생성되지 않습니다.</t>
  </si>
  <si>
    <t>1. 카트 번호 입력
 - 4자 이하
 - 숫자, 영문</t>
  </si>
  <si>
    <t>1. 카트 번호 입력 됨</t>
  </si>
  <si>
    <t>1. 카트 번호 입력
 - 4자 초과
 - 한글</t>
  </si>
  <si>
    <t>1. 카트 번호 입력되지 않음</t>
  </si>
  <si>
    <t>1. 유효값 입력</t>
  </si>
  <si>
    <t>1. 카트 번호 입력
2. [등록] 버튼 선택</t>
  </si>
  <si>
    <t>1. 카트 테이블 영역 확인</t>
  </si>
  <si>
    <t>1. 카트 번호 제공
2. 라운드 횟수 제공
3. 라운드 기록 제공
4. 상태 제공
5. 관리 제공
6. 운영중인 카트 수 표시 영역 제공
7. 페이지네이션 제공</t>
  </si>
  <si>
    <t>카트번호</t>
  </si>
  <si>
    <t>1. 카트번호 컬럼 정렬 확인</t>
  </si>
  <si>
    <t>1. 카트번호가 오름차순으로 정렬되어 표시됨</t>
  </si>
  <si>
    <t>라운드 횟수</t>
  </si>
  <si>
    <t>1. 라운드 횟수 컬럼 값 확인</t>
  </si>
  <si>
    <t>1. 각 카트별 라운드 횟수가 표시</t>
  </si>
  <si>
    <t>라운드기록</t>
  </si>
  <si>
    <t>1. 라운드 기록 컬럼
2. [보기] 버튼 선택</t>
  </si>
  <si>
    <t>1. 카트 별 라운드 기록 새창 팝업 제공</t>
  </si>
  <si>
    <t>테이블_카트 별 라운드 기록</t>
  </si>
  <si>
    <t>카트 별 라운드 기록</t>
  </si>
  <si>
    <t>1. 카트 별 라운드 기록 팝업 호출</t>
  </si>
  <si>
    <t>1. 카트 별 라운드 기록 영역 확인</t>
  </si>
  <si>
    <t>1. 해당 카트 번호 제공
2. 조회기간 영역 제공
3. 라운드 기록 테이블 영역 제공
3. [닫기] 버튼 제공</t>
  </si>
  <si>
    <t>검색영역</t>
  </si>
  <si>
    <t>조회기간</t>
  </si>
  <si>
    <t>1. 조회 기간: 당해년도 내</t>
  </si>
  <si>
    <t>1. 설정 기간 기준 카트별 라운드 기록 제공</t>
  </si>
  <si>
    <t>1. 조회 기간: 전년도 포함</t>
  </si>
  <si>
    <t>1. 조회 불가 얼럿 제공
 - 문구: ?
1. 날짜 선택 제한 처리됨
 -문구: ?</t>
  </si>
  <si>
    <t>1. 모든 검색 필드가 기본값으로 초기화됨
 - 조회일: 30일 전 ~ 현재일</t>
  </si>
  <si>
    <t>1. 라운드 기록: Y</t>
  </si>
  <si>
    <t>1. 카트 별 라운드 기록 테이블 영역 확인</t>
  </si>
  <si>
    <t>1. 해당 카트 라운드 기록 리스트 제공
 - 순번 제공
 - 날짜 제공
 - 티타임 제공
 - 캐디 제공
 - 코스 제공
 - 내장객 제공
 - 단체명 제공
 - 스코어카드 제공
 - 사진 제공
 - 카트확인서 제공
 - 클럽사진 제공</t>
  </si>
  <si>
    <t>1. 라운드 기록: N</t>
  </si>
  <si>
    <t>1. "라운드 기록이 없습니다." 문구 제공</t>
  </si>
  <si>
    <t>1. 순번 컬럼 영역 확인</t>
  </si>
  <si>
    <t>1. 내림차순 정렬</t>
  </si>
  <si>
    <t>날짜</t>
  </si>
  <si>
    <t>1. 날짜 컬럼 영역 확인</t>
  </si>
  <si>
    <t>1. 해당 카트 운행일 정보 제공
2. 내림차순 정렬 제공</t>
  </si>
  <si>
    <t>티타임</t>
  </si>
  <si>
    <t>1. 티타임 컬럼 영역 확인</t>
  </si>
  <si>
    <t>1. 해당 카트 운행 티타임 정보 제공</t>
  </si>
  <si>
    <t>캐디</t>
  </si>
  <si>
    <t>1. 캐디 컬럼 영역 확인</t>
  </si>
  <si>
    <t>1. 해당 카트 운영 캐디명 제공</t>
  </si>
  <si>
    <t>1. 코스 컬럼 영역 확인</t>
  </si>
  <si>
    <t>1. 해당 카트 운영 코스 정보 제공</t>
  </si>
  <si>
    <t>1. 내장객 컬럼 영역 확인</t>
  </si>
  <si>
    <t>1. 해당 카트 이용 내장객 정보 제공</t>
  </si>
  <si>
    <t>1. 단체명 컬럼 영역 확인</t>
  </si>
  <si>
    <t>1. 해당 카트 이용 단체명 정보 제공
 - 없을 시 하이픈 '-'</t>
  </si>
  <si>
    <t>스코어카드</t>
  </si>
  <si>
    <t>1. 스코어카드 컬럼 영역 
2. [스코어] 버튼 선택</t>
  </si>
  <si>
    <t>1. 라운드 스코어 카드 레이어팝업 제공</t>
  </si>
  <si>
    <t>1. 사진 컬럼 영역
2. [보기] 버튼 선택</t>
  </si>
  <si>
    <t>1. 사진 팝업 제공
 - 없을 시 하이픈 '-'</t>
  </si>
  <si>
    <t>카트확인서</t>
  </si>
  <si>
    <t>1. 카트확인서 컬럼 영역
2. [보기] 버튼 선택</t>
  </si>
  <si>
    <t>1. 카트확인서 팝업 제공
 - 없을 시 하이픈 '-'</t>
  </si>
  <si>
    <t>1. 클럽사진 컬럼 영역
2. [보기] 버튼 선택</t>
  </si>
  <si>
    <t>1. 클럽사진 팝업 제공
 - 없을 시 하이픈 '-'</t>
  </si>
  <si>
    <t>닫기</t>
  </si>
  <si>
    <t>1. [닫기] 버튼 선택</t>
  </si>
  <si>
    <t>1. 카트 별 라운드기록 팝업닫힘</t>
  </si>
  <si>
    <t>상태</t>
  </si>
  <si>
    <t>1. 상태 컬럼 확인</t>
  </si>
  <si>
    <t>1. 각 카트별 현재 상태(사용 / 중지)가 표시됨</t>
  </si>
  <si>
    <t>관리</t>
  </si>
  <si>
    <t>1. 사용 중 상태인 카트가 있는 상태</t>
  </si>
  <si>
    <t>1. [중지] 버튼 선택</t>
  </si>
  <si>
    <t>1. 중지 확인 얼럿 제공
 - 문구: 해당 카트를 중지 처리 하겠습니까?
 [확인] [취소] 버튼 표시</t>
  </si>
  <si>
    <t>1. 중지 확인 얼럿 호출 상태</t>
  </si>
  <si>
    <t>1. [확인] 선택
2. 테이블 해당 카트 상태 확인</t>
  </si>
  <si>
    <t>1. 해당 카트 상태가 '중지'로 변경됨</t>
  </si>
  <si>
    <t>1. 사용구분: 사용
2. 중지 확인 얼럿 호출 상태</t>
  </si>
  <si>
    <t>1. 해당 카트 행 목록에서 제외</t>
  </si>
  <si>
    <t>1. [취소] 선택
2. 테이블 해당 카트 상태 확인</t>
  </si>
  <si>
    <t>1. 얼럿 닫힘
 - 카트 상태 변경 없음</t>
  </si>
  <si>
    <t>1. 중지 상태인 카트가 있는 상태</t>
  </si>
  <si>
    <t>1. [사용] 버튼 선택</t>
  </si>
  <si>
    <t>1. 사용 확인 얼럿 제공
 - 문구: 해당 카트를 사용 처리 하겠습니까?
 [확인] [취소] 버튼 표시</t>
  </si>
  <si>
    <t>1. 사용 확인 얼럿 호출 상태</t>
  </si>
  <si>
    <t>1. 해당 카트 상태가 '사용'으로 변경됨</t>
  </si>
  <si>
    <t>1. 사용구분: 중지
2. 중지 확인 얼럿 호출 상태</t>
  </si>
  <si>
    <t>1. 알럿에서 [취소] 클릭</t>
  </si>
  <si>
    <t>운영중인 카트 수</t>
  </si>
  <si>
    <t>1. 테이블 상단 운영중인 카트 수  확인</t>
  </si>
  <si>
    <t>1. 운영중인 카트 카트 총 수가 표시됨
 - 사용구분 필터 변경 시 수치 갱신됨</t>
  </si>
  <si>
    <t>홀 별 정산 관리</t>
  </si>
  <si>
    <t>1. 라운드 관리
2. 홀 별 정산 관리</t>
  </si>
  <si>
    <t>1. 홀 별 정산 관리 메뉴 설명 영역 제공
2. 홀 별 정산 기능 설정 영역 제공
3. 홀 별 정산 사유 관리 영역 제공
4. 홀정산 요청 현황 영역 제공</t>
  </si>
  <si>
    <t>설명 확인</t>
  </si>
  <si>
    <t>1. 홀 별 정산 관리 메뉴 설명 영역 확인</t>
  </si>
  <si>
    <t>1. 홀 별 정산 관리 메뉴 설명 제공
 - 문구: 해당 기능을 활성화하면, 태블릿에서 플레이한 홀 수가 별도로 기록됩니다. 홀 별 정산 사유는 사전에 설정이 가능하며, 날짜를 조회하여 정산 요청 기록을 확인할 수 있습니다.</t>
  </si>
  <si>
    <t>홀 별 정산 기능 설정</t>
  </si>
  <si>
    <t>1. 홀 별 정산 기능 설정 영역 확인</t>
  </si>
  <si>
    <t>1. 기능 설명 제공 영역
 - 문구: 태블릿 메뉴 내 홀정산 요청 기능을 활성화하거나 비활성화할 수 있습니다.
2. 테이블 영역 제공
 - 기능명: 홀정산 요청 활성화
 - 상세 설명: 태블릿 메뉴 안에서 홀정산 요청 기능을 사용할 수 있도록 설정합니다.
 - 설정 on/off 토글 버튼
3. [저장] 버튼 제공</t>
  </si>
  <si>
    <t>홀 별 정산 기능 설정_ON</t>
  </si>
  <si>
    <t>1. 설정 토글 OFF 상태</t>
  </si>
  <si>
    <t>1. 홀정산 요청 활성화 토글 ON으로 전환
2. [저장] 버튼 선택</t>
  </si>
  <si>
    <t>1. 토글 ON 상태로 저장됨
2. 저장 완료 얼럿 노출
 - 문구: ?</t>
  </si>
  <si>
    <t>태블릿에 홀정산 요청 메뉴 노출 확인</t>
  </si>
  <si>
    <t>1. 홀 별 정산 기능 ON 상태</t>
  </si>
  <si>
    <t>1. 태블릿 앱 &gt; 메뉴 영역 확인</t>
  </si>
  <si>
    <t>1. 태블릿 메뉴에 홀정산 요청 기능이 활성화되어 노출됨</t>
  </si>
  <si>
    <t>태블릿에서 확인 기능</t>
  </si>
  <si>
    <t>홀 별 정산 기능 설정_OFF</t>
  </si>
  <si>
    <t>1. 설정 토글 ON 상태</t>
  </si>
  <si>
    <t>1. 홀정산 요청 활성화 토글 OFF로 전환
2. [저장] 버튼 선택</t>
  </si>
  <si>
    <t>1. 토글 OFF 상태로 저장됨
2. 저장 완료 얼럿 노출
 - 문구: ?</t>
  </si>
  <si>
    <t>1. 홀 별 정산 기능 OFF 상태</t>
  </si>
  <si>
    <t>1. 태블릿 메뉴에 홀정산 요청 기능이 비활성화되어 노출됨</t>
  </si>
  <si>
    <t>홀 별 정산 사유 관리</t>
  </si>
  <si>
    <t>1. 홀 별 정산 사유 관리 영역 확인</t>
  </si>
  <si>
    <t>1. 설명 제공 영역
 - 문구: 정산 사유는 최대 3개까지 관리할 수 있습니다. 태블릿에는 등록된 사유가 고정 노출되며, 미입력 시 기본값은 약친후 / 부상 / 천재지변으로 사용됩니다.
2. 사유 입력란 제공
 - 사유1: 악천후(기본값) 
 - 사유2: 부상(기본값)
 - 사유3: 천재지변(기본값)
 [초기화] [저장] 버튼 표시</t>
  </si>
  <si>
    <t>1. 사유 필드에 텍스트 입력 (예: '우천')
2. [저장] 버튼 선택</t>
  </si>
  <si>
    <t>1. 입력한 사유로 저장됨
 - 저장 완료 팝업 노출</t>
  </si>
  <si>
    <t>경계값</t>
  </si>
  <si>
    <t>1. 사유 필드에 텍스트 입력
 - 50자
2. [저장] 버튼 선택</t>
  </si>
  <si>
    <t>1. 사유 필드에 텍스트 입력
 - 51자
2. [저장] 버튼 선택</t>
  </si>
  <si>
    <t>1. 50자 초과 입력되지 않음</t>
  </si>
  <si>
    <t>사유 필드 삭제</t>
  </si>
  <si>
    <t>1. 사유 필드가 표시된 상태</t>
  </si>
  <si>
    <t>1. 임의 사유 필드의 [X] 아이콘 선택</t>
  </si>
  <si>
    <t>1. 해당 필드 사라지고 그 자리에 [+] 아이콘이 표시됨</t>
  </si>
  <si>
    <t>사유 필드 추가 생성</t>
  </si>
  <si>
    <t>1. 사유 필드 삭제된 상태</t>
  </si>
  <si>
    <t>1. [+] 아이콘 선택</t>
  </si>
  <si>
    <t xml:space="preserve">1. 사유 입력 필드가 추가 생성됨
 - 최대 3개 </t>
  </si>
  <si>
    <t>사유 전체 삭제 후 태블릿 표시</t>
  </si>
  <si>
    <t>1. 사유1/2/3 모두 [X] 선택하여 삭제
2. [저장] 선택</t>
  </si>
  <si>
    <t>1. 저장됨
 - 태블릿에 기본값(악천후 / 부상 / 천재지변)이 표시됨</t>
  </si>
  <si>
    <t>사유없이 저장 되나?</t>
  </si>
  <si>
    <t>1. 사유 변경 후 저장 안 한 상태</t>
  </si>
  <si>
    <t>1. 임의 사유 변경
2. [초기화] 선택</t>
  </si>
  <si>
    <t>1. 이전 저장 사유값으로 복원됨
 - 변경 내역 미반영</t>
  </si>
  <si>
    <t>홀정산 요청 현황</t>
  </si>
  <si>
    <t>1. 홀정산 요청 현황 영역 확인</t>
  </si>
  <si>
    <t>1. 설명 영역 제공
 - 문구: 조회일, 내장객명, 캐디명을 기준으로 홀정산 요청 내역을 검색할 수 있습니다.
2. 검색 영역 제공
3. 홀정산 현황 테이블 표시</t>
  </si>
  <si>
    <t>검색</t>
  </si>
  <si>
    <t>1. 조회기간 제공
2. 내장객명 입력 필드 제공
3. 캐디명 입력 필드 제공
4. [초기화][적용] 버튼 제공</t>
  </si>
  <si>
    <t>1. 조회기간 기간 영역 확인</t>
  </si>
  <si>
    <t>적용</t>
  </si>
  <si>
    <t>1. 조회기간: 3년 이내</t>
  </si>
  <si>
    <t>1. 조회기간 선택
 - ex) From: 2025-11-01, To: 2025-11-30
2. [적용] 버튼 선택</t>
  </si>
  <si>
    <t>1. 설정 기간 기준 테이블 데이터 제공
2. 요청 팀 수 해당 기간 기준으로 제공</t>
  </si>
  <si>
    <t>1. 조회기간: 3년</t>
  </si>
  <si>
    <t>1. 조회기간 선택
 - ex) From: 2023-05-28, To: 2026-05-27
2. [적용] 선택</t>
  </si>
  <si>
    <t>1. 정상 조회됨. 
 - 3년 기간 데이터 표시</t>
  </si>
  <si>
    <t>1. 조회기간: 3년 초과</t>
  </si>
  <si>
    <t>1. 조회기간 선택
 - ex) From: 2023-05-28, To: 2026-05-28
2. [적용] 선택</t>
  </si>
  <si>
    <t>1. 날짜 선택 제한 처리됨 ?</t>
  </si>
  <si>
    <t>내장객명</t>
  </si>
  <si>
    <t>1. 내장객명 영역 확인</t>
  </si>
  <si>
    <t>1. 입력 박스 제공
 - Placeholder: 내장객명을 입력하세요.</t>
  </si>
  <si>
    <t>1. 내장객에 포함된 이름</t>
  </si>
  <si>
    <t>1. 내장객명 필드에 이름 입력
2. [적용] 선택</t>
  </si>
  <si>
    <t>1. 입력한 내장객명이 포함된 행만 테이블에 표시</t>
  </si>
  <si>
    <t>1. 입력수: 20자</t>
  </si>
  <si>
    <t>1. 내장객명 필드에 20자 입력
2. [적용] 선택</t>
  </si>
  <si>
    <t>1. 20자 입력 정상 처리됨</t>
  </si>
  <si>
    <t>1. 입력수: 20자 초과</t>
  </si>
  <si>
    <t>1. 내장객명 필드에 21자 입력 시도</t>
  </si>
  <si>
    <t>1. 20자 초과 입력 불가</t>
  </si>
  <si>
    <t>캐디명</t>
  </si>
  <si>
    <t>1. 캐디명 영역 확인</t>
  </si>
  <si>
    <t>1. 입력 박스 제공
 - Placeholder: 캐디명을 입력하세요.</t>
  </si>
  <si>
    <t>1. 캐디명에 포함된 이름</t>
  </si>
  <si>
    <t>1. 캐디명 필드에 이름 입력
2. [적용] 선택</t>
  </si>
  <si>
    <t>1. 입력한 캐디명이 포함된 행만 테이블에 표시</t>
  </si>
  <si>
    <t>1. 캐디명 필드에 20자 입력
2. [적용] 선택</t>
  </si>
  <si>
    <t>1. 캐디명 필드에 21자 입력 시도</t>
  </si>
  <si>
    <t>1. 조회기간 설정
2. 내장객명 입력
3. [적용] 선택</t>
  </si>
  <si>
    <t>1. 조회기간 AND 내장객명 조건이 모두 적용된 결과만 테이블에 표시됨</t>
  </si>
  <si>
    <t>1. 조회기간 설정
2. 캐디명 입력
3. [적용] 선택</t>
  </si>
  <si>
    <t>1. 조회기간 AND 캐디명 조건이 모두 적용된 결과만 테이블에 표시됨</t>
  </si>
  <si>
    <t>1. 내장객명 입력
2. 캐디명 입력
3. [적용] 선택</t>
  </si>
  <si>
    <t>1. 내장객명 AND 캐디명 조건이 모두 적용된 결과만 테이블에 표시됨</t>
  </si>
  <si>
    <t>1. 조회기간 설정
2. 내장객명 입력
3. 캐디명 입력
4. [적용] 선택</t>
  </si>
  <si>
    <t>1. 내장객명 AND 내장객명 AND 캐디명 조건이 모두 적용된 결과만 테이블에 표시됨</t>
  </si>
  <si>
    <t>1. 임의 검색 조건 입력
 2. [초기화] 버튼 선택</t>
  </si>
  <si>
    <t>1. 조회기간이 기본값(30일 전~현재)으로 복원
2. 내장객명, 캐디명: 공란으로 초기화
3. 테이블 기본 조회 데이터로 갱신</t>
  </si>
  <si>
    <t>검색 결과 없음</t>
  </si>
  <si>
    <t>1. 결과가 없는 조건으로 검색
2. 테이블 영역 확인</t>
  </si>
  <si>
    <t>1. 테이블 내 '내역이 없습니다' 문구 표시
2. 요청 팀 수: 0팀 표시</t>
  </si>
  <si>
    <t>1. 컬럼 표시
 - No.
 - 정산 요청 시간
 - 티타임
 - 캐디명
 - 고객명
 - 플레이한 홀수
 - 정산 사유
2. 요청 팀 수
 - 요청 팀 수 : N팀</t>
  </si>
  <si>
    <t>1. No. 영역 확인</t>
  </si>
  <si>
    <t>1. 오름차순 정렬</t>
  </si>
  <si>
    <t>정산 요청 시간</t>
  </si>
  <si>
    <t>1. 정산 요청 시간 영역 확인</t>
  </si>
  <si>
    <t>1. 정산 요청된 시간 제공
2. 내림차순 정렬(최신순)</t>
  </si>
  <si>
    <t>1. 티타임 영역 확인</t>
  </si>
  <si>
    <t>1. 해당 라운드 티타임 정보 제공</t>
  </si>
  <si>
    <t>고객명</t>
  </si>
  <si>
    <t>1. 고객명 영역 확인</t>
  </si>
  <si>
    <t>1. 해당 라운드 고객명 정보 제공</t>
  </si>
  <si>
    <t>플레이한 홀수</t>
  </si>
  <si>
    <t>1. 플레이한 홀수 영역 확인</t>
  </si>
  <si>
    <t>1. 정산 요청 기준 플레이한 홀 수 제공</t>
  </si>
  <si>
    <t>정산 사유</t>
  </si>
  <si>
    <t>1. 정산 사유 영역 확인</t>
  </si>
  <si>
    <t>1. 태블릿에서 선택한 정산 사유 제공</t>
  </si>
  <si>
    <t>메뉴 확인</t>
  </si>
  <si>
    <t>1. 관제 관리 대메뉴 선택
2. 메뉴 구성 확인</t>
  </si>
  <si>
    <t>1. 관제 관리의 메뉴가 제공됨
 - 관제 팝업 (QA 제외 항목)
 - 메시지 기록 조회
 - 라이브채팅 공지 조회
 - 아이콘 관리
 - 라이브채팅 공지 조회
 - 카트 이동경로 확인?</t>
  </si>
  <si>
    <t>QA-14818</t>
  </si>
  <si>
    <t>문구 수정 필요</t>
  </si>
  <si>
    <t>1. [메시지 기록 조회] 메뉴 진입
2. 제공 정보 확인</t>
  </si>
  <si>
    <t>1. 메시지 기록 조회 메뉴 제공됨(클라우드 UI)
 - 타이틀 : 메시지 기록 조회
 - 안내 문구 영역
 - 대화내용 검색 영역
 - 대화내용 영역</t>
  </si>
  <si>
    <t>안내문구 영역</t>
  </si>
  <si>
    <t>안내 문구</t>
  </si>
  <si>
    <t>1. 안내 문구 확인</t>
  </si>
  <si>
    <t>1. 변경된 안내문구 제공됨
 - 문구 : 센터와 태블릿 간의 메시지 기록을 조회할 수 있습니다. 단, 한 달 이내의 메시지 기록만 보관됩니다.</t>
  </si>
  <si>
    <t>대화내용 검색 영역</t>
  </si>
  <si>
    <t>대화내용 검색</t>
  </si>
  <si>
    <t>1. 대화 내용 : X</t>
  </si>
  <si>
    <t>1. 대화내용 입력
2. [검색] 버튼 선택</t>
  </si>
  <si>
    <t>1. 검색 결과 제공되지 않음
 - 문구 : 검색결과가 없습니다.</t>
  </si>
  <si>
    <t>1. 대화 내용 : O</t>
  </si>
  <si>
    <t>1. 검색한 결과가 제공됨
 - 해당 내용이 있는 화면으로 스크롤됨</t>
  </si>
  <si>
    <t>1. 달력 버튼 선택
2. 대화 내용이 존재하지않는 날짜 선택</t>
  </si>
  <si>
    <t>1. 달력 버튼 선택
2. 대화 내용이 존재하는 날짜 선택</t>
  </si>
  <si>
    <t>1. 해당 날짜로 스크롤됨</t>
  </si>
  <si>
    <t>대화창 영역</t>
  </si>
  <si>
    <t>1. 대화창 영역 확인</t>
  </si>
  <si>
    <t>1. 대화창이 제공되지 않음</t>
  </si>
  <si>
    <t>1. 대화 내용이 제공됨
 - yyyy년 mm월 dd일 요일
 - To. {대상자}
 - 대화 내용
 - 오전/오후 hh:mm</t>
  </si>
  <si>
    <t>스크롤</t>
  </si>
  <si>
    <t>1. 스크롤 동작 확인</t>
  </si>
  <si>
    <t>1. 대화창에서 스크롤 가능함
2. 스크롤 시 날짜별 확인 가능함</t>
  </si>
  <si>
    <t>1. [라이브채팅 공지 조회] 메뉴 진입
2. 제공 정보 확인</t>
  </si>
  <si>
    <t>1.  라이브채팅 공지 조회 메뉴 제공됨(클라우드 UI)
 - 타이틀 : 라이브채팅 공지 조회
 - 안내 문구 영역
 - 대화내용 검색 영역
 - 대화내용 영역</t>
  </si>
  <si>
    <t>QA-14829</t>
  </si>
  <si>
    <t>UI 상이</t>
  </si>
  <si>
    <t>1. 안내문구 제공됨
 - 문구 : 라이브채팅의 공지사항 기록을 조회할 수 있습니다. 단, 한 달 이내의 공지사항만 보관됩니다.</t>
  </si>
  <si>
    <t>입력 후 검색 시 하얀 화면</t>
  </si>
  <si>
    <t>테스트 데이터 존재하여 확인 불가</t>
  </si>
  <si>
    <t>1. 대화 내용이 제공됨
 - 대화 내용
 - 오전/오후 hh:mm</t>
  </si>
  <si>
    <t>1. [아이콘 관리] 메뉴 진입
2. 제공 정보 확인</t>
  </si>
  <si>
    <t>1. 아이콘 관리 메뉴 제공됨(클라우드 UI)
 - 타이틀 : 아이콘 관리
 - 안내 문구 영역
 - 기능 설정 영역
 - 사용중 아이콘 영역
 - 아이콘 라이브러리 영역
 - 코스 별 아이콘 색상 설정 영역
 - 관제팝업 내 그늘집 표시 영역</t>
  </si>
  <si>
    <t>1. 변경된 안내 문구 제공됨
 - 문구 : 관제 화면에서 사용할 아이콘 선택 및 코스 색상을 선택할 수 있습니다. \n 또한, 관제 화면에 그늘집 이미지를 추가할 수 있습니다.</t>
  </si>
  <si>
    <t>QA-14821</t>
  </si>
  <si>
    <t>안내 문구 비제공</t>
  </si>
  <si>
    <t>기능 설정 영역</t>
  </si>
  <si>
    <t>1. 기능 설정 영역 확인</t>
  </si>
  <si>
    <r>
      <rPr>
        <rFont val="Arial"/>
        <color theme="1"/>
      </rPr>
      <t xml:space="preserve">1. 기능 설정 영역 제공됨
 - 안내 문구 영역
 - </t>
    </r>
    <r>
      <rPr>
        <rFont val="Arial"/>
        <strike/>
        <color theme="1"/>
      </rPr>
      <t>[저장] 버튼</t>
    </r>
    <r>
      <rPr>
        <rFont val="Arial"/>
        <color theme="1"/>
      </rPr>
      <t xml:space="preserve">
 - 항목별 기능 설정 영역
  a. 관제 지도 아이콘 시인성 향상
  b. 아이콘 관리</t>
    </r>
  </si>
  <si>
    <t>1. 안내 문구 제공됨
 - 문구 : 관제지도 아이콘 시인성 향상 및 아이콘 관리 기능의 사용 여부를 설정합니다.</t>
  </si>
  <si>
    <t>설정_관제지도 아이콘 시인성 향상</t>
  </si>
  <si>
    <t>1. 관제지도 아이콘 시인성 향상 확인</t>
  </si>
  <si>
    <r>
      <rPr>
        <rFont val="Arial"/>
        <color theme="1"/>
      </rPr>
      <t xml:space="preserve">1. 관제지도 아이콘 시인성 향상 제공됨
 - 기능명 : 관제지도 아이콘 시인성 향상
 - 상세설명 : 관제팝업 지도보기 내, 카트에 배정된 아이콘 시인성 상향을 위한 기능입니다. (예시 사진 노출)
 - 설정 : </t>
    </r>
    <r>
      <rPr>
        <rFont val="Arial"/>
        <strike/>
        <color theme="1"/>
      </rPr>
      <t>라디오 버튼(사용 / 사용안함)</t>
    </r>
    <r>
      <rPr>
        <rFont val="Arial"/>
        <color theme="1"/>
      </rPr>
      <t xml:space="preserve"> ON/OFF 토글</t>
    </r>
  </si>
  <si>
    <t>1. [사용] 선택
2. [저장] 버튼 선택</t>
  </si>
  <si>
    <t>1. 설정 가능함</t>
  </si>
  <si>
    <t>1. [사용안함] 선택
2. [저장] 버튼 선택</t>
  </si>
  <si>
    <t>설정_아이콘 관리</t>
  </si>
  <si>
    <t>1. 아이콘 관리 확인</t>
  </si>
  <si>
    <r>
      <rPr>
        <rFont val="Arial"/>
        <color theme="1"/>
      </rPr>
      <t xml:space="preserve">1. 아이콘 관리 제공됨
 - 기능명 : 아이콘 관리
 - 상세설명 : 관제 화면에서 사용할 아이콘을 선택할 수 있습니다. \n 아이콘의 이름 및 형태 수정이 가능하며, 최소 6개, 최대 15개까지 선택이 가능합니다.
 - 설정 : </t>
    </r>
    <r>
      <rPr>
        <rFont val="Arial"/>
        <strike/>
        <color theme="1"/>
      </rPr>
      <t>라디오 버튼(사용 / 사용안함)</t>
    </r>
    <r>
      <rPr>
        <rFont val="Arial"/>
        <color theme="1"/>
      </rPr>
      <t xml:space="preserve"> ON/OFF 토글</t>
    </r>
  </si>
  <si>
    <t>1. 사용으로 설정 시 하단에 아이콘 라이브러리 설정이 가능함</t>
  </si>
  <si>
    <t>1. 사용안함으로 설정 시 하단에 아이콘 라이브러리 설정 불가함</t>
  </si>
  <si>
    <t>관제 연동</t>
  </si>
  <si>
    <t>1. 시인성 향상 : OFF
2. 아이콘 관리 : OFF</t>
  </si>
  <si>
    <t>1. 관제 페이지에서 카트 아이콘 확인</t>
  </si>
  <si>
    <t>1. 카트에 아이콘 비제공됨</t>
  </si>
  <si>
    <t>카트 연동 QA 제외</t>
  </si>
  <si>
    <t>1. 시인성 향상 : OFF
2. 아이콘 관리 : ON</t>
  </si>
  <si>
    <t>1. 카트에 아이콘명 제공됨(아이콘은 비제공)</t>
  </si>
  <si>
    <t>1. 시인성 향상 : ON
2. 아이콘 관리 : OFF</t>
  </si>
  <si>
    <t>1. 시인성 향상 : ON
2. 아이콘 관리 : ON</t>
  </si>
  <si>
    <t>1. 카트에 아이콘+아이콘명 제공됨</t>
  </si>
  <si>
    <t>사용중 아이콘 &amp; 아이콘 라이브러리 영역</t>
  </si>
  <si>
    <t>1. 사용중 아이콘 영역 확인
2. 아이콘 라이브러리 영역 확인</t>
  </si>
  <si>
    <r>
      <rPr>
        <rFont val="Arial"/>
        <color theme="1"/>
      </rPr>
      <t xml:space="preserve">1. 사용중 아이콘 영역 제공됨
 - 안내 문구 영역
 - </t>
    </r>
    <r>
      <rPr>
        <rFont val="Arial"/>
        <strike/>
        <color theme="1"/>
      </rPr>
      <t>[저장]</t>
    </r>
    <r>
      <rPr>
        <rFont val="Arial"/>
        <color theme="1"/>
      </rPr>
      <t>[관제적용] 버튼
 - 선택된 아이콘 영역
2. 아이콘 라이브러리 영역 제공됨
 - 안내 문구 영역
 - 아이콘 라이브러리</t>
    </r>
  </si>
  <si>
    <t>아이콘 라이브러리 설정</t>
  </si>
  <si>
    <t>1. 아이콘 라이브러리 안내 문구 확인</t>
  </si>
  <si>
    <t>1. 아이콘 라이브러리 안내 문구 제공됨
 - 문구 : 공통 아이콘 세트 중 필요한 항목을 선택하여 관제 화면에 노출할 수 있습니다.</t>
  </si>
  <si>
    <t>1. 아이콘 관리 : OFF</t>
  </si>
  <si>
    <t>1. 아이콘 라이브러리 항목 확인</t>
  </si>
  <si>
    <t>1. 아이콘 관리 OFF 시 비활성화됨</t>
  </si>
  <si>
    <t>1. 아이콘 관리 : ON</t>
  </si>
  <si>
    <t>1. 아이콘 관리 ON 시 활성화됨</t>
  </si>
  <si>
    <t>1. 입력 필드 확인
2. 아이콘명 입력</t>
  </si>
  <si>
    <t>1. 아이콘명 입력 가능함</t>
  </si>
  <si>
    <t>1. 체크/체크해제 동작 확인</t>
  </si>
  <si>
    <t>1. 체크 시 사용중 아이콘에 추가됨
 - 최대 15개까지 선택 가능
2. 체크해제 시 사용중 아이콘에서 제거됨</t>
  </si>
  <si>
    <t>사용중 아이콘</t>
  </si>
  <si>
    <t>1. 사용중 아이콘 안내 문구 확인</t>
  </si>
  <si>
    <t>1. 사용중 아이콘 안내 문구 확인
 - 문구 : 현재 관제 화면에 적용되는 아이콘 목록입니다. 우측 X 버튼으로 빠르게 제외할 수 있습니다.</t>
  </si>
  <si>
    <t>1. 체크된 아이콘 : X</t>
  </si>
  <si>
    <t>1. 사용중 아이콘 영역 확인</t>
  </si>
  <si>
    <r>
      <rPr>
        <rFont val="Arial"/>
        <color theme="1"/>
      </rPr>
      <t xml:space="preserve">1. 안내 문구 제공됨
 - 문구 : </t>
    </r>
    <r>
      <rPr>
        <rFont val="Arial"/>
        <strike/>
        <color theme="1"/>
      </rPr>
      <t xml:space="preserve">최소 6개, 최대 15개까지 선택이 가능합니다. </t>
    </r>
    <r>
      <rPr>
        <rFont val="Arial"/>
        <color theme="1"/>
      </rPr>
      <t>최소 6개 이상 선택해야 저장할 수 있습니다.</t>
    </r>
  </si>
  <si>
    <t>1. 체크된 아이콘 : 5개</t>
  </si>
  <si>
    <r>
      <rPr>
        <rFont val="Arial"/>
        <color theme="1"/>
      </rPr>
      <t xml:space="preserve">1. 안내 문구 제공됨
 - 문구 : </t>
    </r>
    <r>
      <rPr>
        <rFont val="Arial"/>
        <strike/>
        <color theme="1"/>
      </rPr>
      <t xml:space="preserve">최소 6개, 최대 15개까지 선택이 가능합니다. </t>
    </r>
    <r>
      <rPr>
        <rFont val="Arial"/>
        <color theme="1"/>
      </rPr>
      <t>최소 6개 이상 선택해야 저장할 수 있습니다.</t>
    </r>
  </si>
  <si>
    <t>1. 체크된 아이콘 : 6개 이상</t>
  </si>
  <si>
    <t>1. 안내 문구 비제공됨</t>
  </si>
  <si>
    <t>1. 체크된 아이콘 : 1개 이상</t>
  </si>
  <si>
    <t>1. 아이콘에서 [X] 버튼 선택</t>
  </si>
  <si>
    <t>1. 사용중 아이콘에서 제거되며, 아이콘 라이브러리에 체크 해제됨</t>
  </si>
  <si>
    <t>저장 및 관제연동</t>
  </si>
  <si>
    <t>1. [관제적용] 버튼 선택
2. 관제 페이지 우측 상단에서 아이콘 확인</t>
  </si>
  <si>
    <t>1. 설정한 아이콘이 우측 상단에 제공됨</t>
  </si>
  <si>
    <t>QA-14824</t>
  </si>
  <si>
    <t>아이콘 라이브버리에서 저장하자마자 적용됨</t>
  </si>
  <si>
    <t>코스 별 아이콘 색상 설정 영역</t>
  </si>
  <si>
    <t>1. 코스 별 아이콘 색상 설정 영역 확인</t>
  </si>
  <si>
    <r>
      <rPr>
        <rFont val="Arial"/>
        <color theme="1"/>
      </rPr>
      <t xml:space="preserve">1. 코스 별 아이콘 색상 설정 영역 제공됨
 - 안내 문구 영역
</t>
    </r>
    <r>
      <rPr>
        <rFont val="Arial"/>
        <strike/>
        <color theme="1"/>
      </rPr>
      <t xml:space="preserve"> - [초기화] / [저장] 버튼</t>
    </r>
    <r>
      <rPr>
        <rFont val="Arial"/>
        <color theme="1"/>
      </rPr>
      <t xml:space="preserve">
</t>
    </r>
    <r>
      <rPr>
        <rFont val="Arial"/>
        <strike/>
        <color theme="1"/>
      </rPr>
      <t xml:space="preserve"> - 코스(카드 형태)
</t>
    </r>
    <r>
      <rPr>
        <rFont val="Arial"/>
        <color theme="1"/>
      </rPr>
      <t xml:space="preserve"> - 코스별 아이콘 색상 설정 영역</t>
    </r>
  </si>
  <si>
    <t>1. 안내 문구 제공됨
 - 문구 : 관제에서 사용하는 코스 아이콘 컬러를 코스별로 각각 설정합니다.</t>
  </si>
  <si>
    <t>코스(카드)</t>
  </si>
  <si>
    <t>1. 코스 UI 확인</t>
  </si>
  <si>
    <r>
      <rPr>
        <rFont val="Arial"/>
        <color theme="1"/>
      </rPr>
      <t xml:space="preserve">1. 해당 골프장에 제공되는 코스가 카드 형태로 제공됨
</t>
    </r>
    <r>
      <rPr>
        <rFont val="Arial"/>
        <strike/>
        <color theme="1"/>
      </rPr>
      <t xml:space="preserve"> - Default : 빨 / 노 / 초 / 파 순</t>
    </r>
    <r>
      <rPr>
        <rFont val="Arial"/>
        <color theme="1"/>
      </rPr>
      <t xml:space="preserve">
 - {코스명}
 - 코스 색상 (20종)</t>
    </r>
  </si>
  <si>
    <t>1. 코스별 색상 선택</t>
  </si>
  <si>
    <t>1. 코스별 색상 선택 가능함
 - 코스 카드에서 코스명 색상 변경됨</t>
  </si>
  <si>
    <t>1. 색상 선택된 상태</t>
  </si>
  <si>
    <t>1. [초기화] 버튼 선택</t>
  </si>
  <si>
    <t>1. 모든 코스가 디폴트 색상으로 변경됨
 - 첫번째 코스 : 빨
 - 두번째 코스 : 노
 - 순서대로 등등</t>
  </si>
  <si>
    <t>기획 변경(개발 미구현)</t>
  </si>
  <si>
    <t>1. [저장] 버튼 선택
2. 관제 페이지 좌측 상단에서 아이콘 확인</t>
  </si>
  <si>
    <t>1. 코스 아이콘이 선택한 색상으로 제공됨</t>
  </si>
  <si>
    <t>관제팝업 내 그늘집 표시 영역</t>
  </si>
  <si>
    <t>1. 관제팝업 내 그늘집 표시 영역 확인</t>
  </si>
  <si>
    <t>1. 관제팝업 내 그늘집 표시 영역 제공됨
 - 안내 문구 영역
 - [저장] 버튼
 - 사용 토글
 - 코스별 그늘집 위치 체크 박스 영역</t>
  </si>
  <si>
    <t>1. 안내 문구 제공됨
 - 문구 : 관제팝업 코스보기 내, 그늘집 이미지를 추가하고 표시할 수 있습니다. 코스별 홀 위치를 선택하여 어느 홀 구간에 그늘집을 노출할지 설정합니다.</t>
  </si>
  <si>
    <t>사용 토글</t>
  </si>
  <si>
    <t>1. 사용 토글 활성화/비활성화 동작 확인</t>
  </si>
  <si>
    <t>1. 비활성화 시 체크박스 비활성화됨
2. 활성화 시 체크박스 활성화됨</t>
  </si>
  <si>
    <t>활성화 상태로 유지(비활성화 시 관제에 적용 안되므로 패스)</t>
  </si>
  <si>
    <t>코스(체크박스)</t>
  </si>
  <si>
    <t>1. 코스별 체크박스 영역 확인</t>
  </si>
  <si>
    <t>1. 해당 골프장에 제공되는 코스가 제공됨
 - 코스 : {코스명}
 - 그늘집 위치 : 1~9홀(체크박스)</t>
  </si>
  <si>
    <t>1. 코스별 그늘집 위치 체크 가능함
 - 복수로 다건 체크 가능
2. 체크해제 가능함</t>
  </si>
  <si>
    <t>1. 그늘집 위치 선택된 상태
2. 사용 토글 : ON</t>
  </si>
  <si>
    <t>1. [저장] 버튼 선택
2. 관제 페이지 확인</t>
  </si>
  <si>
    <t>1. 해당 홀에 그늘집 위치 제공됨
 - 1홀 선택 시 : 1홀 앞에 그늘집
 - 2홀 선택 시 : 1홀과 2홀 사이에 그늘집</t>
  </si>
  <si>
    <t>1. 그늘집 위치 선택된 상태
2. 사용 토글 : OFF</t>
  </si>
  <si>
    <t>1. 그늘집 위치 비제공됨</t>
  </si>
  <si>
    <t>1. 태블릿 운영 관리 대메뉴 선택
2. 메뉴 구성 확인</t>
  </si>
  <si>
    <r>
      <rPr>
        <rFont val="Arial"/>
        <color theme="1"/>
      </rPr>
      <t xml:space="preserve">1. 태블릿 운영 관리 메뉴가 제공됨
 - 태블릿 기능 설정
 - 메시지 관리
</t>
    </r>
    <r>
      <rPr>
        <rFont val="Arial"/>
        <strike/>
        <color theme="1"/>
      </rPr>
      <t xml:space="preserve"> - 광고 관리</t>
    </r>
    <r>
      <rPr>
        <rFont val="Arial"/>
        <color theme="1"/>
      </rPr>
      <t xml:space="preserve">
 - 홀 이벤트 관리</t>
    </r>
  </si>
  <si>
    <t>1. [태블릿 기능 설정] 메뉴 진입
2. 제공 정보 확인</t>
  </si>
  <si>
    <t>1. 태블릿 기능 설정 메뉴 제공됨(클라우드 UI)
 - 타이틀 : 태블릿 기능 설정
 - 안내 문구 영역
 - 경기 진행 설정 영역
 - 카트도로 이탈 메시지 영역
 - 긴급호출 연락처 영역
 - 고객 확인서 영역
 - 중대재해 확인서 영역
 - 추가 확인서 영역
 - 태블릿 설정 영역</t>
  </si>
  <si>
    <t>1. 태블릿 기능 설정 안내 문구 확인</t>
  </si>
  <si>
    <t>1. 안내 문구 제공됨
 - 문구 : 태블릿에 사용 가능한 기능들을 설정할 수 있습니다. \n 고객 확인서, 중대재해 확인서 및 카트 도로 이탈 메시지의 내용을 설정할 수 있으며, 긴급 호출 시 태블릿에 전송되는 연락처를 입력할 수 있습니다.</t>
  </si>
  <si>
    <t>경기 진행 설정 영역</t>
  </si>
  <si>
    <t>1. 경기 진행 설정 영역 확인</t>
  </si>
  <si>
    <t>1. 경기 진행 설정 영역 제공됨
 - 알림 문구 영역
 - 전체 기능수 / 활성화 기능 / 비활성화 기능
 - 기능 토글 13종</t>
  </si>
  <si>
    <t>QA-14845</t>
  </si>
  <si>
    <t>관제 지연카트 모니터링 기능이 다운로드로 제공되는 현상</t>
  </si>
  <si>
    <t>1. 안내 문구 제공됨
 - 태블릿에서 사용할 주요 기능의 노출 여부와 동작 방식을 설정합니다.</t>
  </si>
  <si>
    <t>전체 기능 수</t>
  </si>
  <si>
    <t>1. 전체 기능 수 영역 확인</t>
  </si>
  <si>
    <t>1. 전체 기능 수 제공됨(고정값)
 - 13</t>
  </si>
  <si>
    <t>활성화 기능</t>
  </si>
  <si>
    <t>1. 활성화 기능 영역 확인</t>
  </si>
  <si>
    <t>1. 아래 기능이 활성화된 수 제공됨
 - n</t>
  </si>
  <si>
    <t>비활성화 기능</t>
  </si>
  <si>
    <t>1. 비활성화 기능 영역 확인</t>
  </si>
  <si>
    <t>1. 아래 기능이 비활성화된 수 제공됨
 - n</t>
  </si>
  <si>
    <t>기능 토글</t>
  </si>
  <si>
    <t>1. 기능 토글 영역 확인</t>
  </si>
  <si>
    <t>1. 13종 기능 토글 영역이 제공됨
 - 컬럼 : 기능명 / 상세 설명 / 설정</t>
  </si>
  <si>
    <t>카트도로 이탈 방지 모드</t>
  </si>
  <si>
    <t>1. 카트도로 이탈 방지 모드 영역 확인</t>
  </si>
  <si>
    <t>1. 카트도로 이탈 방지 모드 영역 제공됨
 - 기능명 : 카트도로 이탈 방지 모드[툴팁]
 - 상세 설명 : 카트도로 이탈 시 태블릿에 경고창을 표시합니다. [셀프모드 전용]
 - 설정 : ON/OFF 토글</t>
  </si>
  <si>
    <t>문구 오류</t>
  </si>
  <si>
    <t>1. (i) 툴팁 버튼 선택</t>
  </si>
  <si>
    <r>
      <rPr>
        <rFont val="Arial"/>
        <color theme="1"/>
      </rPr>
      <t xml:space="preserve">1. 팝업 형태로 미리보기 화면 제공됨
</t>
    </r>
    <r>
      <rPr>
        <rFont val="Arial"/>
        <strike/>
        <color theme="1"/>
      </rPr>
      <t xml:space="preserve"> - 타이틀 : 카트도로 이탈 방지 모드
 - 문구 : 셀프모드에서 카트가 카트도로를 이탈했을때 태블릿에 경고팝업 송출</t>
    </r>
    <r>
      <rPr>
        <rFont val="Arial"/>
        <color theme="1"/>
      </rPr>
      <t xml:space="preserve">
 - [X] 버튼
 - 미리보기 화면
</t>
    </r>
    <r>
      <rPr>
        <rFont val="Arial"/>
        <strike/>
        <color theme="1"/>
      </rPr>
      <t xml:space="preserve"> - [닫기] 버튼</t>
    </r>
  </si>
  <si>
    <t>기획 변경</t>
  </si>
  <si>
    <t>1. (i) 툴팁 버튼 선택
2. [X] 버튼 선택</t>
  </si>
  <si>
    <t>1. 팝업 닫힘</t>
  </si>
  <si>
    <t>1. (i) 툴팁 버튼 선택
2. [닫기] 버튼 선택</t>
  </si>
  <si>
    <t>1. 토글 설정(ON or OFF)</t>
  </si>
  <si>
    <t>1. 확인 팝업 제공됨
 - 문구 : 설정을 변경하겠습니까?
 - [확인] / [취소] 버튼</t>
  </si>
  <si>
    <t>QA-14838</t>
  </si>
  <si>
    <t>확인 팝업 비제공</t>
  </si>
  <si>
    <t>1. 토글 설정(ON or OFF)
2. [취소] 버튼 선택</t>
  </si>
  <si>
    <t>1. 토글 설정 취소됨</t>
  </si>
  <si>
    <t>1. 토글 ON 설정
2. [확인] 버튼 선택</t>
  </si>
  <si>
    <r>
      <rPr>
        <rFont val="Arial"/>
        <color theme="1"/>
      </rPr>
      <t xml:space="preserve">1. 토글 설정 완료됨
</t>
    </r>
    <r>
      <rPr>
        <rFont val="Arial"/>
        <strike/>
        <color theme="1"/>
      </rPr>
      <t xml:space="preserve">
</t>
    </r>
    <r>
      <rPr>
        <rFont val="Arial"/>
        <b/>
        <strike/>
        <color theme="1"/>
      </rPr>
      <t xml:space="preserve"> * 카트도로 이탈 시 태블릿에 경고창 노출</t>
    </r>
  </si>
  <si>
    <t>QA-14836</t>
  </si>
  <si>
    <t>서버에러
*카트 연동은 범위 제외</t>
  </si>
  <si>
    <t>1. 토글 OFF 설정
2. [확인] 버튼 선택</t>
  </si>
  <si>
    <r>
      <rPr>
        <rFont val="Arial"/>
        <color theme="1"/>
      </rPr>
      <t xml:space="preserve">1. 토글 설정 완료됨
</t>
    </r>
    <r>
      <rPr>
        <rFont val="Arial"/>
        <strike/>
        <color theme="1"/>
      </rPr>
      <t xml:space="preserve">
</t>
    </r>
    <r>
      <rPr>
        <rFont val="Arial"/>
        <b/>
        <strike/>
        <color theme="1"/>
      </rPr>
      <t xml:space="preserve"> * 카트도로 이탈 시 태블릿에 경고창 비노출</t>
    </r>
  </si>
  <si>
    <t>고객확인서 팝업</t>
  </si>
  <si>
    <t>1. 고객확인서 팝업 영역 확인</t>
  </si>
  <si>
    <t>1. 고객확인서 팝업 영역 제공됨
 - 기능명 : 고객확인서[툴팁]
 - 상세 설명 : 라운드 시작 시 고객확인서를 팝업으로 표시합니다.
 - 설정 : ON/OFF 토글</t>
  </si>
  <si>
    <r>
      <rPr>
        <rFont val="Arial"/>
        <color theme="1"/>
      </rPr>
      <t xml:space="preserve">1. 팝업 형태로 미리보기 화면 제공됨
</t>
    </r>
    <r>
      <rPr>
        <rFont val="Arial"/>
        <strike/>
        <color theme="1"/>
      </rPr>
      <t xml:space="preserve"> - 타이틀 : 고객확인서 팝업
 - 문구 : 라운드 시작 시 고객확인서를 팝업으로 띄우는 기능</t>
    </r>
    <r>
      <rPr>
        <rFont val="Arial"/>
        <color theme="1"/>
      </rPr>
      <t xml:space="preserve">
 - [X] 버튼
 - 미리보기 화면
</t>
    </r>
    <r>
      <rPr>
        <rFont val="Arial"/>
        <strike/>
        <color theme="1"/>
      </rPr>
      <t xml:space="preserve"> - [닫기] 버튼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</si>
  <si>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태블릿에 고객확인서 제공</t>
    </r>
  </si>
  <si>
    <t>서버에러</t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</si>
  <si>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태블릿에 고객확인서 비제공</t>
    </r>
  </si>
  <si>
    <t>1. 중대재해 확인서 영역 제공됨
 - 기능명 : 중대재해 확인서[툴팁]
 - 상세 설명 : 중대재해 고객확인서 기능을 사용합니다.
 - 설정 : ON/OFF 토글</t>
  </si>
  <si>
    <r>
      <rPr>
        <rFont val="Arial"/>
        <color theme="1"/>
      </rPr>
      <t xml:space="preserve">1. 팝업 형태로 미리보기 화면 제공됨
</t>
    </r>
    <r>
      <rPr>
        <rFont val="Arial"/>
        <strike/>
        <color theme="1"/>
      </rPr>
      <t xml:space="preserve"> - 타이틀 : 중대재해 확인서
 - 문구 : 중대재해 확인서를 오픈하는 기능</t>
    </r>
    <r>
      <rPr>
        <rFont val="Arial"/>
        <color theme="1"/>
      </rPr>
      <t xml:space="preserve">
 - [X] 버튼
 - 미리보기 화면
</t>
    </r>
    <r>
      <rPr>
        <rFont val="Arial"/>
        <strike/>
        <color theme="1"/>
      </rPr>
      <t xml:space="preserve"> - [닫기] 버튼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</si>
  <si>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태블릿에 중대재해 확인서 제공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</si>
  <si>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태블릿에 중대재해 확인서 비제공</t>
    </r>
  </si>
  <si>
    <t>1. 설정 : OFF 상태</t>
  </si>
  <si>
    <t>1. 중대재해 확인서 하위 메뉴 확인</t>
  </si>
  <si>
    <t>1. 중대재해 확인서 OFF 시 비제공됨</t>
  </si>
  <si>
    <t>1. 설정 : ON 상태</t>
  </si>
  <si>
    <t>1. 중대재해 확인서 ON 시 제공됨
 - 상세 설명 : 중대재해 고객확인서 저장을 필수로 합니다.
 - [예] / [아니오] 버튼</t>
  </si>
  <si>
    <t>1. [예] / [아니오] 버튼 확인</t>
  </si>
  <si>
    <t>1. 예 / 아니오 설정 가능함</t>
  </si>
  <si>
    <t>1. 추가 확인서 영역 제공됨
 - 기능명 : 추가 확인서[툴팁]
 - 상세 설명 : 추가 확인서 기능을 사용합니다.
 - 설정 : ON/OFF 토글</t>
  </si>
  <si>
    <r>
      <rPr>
        <rFont val="Arial"/>
        <color theme="1"/>
      </rPr>
      <t xml:space="preserve">1. 팝업 형태로 미리보기 화면 제공됨
</t>
    </r>
    <r>
      <rPr>
        <rFont val="Arial"/>
        <strike/>
        <color theme="1"/>
      </rPr>
      <t xml:space="preserve"> - 타이틀 : 추가 확인서</t>
    </r>
    <r>
      <rPr>
        <rFont val="Arial"/>
        <color theme="1"/>
      </rPr>
      <t xml:space="preserve">
</t>
    </r>
    <r>
      <rPr>
        <rFont val="Arial"/>
        <strike/>
        <color theme="1"/>
      </rPr>
      <t xml:space="preserve"> - 문구 : 추가 확인서 기능을 사용하는 경우, 확인 항목을 커스터마이징하여 관리할 수 있습니다.</t>
    </r>
    <r>
      <rPr>
        <rFont val="Arial"/>
        <color theme="1"/>
      </rPr>
      <t xml:space="preserve">
 - [X] 버튼
 - 미리보기 화면
</t>
    </r>
    <r>
      <rPr>
        <rFont val="Arial"/>
        <strike/>
        <color theme="1"/>
      </rPr>
      <t xml:space="preserve"> - [닫기] 버튼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</si>
  <si>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태블릿에 추가 확인서 제공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</si>
  <si>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태블릿에 추가 확인서 비제공</t>
    </r>
  </si>
  <si>
    <t>1. 추가 확인서 하위 메뉴 확인</t>
  </si>
  <si>
    <t>1. 추가 확인서 OFF 시 비제공됨</t>
  </si>
  <si>
    <t>1. 추가 확인서 ON 시 제공됨
 - 상세 설명 : 추가 확인서 저장을 필수로 합니다.
 - [예] / [아니오] 버튼</t>
  </si>
  <si>
    <t>태블릿 관제 모드</t>
  </si>
  <si>
    <t>1. 태블릿 관제 모드 영역 확인</t>
  </si>
  <si>
    <t>1. 태블릿 관제 모드 영역 제공됨
 - 기능명 : 태블릿 관제 모드[툴팁]
 - 상세 설명 : 전체 코스 관제를 태블릿 화면에 표시합니다.
 - 설정 : ON/OFF 토글</t>
  </si>
  <si>
    <r>
      <rPr>
        <rFont val="Arial"/>
        <color theme="1"/>
      </rPr>
      <t xml:space="preserve">1. 팝업 형태로 미리보기 화면 제공됨
</t>
    </r>
    <r>
      <rPr>
        <rFont val="Arial"/>
        <strike/>
        <color theme="1"/>
      </rPr>
      <t xml:space="preserve"> - 타이틀 : 태블릿 관제 모드</t>
    </r>
    <r>
      <rPr>
        <rFont val="Arial"/>
        <color theme="1"/>
      </rPr>
      <t xml:space="preserve">
</t>
    </r>
    <r>
      <rPr>
        <rFont val="Arial"/>
        <strike/>
        <color theme="1"/>
      </rPr>
      <t xml:space="preserve"> - 문구 : 태블릿에서 전체 관제화면을 볼 수 있는 기능</t>
    </r>
    <r>
      <rPr>
        <rFont val="Arial"/>
        <color theme="1"/>
      </rPr>
      <t xml:space="preserve">
 - [X] 버튼
 - 미리보기 화면
</t>
    </r>
    <r>
      <rPr>
        <rFont val="Arial"/>
        <strike/>
        <color theme="1"/>
      </rPr>
      <t xml:space="preserve"> - [닫기] 버튼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</si>
  <si>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태블릿에 관제 모드 제공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</si>
  <si>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태블릿에 관제 모드 비제공</t>
    </r>
  </si>
  <si>
    <t>날씨 모니터링 모드</t>
  </si>
  <si>
    <t>1. 날씨 모니터링 모드 영역 확인</t>
  </si>
  <si>
    <t>1. 날씨 모니터링 모드 영역 제공됨
 - 기능명 : 날씨 모니터링 모드[툴팁]
 - 상세 설명 : 시간별 예상 날씨를 태블릿 화면에 표시합니다.
 - 설정 : ON/OFF 토글</t>
  </si>
  <si>
    <r>
      <rPr>
        <rFont val="Arial"/>
        <color theme="1"/>
      </rPr>
      <t xml:space="preserve">1. 팝업 형태로 미리보기 화면 제공됨
</t>
    </r>
    <r>
      <rPr>
        <rFont val="Arial"/>
        <strike/>
        <color theme="1"/>
      </rPr>
      <t xml:space="preserve"> - 타이틀 : 날씨
 - 문구 : 카트에서 날씨를 확인할 수 있는 기능</t>
    </r>
    <r>
      <rPr>
        <rFont val="Arial"/>
        <color theme="1"/>
      </rPr>
      <t xml:space="preserve">
 - [X] 버튼
 - 미리보기 화면
</t>
    </r>
    <r>
      <rPr>
        <rFont val="Arial"/>
        <strike/>
        <color theme="1"/>
      </rPr>
      <t xml:space="preserve"> - [닫기] 버튼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</si>
  <si>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태블릿에 시간별 예상 날씨 제공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</si>
  <si>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태블릿에 시간별 예상 날씨 비제공</t>
    </r>
  </si>
  <si>
    <t>대기 카트 표시</t>
  </si>
  <si>
    <t>1. 대기 카트 표시 영역 확인</t>
  </si>
  <si>
    <t>1. 대기 카트 표시 영역 제공됨
 - 기능명 : 대기 카트 표시[툴팁]
 - 상세 설명 : 후반 대기 카트 수를 태블릿 화면에 표시합니다.
 - 설정 : ON/OFF 토글</t>
  </si>
  <si>
    <r>
      <rPr>
        <rFont val="Arial"/>
        <color theme="1"/>
      </rPr>
      <t xml:space="preserve">1. 팝업 형태로 미리보기 화면 제공됨
</t>
    </r>
    <r>
      <rPr>
        <rFont val="Arial"/>
        <strike/>
        <color theme="1"/>
      </rPr>
      <t xml:space="preserve"> - 타이틀 : 대기 카트 표시
 - 문구 : 8번홀 진입 시 태블릿 우측 하단에 다음 코스 대기중인 카트가 표시되는 기능</t>
    </r>
    <r>
      <rPr>
        <rFont val="Arial"/>
        <color theme="1"/>
      </rPr>
      <t xml:space="preserve">
 - [X] 버튼
 - 미리보기 화면
</t>
    </r>
    <r>
      <rPr>
        <rFont val="Arial"/>
        <strike/>
        <color theme="1"/>
      </rPr>
      <t xml:space="preserve"> - [닫기] 버튼</t>
    </r>
  </si>
  <si>
    <r>
      <rPr>
        <rFont val="Arial"/>
        <color theme="1"/>
      </rPr>
      <t xml:space="preserve">1. 토글 설정 완료됨
</t>
    </r>
    <r>
      <rPr>
        <rFont val="Arial"/>
        <b/>
        <strike/>
        <color theme="1"/>
      </rPr>
      <t xml:space="preserve"> * 태블릿에 후반 대기 카트 수 제공(8번 홀)</t>
    </r>
  </si>
  <si>
    <t>카트 연동은 범위 제외</t>
  </si>
  <si>
    <r>
      <rPr>
        <rFont val="Arial"/>
        <color theme="1"/>
      </rPr>
      <t xml:space="preserve">1. 토글 설정 완료됨
</t>
    </r>
    <r>
      <rPr>
        <rFont val="Arial"/>
        <b/>
        <strike/>
        <color theme="1"/>
      </rPr>
      <t xml:space="preserve"> * 태블릿에 후반 대기 카트 수 비제공(8번 홀)</t>
    </r>
  </si>
  <si>
    <t>카트 이탈 경고 알림</t>
  </si>
  <si>
    <t>1. 카트 이탈 경고 알림 영역 확인</t>
  </si>
  <si>
    <t>1. 카트 이탈 경고 알림 영역 제공됨
 - 기능명 : 카트 이탈 경고 알림[툴팁]
 - 상세 설명 : 카트도로 이탈 시 경기과 관제화면에 안내 메시지를 표시합니다.
 - 설정 : ON/OFF 토글</t>
  </si>
  <si>
    <r>
      <rPr>
        <rFont val="Arial"/>
        <color theme="1"/>
      </rPr>
      <t xml:space="preserve">1. 팝업 형태로 미리보기 화면 제공됨
</t>
    </r>
    <r>
      <rPr>
        <rFont val="Arial"/>
        <strike/>
        <color theme="1"/>
      </rPr>
      <t xml:space="preserve"> - 타이틀 : 카트 이탈 경고 알림
 - 문구 : 카트가 카트도로를 이탈했을때 관제화면에 경고 메시지 송출</t>
    </r>
    <r>
      <rPr>
        <rFont val="Arial"/>
        <color theme="1"/>
      </rPr>
      <t xml:space="preserve">
 - [X] 버튼
 - 미리보기 화면
</t>
    </r>
    <r>
      <rPr>
        <rFont val="Arial"/>
        <strike/>
        <color theme="1"/>
      </rPr>
      <t xml:space="preserve"> - [닫기] 버튼</t>
    </r>
  </si>
  <si>
    <r>
      <rPr>
        <rFont val="Arial"/>
        <color theme="1"/>
      </rPr>
      <t xml:space="preserve">1. 토글 설정 완료됨
</t>
    </r>
    <r>
      <rPr>
        <rFont val="Arial"/>
        <strike/>
        <color theme="1"/>
      </rPr>
      <t xml:space="preserve">
</t>
    </r>
    <r>
      <rPr>
        <rFont val="Arial"/>
        <b/>
        <strike/>
        <color theme="1"/>
      </rPr>
      <t xml:space="preserve"> * 카트 이탈 시 관제 화면에 알림 제공</t>
    </r>
  </si>
  <si>
    <r>
      <rPr>
        <rFont val="Arial"/>
        <color theme="1"/>
      </rPr>
      <t xml:space="preserve">1. 토글 설정 완료됨
</t>
    </r>
    <r>
      <rPr>
        <rFont val="Arial"/>
        <strike/>
        <color theme="1"/>
      </rPr>
      <t xml:space="preserve">
</t>
    </r>
    <r>
      <rPr>
        <rFont val="Arial"/>
        <b/>
        <strike/>
        <color theme="1"/>
      </rPr>
      <t xml:space="preserve"> * 카트 이탈 시 관제 화면에 알림 비제공</t>
    </r>
  </si>
  <si>
    <t>그린 정보 팝업</t>
  </si>
  <si>
    <t>1. 그린 정보 팝업 영역 확인</t>
  </si>
  <si>
    <t>1. 그린 정보 팝업 영역 제공됨
 - 기능명 : 그린 정보 팝업[툴팁]
 - 상세 설명 : 티 박스에서 그린으로 카트 이동 시 그린정보 자동팝업을 활성화합니다.
 - 설정 : ON/OFF 토글</t>
  </si>
  <si>
    <r>
      <rPr>
        <rFont val="Arial"/>
        <color theme="1"/>
      </rPr>
      <t xml:space="preserve">1. 팝업 형태로 미리보기 화면 제공됨
 </t>
    </r>
    <r>
      <rPr>
        <rFont val="Arial"/>
        <strike/>
        <color theme="1"/>
      </rPr>
      <t>- 타이틀 : 그린 정보 팝업
 - 문구 : 카트가 그린으로 이동할때 태블릿에 그린팝업이 뜨도록 하는 기능</t>
    </r>
    <r>
      <rPr>
        <rFont val="Arial"/>
        <color theme="1"/>
      </rPr>
      <t xml:space="preserve">
 - [X] 버튼
 - 미리보기 화면
</t>
    </r>
    <r>
      <rPr>
        <rFont val="Arial"/>
        <strike/>
        <color theme="1"/>
      </rPr>
      <t xml:space="preserve"> - [닫기] 버튼</t>
    </r>
  </si>
  <si>
    <r>
      <rPr>
        <rFont val="Arial"/>
        <color theme="1"/>
      </rPr>
      <t xml:space="preserve">1. 토글 설정 완료됨
</t>
    </r>
    <r>
      <rPr>
        <rFont val="Arial"/>
        <strike/>
        <color theme="1"/>
      </rPr>
      <t xml:space="preserve">
</t>
    </r>
    <r>
      <rPr>
        <rFont val="Arial"/>
        <b/>
        <strike/>
        <color theme="1"/>
      </rPr>
      <t xml:space="preserve"> * 카트가 그린으로 이동 시 태블릿에 제공</t>
    </r>
  </si>
  <si>
    <r>
      <rPr>
        <rFont val="Arial"/>
        <color theme="1"/>
      </rPr>
      <t xml:space="preserve">1. 토글 설정 완료됨
</t>
    </r>
    <r>
      <rPr>
        <rFont val="Arial"/>
        <strike/>
        <color theme="1"/>
      </rPr>
      <t xml:space="preserve">
</t>
    </r>
    <r>
      <rPr>
        <rFont val="Arial"/>
        <b/>
        <strike/>
        <color theme="1"/>
      </rPr>
      <t xml:space="preserve"> * 카트가 그린으로 이동 시 태블릿에 비제공</t>
    </r>
  </si>
  <si>
    <t>태블릿 드론영상 TTS</t>
  </si>
  <si>
    <t>1. 태블릿 드론영상 TTS 영역 확인</t>
  </si>
  <si>
    <t>1. 태블릿 드론영상 TTS 영역 제공됨
 - 기능명 : 태블릿 드론영상 TTS[툴팁]
 - 상세 설명 : 태블릿 드론영상 내 텍스트 음성 변환 기능을 사용합니다.
 - 설정 : ON/OFF 토글</t>
  </si>
  <si>
    <r>
      <rPr>
        <rFont val="Arial"/>
        <color theme="1"/>
      </rPr>
      <t xml:space="preserve">1. 팝업 형태로 미리보기 화면 제공됨
</t>
    </r>
    <r>
      <rPr>
        <rFont val="Arial"/>
        <strike/>
        <color theme="1"/>
      </rPr>
      <t xml:space="preserve"> - 타이틀 : 태블릿 드론영상 TTS
 - 문구 : 홀 진입전 태블릿에 송출되는 드론영상에 홀 공략법을 음성으로 읽어주는 기능</t>
    </r>
    <r>
      <rPr>
        <rFont val="Arial"/>
        <color theme="1"/>
      </rPr>
      <t xml:space="preserve">
 - [X] 버튼
 - 미리보기 화면
</t>
    </r>
    <r>
      <rPr>
        <rFont val="Arial"/>
        <strike/>
        <color theme="1"/>
      </rPr>
      <t xml:space="preserve"> - [닫기] 버튼</t>
    </r>
  </si>
  <si>
    <r>
      <rPr>
        <rFont val="Arial"/>
        <color theme="1"/>
      </rPr>
      <t xml:space="preserve">1. 토글 설정 완료됨
</t>
    </r>
    <r>
      <rPr>
        <rFont val="Arial"/>
        <b/>
        <strike/>
        <color theme="1"/>
      </rPr>
      <t xml:space="preserve"> * 태블릿에 드론영상이 음성으로 제공됨</t>
    </r>
  </si>
  <si>
    <t>설정 동작 안함(태블릿 고도화때 확인 필요)</t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</si>
  <si>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</t>
    </r>
    <r>
      <rPr>
        <rFont val="Arial"/>
        <b/>
        <strike/>
        <color theme="1"/>
      </rPr>
      <t>* 태블릿에 드론영상이 음성으로 비제공됨</t>
    </r>
  </si>
  <si>
    <t>긴급 호출</t>
  </si>
  <si>
    <t>1. 긴급 호출 영역 확인</t>
  </si>
  <si>
    <t>1. 긴급 호출 영역 제공됨
 - 기능명 : 긴급 호출[툴팁]
 - 상세 설명 : 태블릿에서 관제로 긴급 호출을 요청하는 기능을 사용합니다.
 - 설정 : ON/OFF 토글</t>
  </si>
  <si>
    <r>
      <rPr>
        <rFont val="Arial"/>
        <color theme="1"/>
      </rPr>
      <t xml:space="preserve">1. 팝업 형태로 미리보기 화면 제공됨
 </t>
    </r>
    <r>
      <rPr>
        <rFont val="Arial"/>
        <strike/>
        <color theme="1"/>
      </rPr>
      <t>- 타이틀 : 긴급 호출
 - 문구 : 태블릿에서 관제화면으로 긴급 호출을 할수있도록 태블릿 우측하단에 긴급버튼 노출시키는 기능</t>
    </r>
    <r>
      <rPr>
        <rFont val="Arial"/>
        <color theme="1"/>
      </rPr>
      <t xml:space="preserve">
 - [X] 버튼
 - 미리보기 화면
</t>
    </r>
    <r>
      <rPr>
        <rFont val="Arial"/>
        <strike/>
        <color theme="1"/>
      </rPr>
      <t xml:space="preserve"> - [닫기] 버튼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</si>
  <si>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태블릿 우측 하단에 [긴급] 버튼 제공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</si>
  <si>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태블릿 우측 하단에 [긴급] 버튼 비제공</t>
    </r>
  </si>
  <si>
    <t>관제 긴급 메시지 기능</t>
  </si>
  <si>
    <t>1. 관제 긴급 메시지 기능 영역 확인</t>
  </si>
  <si>
    <t>1. 관제 긴급 메시지 기능 영역 제공됨
 - 기능명 : 관제 긴급 메시지 기능[툴팁]
 - 상세 설명 : 관제에서 기상 악화 등의 사유로 긴급 메시지를 보낼 수 있는 기능을 활성화합니다.
 - 설정 : ON/OFF 토글</t>
  </si>
  <si>
    <r>
      <rPr>
        <rFont val="Arial"/>
        <color theme="1"/>
      </rPr>
      <t xml:space="preserve">1. 팝업 형태로 미리보기 화면 제공됨
</t>
    </r>
    <r>
      <rPr>
        <rFont val="Arial"/>
        <strike/>
        <color theme="1"/>
      </rPr>
      <t xml:space="preserve"> - 타이틀 : 관제 긴급 메시지 기능
 - 문구 : 관제화면에서 천재지변등의 이유로 라운드중인 태블릿들에 경고메시지를 보내는 기능</t>
    </r>
    <r>
      <rPr>
        <rFont val="Arial"/>
        <color theme="1"/>
      </rPr>
      <t xml:space="preserve">
 - [X] 버튼
 - 미리보기 화면
</t>
    </r>
    <r>
      <rPr>
        <rFont val="Arial"/>
        <strike/>
        <color theme="1"/>
      </rPr>
      <t xml:space="preserve"> - [닫기] 버튼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</si>
  <si>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관제에 경고 메시지 보내는 기능이 활성화됨</t>
    </r>
  </si>
  <si>
    <r>
      <rPr>
        <rFont val="Arial"/>
        <color theme="1"/>
      </rPr>
      <t xml:space="preserve">1. 토글 설정 완료됨
</t>
    </r>
    <r>
      <rPr>
        <rFont val="Arial"/>
        <b/>
        <color theme="1"/>
      </rPr>
      <t xml:space="preserve"> * 관제에 경고 메시지 보내는 기능이 비활성화됨</t>
    </r>
  </si>
  <si>
    <t>카트도로 이탈 메시지 영역</t>
  </si>
  <si>
    <t>1. 카트도로 이탈 메시지 영역 확인</t>
  </si>
  <si>
    <t>1. 카트도로 이탈 메시지 영역 제공됨
 - 안내 문구 영역
 - 상세 메시지 / 수정일시 / 작성자 / 관리</t>
  </si>
  <si>
    <t>QA-14851</t>
  </si>
  <si>
    <t>타이틀에 (태블릿) 문구 노출</t>
  </si>
  <si>
    <t>1. 안내 문구 제공됨
 - 카트도로 이탈 방지 모드 사용 시 태블릿에 노출되는 안내 문구입니다.</t>
  </si>
  <si>
    <t>상세 메시지</t>
  </si>
  <si>
    <t>1. 상세 메시지 컬럼 값 확인</t>
  </si>
  <si>
    <t>1. 입력한 메시지 내용이 제공됨</t>
  </si>
  <si>
    <t>수정일시</t>
  </si>
  <si>
    <t>1. 수정일시 확인</t>
  </si>
  <si>
    <t>1. 최종으로 수정한 일시가 제공됨
 - yyyy-mm-dd hh:mm</t>
  </si>
  <si>
    <t>작성자</t>
  </si>
  <si>
    <t>1. 작성자 확인</t>
  </si>
  <si>
    <t>1. 최종으로 수정한 내부관리자 계정이 제공됨</t>
  </si>
  <si>
    <t>수정 팝업</t>
  </si>
  <si>
    <t>1. 관리 컬럼에 [수정] 버튼 선택</t>
  </si>
  <si>
    <t>1. 메시지 수정 팝업 제공됨
 - 타이틀 : 카트도로 이탈 메시지 수정
 - 메시지 타이틀 입력 필드???
 - 상세 입력 필드
 - [취소] / [저장] 버튼</t>
  </si>
  <si>
    <t>1. 메시지 타이틀 입력 필드 확인
2. 타이틀 입력</t>
  </si>
  <si>
    <t>1. 메시지 타이틀 입력 필드 제공됨
2. 타이틀 입력 가능함
 - 최대 20자</t>
  </si>
  <si>
    <t>1. 상세 메시지 입력 필드 확인
2. 상세 메시지 입력</t>
  </si>
  <si>
    <t>1. 상세 메시지 입력 필드 제공됨
2. 상세 메시지 입력 가능함
 - 최대 120자</t>
  </si>
  <si>
    <t>1. 메시지 수정 팝업 닫힘</t>
  </si>
  <si>
    <t>1. 입력 한 메시지 저장됨</t>
  </si>
  <si>
    <t>긴급호출 연락처 영역</t>
  </si>
  <si>
    <t>1. 긴급호출 연락처 영역 확인</t>
  </si>
  <si>
    <t>1. 긴급호출 연락처 영역 제공됨
 - 안내 문구 영역
 - 전화번호 / 수정일시 / 작성자 / 관리</t>
  </si>
  <si>
    <t>1. 안내 문구 제공됨
 - 태블릿 긴급 호출 시 플레이어에게 노출되거나 연결되는 대표 연락처입니다.</t>
  </si>
  <si>
    <t>전화번호</t>
  </si>
  <si>
    <t>1. 전화번호 컬럼 값 확인</t>
  </si>
  <si>
    <t>1. 입력한 전화번호 제공됨</t>
  </si>
  <si>
    <t>1. 메시지 수정 팝업 제공됨
 - 타이틀 : 긴급호출 연락처 수정
 - 전화번호 입력필드
 - [취소] / [저장] 버튼</t>
  </si>
  <si>
    <t>1. 전화번호 입력 필드 확인
2. 전화번호 입력</t>
  </si>
  <si>
    <t>1. 전화번호 입력 필드 제공됨
2. 전화번호 입력 가능함
 - 최대 16자 숫자만 입력 가능</t>
  </si>
  <si>
    <t>1. 전화번호 수정 팝업 닫힘</t>
  </si>
  <si>
    <t>1. 입력 한 전화번호 저장됨</t>
  </si>
  <si>
    <t>고객 확인서 영역</t>
  </si>
  <si>
    <t>1. 고객 확인서 영역 확인</t>
  </si>
  <si>
    <t>1. 고객 확인서 영역 제공됨
 - 안내 문구 영역
 - 상세 메시지 / 수정일시 / 작성자 / 관리</t>
  </si>
  <si>
    <t>1. 안내 문구 제공됨
 - 라운드 시작 전 태블릿 팝업으로 노출되는 고객 확인서 내용을 관리합니다.</t>
  </si>
  <si>
    <t>1. 메시지 수정 팝업 제공됨
 - 타이틀 : 고객 확인서 수정
 - 입력필드
 - [문구 초기화] 버튼
 - [취소] / [저장] 버튼</t>
  </si>
  <si>
    <t>1. 상세 메시지 입력 필드 제공됨
2. 상세 메시지 입력 가능함
 - 최대 8000자 입력 가능</t>
  </si>
  <si>
    <t>1. [문구 초기화] 버튼 선택</t>
  </si>
  <si>
    <t>1. 확인 팝업 제공됨
 - 문구 : 편집 중이던 내용을 취소하고, 기본 제공 문구로 초기화 하시겠습니까?
 - [확인] / [취소] 버튼
2. 확인 시 초기화됨</t>
  </si>
  <si>
    <t>중대재해 확인서 영역</t>
  </si>
  <si>
    <t>1. 중대재해 확인서 영역 제공됨
 - 안내 문구 영역
 - 상세 메시지 / 수정일시 / 작성자 / 관리</t>
  </si>
  <si>
    <r>
      <rPr>
        <rFont val="Arial"/>
        <color theme="1"/>
      </rPr>
      <t>1. 안내 문구 제공됨
 - *</t>
    </r>
    <r>
      <rPr>
        <rFont val="Arial"/>
        <color rgb="FFFF0000"/>
      </rPr>
      <t>내용 수정 시, 중대재해법에 따라 고객에게 안내되어야 하는 필수 내용이 누락되지 않도록 주의해 주세요. (태블릿 4.6.5 버전 이상 사용 가능)</t>
    </r>
  </si>
  <si>
    <t>1. 메시지 수정 팝업 제공됨
 - 타이틀 : 중대재해 확인서 수정
 - 안내 문구 입력 필드
 - 상세 입력 필드
 - 동의 안내 입력 필드
 - [문구 초기화] 버튼
 - [취소] / [저장] 버튼</t>
  </si>
  <si>
    <t>1. 안내 문구 입력 필드 확인
2. 안내 문구 입력</t>
  </si>
  <si>
    <t>1. 안내 문구 입력 필드 제공됨
2. 안내 문구 입력 가능함
 - 최대 100자</t>
  </si>
  <si>
    <t>1. 상세 메시지 입력 필드 제공됨
2. 상세 메시지 입력 가능함
 - 최대 8000자</t>
  </si>
  <si>
    <t>QA-14852</t>
  </si>
  <si>
    <t>줄바꿈하여 글작성 시 스크롤 생성 안되는 현상</t>
  </si>
  <si>
    <t>1. 동의 안내 입력 필드 확인
2. 동의 안내 입력</t>
  </si>
  <si>
    <t>1. 동의 안내 입력 필드 제공됨
2. 동의 안내 입력 가능함
 - 최대 65자</t>
  </si>
  <si>
    <t>추가 확인서 영역</t>
  </si>
  <si>
    <t>1. 추가 확인서 영역 제공됨
 - 안내 문구 영역
 - [확인 항목 추가] / [저장] 버튼
 - 항목 리스트</t>
  </si>
  <si>
    <r>
      <rPr>
        <rFont val="Arial"/>
        <color theme="1"/>
      </rPr>
      <t xml:space="preserve">1. 안내 문구 제공됨
 - </t>
    </r>
    <r>
      <rPr>
        <rFont val="Arial"/>
        <color rgb="FFFF0000"/>
      </rPr>
      <t>추가 확인서 기능을 사용하는 경우, 확인 항목을 커스터마이징하여 관리할 수 있습니다. 각 항목은 태블릿 서명 전 확인용으로 노출됩니다.</t>
    </r>
  </si>
  <si>
    <t>확인 항목 추가</t>
  </si>
  <si>
    <t>1. [+확인 항목 추가] 버튼 선택</t>
  </si>
  <si>
    <t>1. 확인 항목 행 추가됨</t>
  </si>
  <si>
    <t>1. 행 20개 추가된 상태</t>
  </si>
  <si>
    <t>1. 추가 불가 얼럿 제공됨
 - 문구 : 20개 초과하여 추가할 수 없습니다.</t>
  </si>
  <si>
    <t>확인 항목 리스트</t>
  </si>
  <si>
    <t>1. 확인 항목 리스트 확인</t>
  </si>
  <si>
    <r>
      <rPr>
        <rFont val="Arial"/>
        <color theme="1"/>
      </rPr>
      <t xml:space="preserve">1. 확인 항목 리스트 제공됨
</t>
    </r>
    <r>
      <rPr>
        <rFont val="Arial"/>
        <strike/>
        <color theme="1"/>
      </rPr>
      <t xml:space="preserve"> - Default : 4개</t>
    </r>
    <r>
      <rPr>
        <rFont val="Arial"/>
        <color theme="1"/>
      </rPr>
      <t xml:space="preserve">
 - 확인 항목명 / 라디오버튼 / [삭제] 버튼</t>
    </r>
  </si>
  <si>
    <t>확인 항목명 입력</t>
  </si>
  <si>
    <t>1. 확인 항목명 입력 필드 확인
2. 항목명 입력</t>
  </si>
  <si>
    <t>1. 확인 항목명 입력 필드 제공됨
 - Placeholder : 확인항목명을 입력해주세요.(예 : 카트 청소)
2. 항목명 입력 가능함
 - 최대 50자</t>
  </si>
  <si>
    <t>라디오 버튼</t>
  </si>
  <si>
    <t>1. 라디오 버튼 영역 확인
2. 라디오 버튼 선택</t>
  </si>
  <si>
    <t>1. 라디오 버튼 제공됨
 - [정상] / [비정상]
2. 라디오 버튼 선택 불가함(태블릿에서 체크하는 영역)</t>
  </si>
  <si>
    <t>삭제</t>
  </si>
  <si>
    <t>1. 항목 행에 [삭제] 버튼 선택</t>
  </si>
  <si>
    <t>1. 해당 행 삭제됨</t>
  </si>
  <si>
    <t>1. 항목 행에 [삭제] 버튼 선택
2. 화면 새로고침</t>
  </si>
  <si>
    <t>1. 삭제한 행이 반영되지않고 유지됨</t>
  </si>
  <si>
    <t>1. 항목명 : 미입력</t>
  </si>
  <si>
    <t>1. 미입력한 행도 저장됨(태블릿 반영 X)</t>
  </si>
  <si>
    <t>1. 항목명 : 입력</t>
  </si>
  <si>
    <t>1. 입력한 행 저장됨(태블릿 반영 O)</t>
  </si>
  <si>
    <t>1. 임의 행 삭제</t>
  </si>
  <si>
    <t>1. 행 삭제 완료됨</t>
  </si>
  <si>
    <t>태블릿 설정 영역</t>
  </si>
  <si>
    <t>1. 태블릿 잠금설정 : OFF</t>
  </si>
  <si>
    <t>1. 태블릿 설정 영역 확인</t>
  </si>
  <si>
    <r>
      <rPr>
        <rFont val="Arial"/>
        <strike/>
        <color theme="1"/>
      </rPr>
      <t xml:space="preserve">1. 태블릿 설정 영역 비제공됨
</t>
    </r>
    <r>
      <rPr>
        <rFont val="Arial"/>
        <color theme="1"/>
      </rPr>
      <t>1. 태블릿 설정 영역 제공됨(비활성화)</t>
    </r>
  </si>
  <si>
    <t>1. 태블릿 잠금설정 : ON</t>
  </si>
  <si>
    <r>
      <rPr>
        <rFont val="Arial"/>
        <color theme="1"/>
      </rPr>
      <t xml:space="preserve">1. 태블릿 설정 영역 제공됨
</t>
    </r>
    <r>
      <rPr>
        <rFont val="Arial"/>
        <strike/>
        <color theme="1"/>
      </rPr>
      <t xml:space="preserve"> - [저장] 버튼</t>
    </r>
    <r>
      <rPr>
        <rFont val="Arial"/>
        <color theme="1"/>
      </rPr>
      <t xml:space="preserve">
 - 기능명 : 잠금 모드 설정
 - 상세설명 : 정보보호를 위해 태블릿 최초 실행 시 비밀번호를 입력합니다.
 - 설정 : </t>
    </r>
    <r>
      <rPr>
        <rFont val="Arial"/>
        <strike/>
        <color theme="1"/>
      </rPr>
      <t xml:space="preserve">사용 / 미사용 (라디오 버튼) </t>
    </r>
    <r>
      <rPr>
        <rFont val="Arial"/>
        <color theme="1"/>
      </rPr>
      <t>ON/OFF 토글
 - 패스워드 변경 : [패스워드 변경] 버튼</t>
    </r>
  </si>
  <si>
    <t>1. 사용 버튼 선택
2. 미사용 버튼 선택</t>
  </si>
  <si>
    <t>1. 사용 버튼 선택 시 [변경] 버튼 활성화됨
2. 미사용 버튼 선택 시 [변경] 버튼 비활성화됨</t>
  </si>
  <si>
    <t>패스워드 변경</t>
  </si>
  <si>
    <t>1. 설정 : 사용 상태</t>
  </si>
  <si>
    <t>1. [변경] 버튼 선택</t>
  </si>
  <si>
    <r>
      <rPr>
        <rFont val="Arial"/>
        <color theme="1"/>
      </rPr>
      <t xml:space="preserve">1. 태블릿 패스워드 변경 팝업 제공됨
</t>
    </r>
    <r>
      <rPr>
        <rFont val="Arial"/>
        <strike/>
        <color theme="1"/>
      </rPr>
      <t xml:space="preserve"> - 안내 문구 : 태블릿 설정에 사용할 패스워드를 변경합니다.</t>
    </r>
    <r>
      <rPr>
        <rFont val="Arial"/>
        <color theme="1"/>
      </rPr>
      <t xml:space="preserve">
 - 새 패스워드 입력 필드
 - 새 패스워드 확인 입력 필드
</t>
    </r>
    <r>
      <rPr>
        <rFont val="Arial"/>
        <strike/>
        <color theme="1"/>
      </rPr>
      <t xml:space="preserve"> - 안내 문구2 : 숫자 4자리만 입력할 수 있습니다.</t>
    </r>
    <r>
      <rPr>
        <rFont val="Arial"/>
        <color theme="1"/>
      </rPr>
      <t xml:space="preserve">
 - [취소] / [변경] 버튼</t>
    </r>
  </si>
  <si>
    <t>1. 새 패스워드 입력 필드 확인
2. 새 패스워드 입력</t>
  </si>
  <si>
    <r>
      <rPr>
        <rFont val="Arial"/>
        <color theme="1"/>
      </rPr>
      <t xml:space="preserve">1. 새 패스워드 입력 필드 제공됨
 - Placeholder : </t>
    </r>
    <r>
      <rPr>
        <rFont val="Arial"/>
        <strike/>
        <color theme="1"/>
      </rPr>
      <t xml:space="preserve">새 패스워드를 입력하세요. </t>
    </r>
    <r>
      <rPr>
        <rFont val="Arial"/>
        <color theme="1"/>
      </rPr>
      <t>숫자 4자리 입력
2. 새 패스워드 입력 가능함
 - 숫자 4자리</t>
    </r>
  </si>
  <si>
    <t>1. 새 패스워드 확인 입력 필드 확인
2. 새 패스워드 확인 입력</t>
  </si>
  <si>
    <r>
      <rPr>
        <rFont val="Arial"/>
        <color theme="1"/>
      </rPr>
      <t xml:space="preserve">1. 새 패스워드 확인 입력 필드 제공됨
 - Placeholder : </t>
    </r>
    <r>
      <rPr>
        <rFont val="Arial"/>
        <strike/>
        <color theme="1"/>
      </rPr>
      <t xml:space="preserve">새 패스워드를 다시 입력하세요. </t>
    </r>
    <r>
      <rPr>
        <rFont val="Arial"/>
        <color theme="1"/>
      </rPr>
      <t>숫자 4자리 입력
2. 새 패스워드 확인 입력 가능함
 - 숫자 4자리</t>
    </r>
  </si>
  <si>
    <t>1. 태블릿 패스워드 변경 팝업 닫힘</t>
  </si>
  <si>
    <t>1. 새 패스워드 : 입력 X
2. 새 패스워드 확인 : 입력 X</t>
  </si>
  <si>
    <t>1. [변경] 버튼 확인</t>
  </si>
  <si>
    <t>1. 저장 버튼 비활성화</t>
  </si>
  <si>
    <t>1. 새 패스워드 : 입력 O
2. 새 패스워드 확인 : 입력 X</t>
  </si>
  <si>
    <t>1. 태블릿 패스워드 변경 적용되지 않음
 - 문구 : 새 패스워드와 패스워드 확인 값이 다릅니다. 정확히 입력해주세요.</t>
  </si>
  <si>
    <t>1. 새 패스워드 : 입력 X
2. 새 패스워드 확인 : 입력 O</t>
  </si>
  <si>
    <t>1. 새 패스워드 : 1111
2. 새 패스워드 확인 : 2222</t>
  </si>
  <si>
    <t>1. 새 패스워드 : 유효
2. 새 패스워드 확인 : 유효</t>
  </si>
  <si>
    <r>
      <rPr>
        <rFont val="Arial"/>
        <color theme="1"/>
      </rPr>
      <t xml:space="preserve">1. 태블릿 패스워드 변경 적용됨
</t>
    </r>
    <r>
      <rPr>
        <rFont val="Arial"/>
        <b/>
        <color theme="1"/>
      </rPr>
      <t xml:space="preserve">
 * 태블릿 확인 시 패스워드 입력 제공됨</t>
    </r>
  </si>
  <si>
    <t>태블릿 하단 메뉴 타입 영역</t>
  </si>
  <si>
    <t>1. 태블릿 하단 메뉴 타입 영역 확인</t>
  </si>
  <si>
    <t>1. 태블릿 하단 메뉴 타입 영역 제공됨
 - [저장] 버튼
 - 상세설명 : 태블릿 하단 메뉴들의 표시 방법을 선택합니다.
 - 설정 : 텍스트 / 아이콘 (라디오 버튼)</t>
  </si>
  <si>
    <t>태블릿 고도화때 구현될 예정</t>
  </si>
  <si>
    <t>1. 텍스트 버튼 선택
2. 아이콘 버튼 선택</t>
  </si>
  <si>
    <t>1. 라디오 버튼 선택 가능함</t>
  </si>
  <si>
    <t>1. 설정 : 텍스트</t>
  </si>
  <si>
    <r>
      <rPr>
        <rFont val="Arial"/>
        <color theme="1"/>
      </rPr>
      <t xml:space="preserve">1. 텍스트로 설정 저장됨
</t>
    </r>
    <r>
      <rPr>
        <rFont val="Arial"/>
        <b/>
        <color theme="1"/>
      </rPr>
      <t xml:space="preserve"> * 태블릿 하단 메뉴가 텍스트로 제공</t>
    </r>
  </si>
  <si>
    <t>1. 설정 : 아이콘</t>
  </si>
  <si>
    <r>
      <rPr>
        <rFont val="Arial"/>
        <color theme="1"/>
      </rPr>
      <t xml:space="preserve">1. 아이콘으로 설정 저장됨
</t>
    </r>
    <r>
      <rPr>
        <rFont val="Arial"/>
        <b/>
        <color theme="1"/>
      </rPr>
      <t xml:space="preserve"> * 태블릿 하단 메뉴가 아이콘으로 제공</t>
    </r>
  </si>
  <si>
    <t>1. [메시지 관리] 메뉴 진입
2. 제공 정보 확인</t>
  </si>
  <si>
    <t>1. 메시지 관리 메뉴 제공됨(클라우드 UI)
 - 타이틀 : 태블릿 기능 설정
 - 안내 문구 영역
 - [태블릿 메시지] / [셀프모드 메시지] / [뒷카트 알림 메시지] / [센터 메시지] / [분실물&amp;요청물품] 탭 버튼
 - 탭 별 하위 항목</t>
  </si>
  <si>
    <t>QA-14855</t>
  </si>
  <si>
    <t>분실물&amp;요청물품 탭 문구 수정 필요</t>
  </si>
  <si>
    <t>1. 메시지 관리 안내 문구 확인</t>
  </si>
  <si>
    <t>1. 안내 문구 제공됨
 - 문구 : 태블릿 및 센터에서 자주 사용하는 메시지를 등록 후 순서를 배정하여 이용할 수 있습니다. 또한, 구역 발송 메시지 설정을 하여 특정구역 진입 시 전송되는 메시지를 관리할 수 있습니다.</t>
  </si>
  <si>
    <t>1. [현재버전 nn ▲ ] 버튼 확인
2. 버튼 선택</t>
  </si>
  <si>
    <r>
      <rPr>
        <rFont val="Arial"/>
        <color theme="1"/>
      </rPr>
      <t xml:space="preserve">1. 버전 업데이트 버튼 제공됨
2. 버튼 선택 시 설정한 정보가 태블릿에 적용됨
</t>
    </r>
    <r>
      <rPr>
        <rFont val="Arial"/>
        <b/>
        <color theme="1"/>
      </rPr>
      <t xml:space="preserve"> * 버전 업데이트 하지 않을 경우 저장한 데이터는 반영되지 않음</t>
    </r>
  </si>
  <si>
    <t>태블릿 메시지</t>
  </si>
  <si>
    <t>1. [태블릿 메시지] 탭 선택
2. 제공 정보 확인</t>
  </si>
  <si>
    <t>1. 태블릿 메시지의 하위 메뉴가 제공됨
 - 태블릿 관제 버튼 배열 미리보기 영역
 - 태블릿 관제 메시지 관리 영역</t>
  </si>
  <si>
    <t>태블릿 관제 버튼 배열 미리보기 영역</t>
  </si>
  <si>
    <t>1. 태블릿 관제 버튼 배열 미리보기 영역 확인</t>
  </si>
  <si>
    <t>1. 태블릿 관제 버튼 배열 미리보기 영역 제공됨
 - 안내 문구
 - [저장] 버튼
 - 메시지 배열 (21개)</t>
  </si>
  <si>
    <t>서브 타이틀 및 안내 문구 오류</t>
  </si>
  <si>
    <t>1. 안내 문구 제공됨
 - 문구 : 버튼을 드래그&amp;드롭 하여 태블릿 상에 나타날 순서를 조정할 수 있습니다.</t>
  </si>
  <si>
    <t>안내 문구 비노출</t>
  </si>
  <si>
    <t>드래그&amp;드롭</t>
  </si>
  <si>
    <t>1. 태블릿 관제 메시지 관리에서 설정된 상태</t>
  </si>
  <si>
    <t>1. 드래그 &gt; 원하는 위치에 드롭</t>
  </si>
  <si>
    <t>1. 해당 위치로 이동됨</t>
  </si>
  <si>
    <t>1. 드래그 &gt; 원하는 위치에 드롭
2. [저장] 버튼 선택</t>
  </si>
  <si>
    <r>
      <rPr>
        <rFont val="Arial"/>
        <color theme="1"/>
      </rPr>
      <t xml:space="preserve">1. 배열 저장됨
</t>
    </r>
    <r>
      <rPr>
        <rFont val="Arial"/>
        <b/>
        <color theme="1"/>
      </rPr>
      <t xml:space="preserve">
 * 버전 업데이트 &gt; 태블릿 &gt; 메신저 &gt; 적용 확인</t>
    </r>
  </si>
  <si>
    <t>태블릿 관제 메시지 관리 영역</t>
  </si>
  <si>
    <t>1.  태블릿 관제 메시지 관리 영역 확인</t>
  </si>
  <si>
    <t>1. 태블릿 관제 메시지 관리 영역 제공됨
 - 안내 문구
 - [입력란 추가] / [저장] 버튼
 - 입력 리스트 영역
  a. 제목 / 메시지 / 관리</t>
  </si>
  <si>
    <t>1. 안내 문구 제공됨
 - 문구 : 아래 목록에서 제목과 메시지 내용을 수정합니다.</t>
  </si>
  <si>
    <t>입력란 추가</t>
  </si>
  <si>
    <t>1. [입력란 추가] 버튼 선택</t>
  </si>
  <si>
    <t>1. 입력란 행이 추가됨</t>
  </si>
  <si>
    <t>1. 행 : 21개 존재</t>
  </si>
  <si>
    <r>
      <rPr>
        <rFont val="Arial"/>
        <color theme="1"/>
      </rPr>
      <t xml:space="preserve">1. 입력란 행 추가되지 않음
 - 문구 : </t>
    </r>
    <r>
      <rPr>
        <rFont val="Arial"/>
        <strike/>
        <color theme="1"/>
      </rPr>
      <t xml:space="preserve">태블릿 관제 메시지는 21개까지만 등록 가능합니다. </t>
    </r>
    <r>
      <rPr>
        <rFont val="Arial"/>
        <color theme="1"/>
      </rPr>
      <t>21개 이상의 메시지는 등록할 수 없습니다.</t>
    </r>
  </si>
  <si>
    <t>제목 입력</t>
  </si>
  <si>
    <t>1. 제목 입력 필드 확인
2. 제목 입력</t>
  </si>
  <si>
    <t>1. 제목 입력 필드 제공됨
2. 제목 입력 가능함
 - 최대 100자</t>
  </si>
  <si>
    <t>QA-14859</t>
  </si>
  <si>
    <t>49자</t>
  </si>
  <si>
    <t>메시지 입력</t>
  </si>
  <si>
    <t>1. 메시지 입력 필드 확인
2. 메시지 입력</t>
  </si>
  <si>
    <t>1. 메시지 입력 필드 제공됨
2. 메시지 입력 가능함
 - 최대 100자</t>
  </si>
  <si>
    <t>1. 행 추가 후 입력 상태</t>
  </si>
  <si>
    <r>
      <rPr>
        <rFont val="Arial"/>
        <color theme="1"/>
      </rPr>
      <t xml:space="preserve">1. 저장 시 상단 미리보기에 반영됨
</t>
    </r>
    <r>
      <rPr>
        <rFont val="Arial"/>
        <b/>
        <color theme="1"/>
      </rPr>
      <t xml:space="preserve">
 * 버전 업데이트 &gt; 태블릿 &gt; 메신저 &gt; 적용 확인</t>
    </r>
  </si>
  <si>
    <t>1. 행 삭제 상태</t>
  </si>
  <si>
    <r>
      <rPr>
        <rFont val="Arial"/>
        <color theme="1"/>
      </rPr>
      <t xml:space="preserve">1. 저장 시 행 삭제 반영됨
</t>
    </r>
    <r>
      <rPr>
        <rFont val="Arial"/>
        <b/>
        <color theme="1"/>
      </rPr>
      <t xml:space="preserve">
 * 버전 업데이트 &gt; 태블릿 &gt; 메신저 &gt; 적용 확인</t>
    </r>
  </si>
  <si>
    <t>QA-14860</t>
  </si>
  <si>
    <t>저장 안했으나 반영됨</t>
  </si>
  <si>
    <t>셀프모드 메시지</t>
  </si>
  <si>
    <t>1. [셀프모드 메시지] 탭 선택
2. 제공 정보 확인</t>
  </si>
  <si>
    <t>1. 셀프모드 메시지의 하위 메뉴가 제공됨
 - 태블릿 관제 버튼 배열 미리보기 영역
 - 태블릿 관제 메시지 관리 영역</t>
  </si>
  <si>
    <r>
      <rPr>
        <rFont val="Arial"/>
        <color theme="1"/>
      </rPr>
      <t xml:space="preserve">1. 배열 저장됨
</t>
    </r>
    <r>
      <rPr>
        <rFont val="Arial"/>
        <b/>
        <color theme="1"/>
      </rPr>
      <t xml:space="preserve">
 * 버전 업데이트 &gt; 태블릿 &gt; 메신저 &gt; 적용 확인</t>
    </r>
  </si>
  <si>
    <t>1. 입력란 행 추가되지 않음
 - 문구 : 21개 이상의 메시지는 등록할 수 없습니다.</t>
  </si>
  <si>
    <t>100자 초과 시 저장안됨</t>
  </si>
  <si>
    <r>
      <rPr>
        <rFont val="Arial"/>
        <color theme="1"/>
      </rPr>
      <t xml:space="preserve">1. 저장 시 상단 미리보기에 반영됨
</t>
    </r>
    <r>
      <rPr>
        <rFont val="Arial"/>
        <b/>
        <color theme="1"/>
      </rPr>
      <t xml:space="preserve">
 * 버전 업데이트 &gt; 태블릿 &gt; 메신저 &gt; 적용 확인</t>
    </r>
  </si>
  <si>
    <r>
      <rPr>
        <rFont val="Arial"/>
        <color theme="1"/>
      </rPr>
      <t xml:space="preserve">1. 저장 시 행 삭제 반영됨
</t>
    </r>
    <r>
      <rPr>
        <rFont val="Arial"/>
        <b/>
        <color theme="1"/>
      </rPr>
      <t xml:space="preserve">
 * 버전 업데이트 &gt; 태블릿 &gt; 메신저 &gt; 적용 확인</t>
    </r>
  </si>
  <si>
    <t>뒷카트 알림 메시지</t>
  </si>
  <si>
    <t>1. [뒷카트 알림 메시지] 탭 선택
2. 제공 정보 확인</t>
  </si>
  <si>
    <t>1. 뒷카트 알림 메시지 영역 제공됨
 - 안내 문구
 - [저장] 버튼
 - 메시지 입력 영역</t>
  </si>
  <si>
    <t>1. 안내 문구 제공됨
 - 문구 : 카트가 특정 구역에 진입했을 때 뒷카트에게 자동으로 전송할 메시지를 관리합니다. \n 해당 구역은 [홀맵관리 &gt; 홀맵구역관리 &gt; 구역관리] 에서 [뒷카트 알림 설정] 에서 설정합니다.</t>
  </si>
  <si>
    <r>
      <rPr>
        <rFont val="Arial"/>
        <color theme="1"/>
      </rPr>
      <t xml:space="preserve">1. 메시지 입력 필드 제공됨
2. 메시지 입력 가능함
</t>
    </r>
    <r>
      <rPr>
        <rFont val="Arial"/>
        <strike/>
        <color theme="1"/>
      </rPr>
      <t xml:space="preserve"> - 최대 ?</t>
    </r>
  </si>
  <si>
    <t>1. 메시지 입력 상태</t>
  </si>
  <si>
    <r>
      <rPr>
        <rFont val="Arial"/>
        <color theme="1"/>
      </rPr>
      <t xml:space="preserve">1. 입력한 메시지 저장됨
</t>
    </r>
    <r>
      <rPr>
        <rFont val="Arial"/>
        <b/>
        <color theme="1"/>
      </rPr>
      <t xml:space="preserve">
 * 버전 업데이트 &gt; 태블릿 &gt; 적용 확인</t>
    </r>
  </si>
  <si>
    <t>센터 메시지</t>
  </si>
  <si>
    <t>1. [센터 메시지] 탭 선택
2. 제공 정보 확인</t>
  </si>
  <si>
    <t>1. 센터메시지 영역 제공됨
 - 안내 문구
 - [입력란 추가] / [저장] 버튼
 - 입력 리스트 영역
  a. 순서 / 제목 / 메시지 / 관리</t>
  </si>
  <si>
    <t>1. 안내 문구 제공됨
 - 문구 : 센터에서 자주 사용하는 안내 메시지를 등록하고, 행 드래그앤드롭으로 적용 순서를 직접 변경할 수 있습니다.</t>
  </si>
  <si>
    <t>1. 행 : 21</t>
  </si>
  <si>
    <t>순서 변경</t>
  </si>
  <si>
    <t>1. 메시지 2건 이상 존재</t>
  </si>
  <si>
    <t>1. 드래그 &gt; 드랍으로 순서 변경</t>
  </si>
  <si>
    <t>1. 메시지 순서 변경됨</t>
  </si>
  <si>
    <t>1. 제목 입력 필드 제공됨
2. 제목 입력 가능함
 - 최대 10자</t>
  </si>
  <si>
    <t>QA-14861</t>
  </si>
  <si>
    <t>초과 가능</t>
  </si>
  <si>
    <r>
      <rPr>
        <rFont val="Arial"/>
        <color theme="1"/>
      </rPr>
      <t xml:space="preserve">1. 입력한 메시지 저장됨
</t>
    </r>
    <r>
      <rPr>
        <rFont val="Arial"/>
        <b/>
        <color theme="1"/>
      </rPr>
      <t xml:space="preserve">
 * 버전 업데이트 &gt; 관제에서 적용 확인</t>
    </r>
  </si>
  <si>
    <r>
      <rPr>
        <rFont val="Arial"/>
        <color theme="1"/>
      </rPr>
      <t xml:space="preserve">1. 저장 시 행 삭제 반영됨
</t>
    </r>
    <r>
      <rPr>
        <rFont val="Arial"/>
        <b/>
        <color theme="1"/>
      </rPr>
      <t xml:space="preserve">
 * 버전 업데이트 &gt; 관제에서 적용 확인</t>
    </r>
  </si>
  <si>
    <t>분실물&amp;요청물품</t>
  </si>
  <si>
    <t>1. [분실물&amp;요청물품] 탭 선택
2. 제공 정보 확인</t>
  </si>
  <si>
    <t>1. 분실물&amp;요청물품 영역 제공됨
 - 분실물 영역
 - 요청물품 영역</t>
  </si>
  <si>
    <t>분실물 영역</t>
  </si>
  <si>
    <t>1. 분실물 영역 확인</t>
  </si>
  <si>
    <t>1. 분실물 영역 제공됨
 - 안내 문구
 - [입력란 추가] / [저장] 버튼
 - 입력 리스트 영역
  a. 순서 / 분실물 명 / 관리</t>
  </si>
  <si>
    <t>1. 안내 문구 제공됨
 - 문구 : 분실물을 등록하고 관리할 수 있습니다.</t>
  </si>
  <si>
    <t>1. 행 : 20건</t>
  </si>
  <si>
    <t>1. 입력란 행 추가되지 않음
 - 문구 : ???</t>
  </si>
  <si>
    <t>QA-14867</t>
  </si>
  <si>
    <t>21개까지 가능</t>
  </si>
  <si>
    <t>1. 행 2건 이상 존재</t>
  </si>
  <si>
    <t>1. 행 순서 변경됨</t>
  </si>
  <si>
    <t>분실물 입력</t>
  </si>
  <si>
    <t>1. 분실물 입력 필드 확인
2. 분실물 입력</t>
  </si>
  <si>
    <t>1. 분실물 입력 필드 제공됨
2. 분실물 입력 가능함
 - 최대 20자</t>
  </si>
  <si>
    <t>20자 초과 입력 가능</t>
  </si>
  <si>
    <r>
      <rPr>
        <rFont val="Arial"/>
        <color theme="1"/>
      </rPr>
      <t xml:space="preserve">1. 입력한 내용 저장됨
</t>
    </r>
    <r>
      <rPr>
        <rFont val="Arial"/>
        <b/>
        <color theme="1"/>
      </rPr>
      <t xml:space="preserve">
 * 버전 업데이트 &gt; 태블릿 &gt; 적용 확인</t>
    </r>
  </si>
  <si>
    <r>
      <rPr>
        <rFont val="Arial"/>
        <color theme="1"/>
      </rPr>
      <t xml:space="preserve">1. 저장 시 행 삭제 반영됨
</t>
    </r>
    <r>
      <rPr>
        <rFont val="Arial"/>
        <b/>
        <color theme="1"/>
      </rPr>
      <t xml:space="preserve">
 * 버전 업데이트 &gt; 관제에서 적용 확인</t>
    </r>
  </si>
  <si>
    <t>요청물품 영역</t>
  </si>
  <si>
    <t>1. 요청물품 영역 확인</t>
  </si>
  <si>
    <t>1. 요청물품 영역 제공됨
 - 안내 문구
 - [입력란 추가] / [저장] 버튼
 - 입력 리스트 영역
  a. 순서 / 요청물품 명 / 관리</t>
  </si>
  <si>
    <t>1. 안내 문구 제공됨
 - 문구 : 요청물품을 등록하고 관리할 수 있습니다.</t>
  </si>
  <si>
    <t>요청물품 입력</t>
  </si>
  <si>
    <t>1. 요청물품 입력 필드 확인
2. 요청물품 입력</t>
  </si>
  <si>
    <t>1. 요청물품 입력 필드 제공됨
2. 요청물품 입력 가능함
 - 최대 20자</t>
  </si>
  <si>
    <r>
      <rPr>
        <rFont val="Arial"/>
        <color theme="1"/>
      </rPr>
      <t xml:space="preserve">1. 입력한 내용 저장됨
</t>
    </r>
    <r>
      <rPr>
        <rFont val="Arial"/>
        <b/>
        <color theme="1"/>
      </rPr>
      <t xml:space="preserve">
 * 버전 업데이트 &gt; 태블릿 &gt; 적용 확인</t>
    </r>
  </si>
  <si>
    <r>
      <rPr>
        <rFont val="Arial"/>
        <color theme="1"/>
      </rPr>
      <t xml:space="preserve">1. 저장 시 행 삭제 반영됨
</t>
    </r>
    <r>
      <rPr>
        <rFont val="Arial"/>
        <b/>
        <color theme="1"/>
      </rPr>
      <t xml:space="preserve">
 * 버전 업데이트 &gt; 관제에서 적용 확인</t>
    </r>
  </si>
  <si>
    <t>1. [홀 이벤트 관리] 메뉴 진입
2. 제공 정보 확인</t>
  </si>
  <si>
    <t>1. 홀 이벤트 관리 메뉴 제공됨(클라우드 UI)
 - 타이틀 : 홀 이벤트 관리
 - 안내 문구 영역
 - 홀 이벤트 영역
 - 아이템 영역</t>
  </si>
  <si>
    <r>
      <rPr>
        <rFont val="Arial"/>
        <color theme="1"/>
      </rPr>
      <t xml:space="preserve">1. 안내 문구 제공됨
 - 문구 : 특정 홀 진입 시 등록된 이벤트 이미지가 팝업 형태로 송출됩니다. \n 이미지는 700 X 480 사이즈로 등록해야 태블릿에서 </t>
    </r>
    <r>
      <rPr>
        <rFont val="Arial"/>
        <strike/>
        <color theme="1"/>
      </rPr>
      <t xml:space="preserve">깨져 보이지 않습니다. </t>
    </r>
    <r>
      <rPr>
        <rFont val="Arial"/>
        <color theme="1"/>
      </rPr>
      <t>정확히 보여집니다.</t>
    </r>
  </si>
  <si>
    <t>QA-14869</t>
  </si>
  <si>
    <t>안내문구 오류</t>
  </si>
  <si>
    <r>
      <rPr>
        <rFont val="Arial"/>
        <color theme="1"/>
      </rPr>
      <t xml:space="preserve">1. 버전 업데이트 버튼 제공됨
2. 버튼 선택 시 설정한 정보가 태블릿에 적용됨
</t>
    </r>
    <r>
      <rPr>
        <rFont val="Arial"/>
        <b/>
        <color theme="1"/>
      </rPr>
      <t xml:space="preserve"> * 버전 업데이트 하지 않을 경우 저장한 데이터는 반영되지 않음</t>
    </r>
  </si>
  <si>
    <t>버튼 동작만 확인(연동은 제외)</t>
  </si>
  <si>
    <t>홀 이벤트 영역</t>
  </si>
  <si>
    <t>1. 홀 이벤트 영역 확인</t>
  </si>
  <si>
    <t>1. 홀 이벤트 영역 제공됨
 - 안내 문구 영역
 - [홀 이벤트 추가] 버튼
 - 검색 필터
 - 홀 이벤트 리스트</t>
  </si>
  <si>
    <t>1. 안내 문구 제공됨
 - 문구 : 코스별 특정 홀에 노출되는 이벤트를 등록하고 수정할 수 있습니다.</t>
  </si>
  <si>
    <t>검색 필터</t>
  </si>
  <si>
    <t>1. 검색 필터 영역 확인</t>
  </si>
  <si>
    <t>1. 검색 필터 제공됨
 - [코스 드롭다운] / [홀 드롭다운] / [적용] 버튼</t>
  </si>
  <si>
    <t>1. 코스 드롭다운 항목 확인
2. 코스 선택
3. [적용] 버튼 선택</t>
  </si>
  <si>
    <t>1. 코스 드롭다운 항목 제공됨
2. 선택한 코스로 검색 결과 제공됨</t>
  </si>
  <si>
    <t>1. 홀 드롭다운 항목 확인
2. 홀 선택
3. [적용] 버튼 선택</t>
  </si>
  <si>
    <t>1. 홀 드롭다운 항목 제공됨
2. 선택한 홀로 검색 결과 제공됨</t>
  </si>
  <si>
    <t>1. 코스+홀 선택</t>
  </si>
  <si>
    <t>1. [적용] 버튼 선택</t>
  </si>
  <si>
    <t>1. 선택한 코스+홀로 검색 결과 제공됨</t>
  </si>
  <si>
    <t>홀 이벤트 추가 팝업</t>
  </si>
  <si>
    <t>홀 이벤트 추가</t>
  </si>
  <si>
    <t>1. [홀 이벤트 추가] 버튼 선택
2. 제공 정보 확인</t>
  </si>
  <si>
    <t>1. 홀 이벤트 추가 팝업 제공됨
 - 안내 문구 영역
 - (우측 상단) [X] 버튼
 - 코스 선택 드롭다운 *
 - 홀 번호 선택 드롭다운 *
 - 아이템 선택 드롭다운 *
 - 이벤트 노출시간 입력 필드 *
 - [취소] / [저장] 버튼</t>
  </si>
  <si>
    <t>QA-14875</t>
  </si>
  <si>
    <t>타이틀 띄어쓰기 및 이벤트 노출시간 안내 문구 기획과 상이</t>
  </si>
  <si>
    <t>1. 안내 문구 제공됨
 - 문구 : 코스, 홀 번호, 등록된 아이템, 노출시간을 설정해 홀 이벤트를 추가합니다.</t>
  </si>
  <si>
    <t>1. [X] or [취소] 버튼 선택</t>
  </si>
  <si>
    <t>1. 홀 이벤트 추가 팝업 닫힘</t>
  </si>
  <si>
    <t>코스 선택</t>
  </si>
  <si>
    <t>1. 코스 드롭다운 확인
2. 코스 드롭다운 선택</t>
  </si>
  <si>
    <t>1. 코스 드롭다운 제공됨
 - 해당 골프장에 등록된 코스 리스트
2. 코스 선택 가능함</t>
  </si>
  <si>
    <t>홀 번호 선택</t>
  </si>
  <si>
    <t>1. 홀 번호 드롭다운 확인
2. 홀 번호 드롭다운 선택</t>
  </si>
  <si>
    <t>1. 홀 번호 드롭다운 제공됨
 - 해당 골프장에 등록된 홀 번호 리스트
2. 홀 번호 선택 가능함</t>
  </si>
  <si>
    <t>아이템 선택</t>
  </si>
  <si>
    <t>1. 아이템 드롭다운 확인
2. 아이템 드롭다운 선택</t>
  </si>
  <si>
    <t>1. 아이템 드롭다운 제공됨
 - 아이템 리스트에 등록된 값
2. 아이템 선택 안내 문구 제공됨
 - 문구 : 아이템은 등록한 이벤트 아이템 목록에서 선택하여 적용합니다.
3. 아이템 선택 가능함</t>
  </si>
  <si>
    <t>이벤트 노출시간 선택</t>
  </si>
  <si>
    <t>1. 이벤트 노출시간 입력 필드 확인
2. 이벤트 노출시간 입력</t>
  </si>
  <si>
    <t>1. 이벤트 노출시간 입력 필드 제공됨
2. 이벤트 노출시간 선택 안내 문구 제공됨
 - 문구 : 초 단위로 입력합니다. 예: 5
3. 이벤트 노출시간 입력 가능함
 - 1~60 숫자만</t>
  </si>
  <si>
    <t>QA-14875
QA-14878</t>
  </si>
  <si>
    <t>1. 안내 문구 기획과 상이
2. 60 초과하여 입력 가능</t>
  </si>
  <si>
    <t>1. 아이템 미선택</t>
  </si>
  <si>
    <t>1. 홀 이벤트 추가 불가함</t>
  </si>
  <si>
    <t>1. 노출시간 미입력</t>
  </si>
  <si>
    <t>1. 모든 항목 유효</t>
  </si>
  <si>
    <r>
      <rPr>
        <rFont val="Arial"/>
        <color theme="1"/>
      </rPr>
      <t xml:space="preserve">1. 홀 이벤트 추가됨
</t>
    </r>
    <r>
      <rPr>
        <rFont val="Arial"/>
        <b/>
        <color theme="1"/>
      </rPr>
      <t xml:space="preserve"> * 버전 업데이트 &gt; 태블릿 &gt; 적용 확인</t>
    </r>
  </si>
  <si>
    <t>QA-14876</t>
  </si>
  <si>
    <t>동일한 위치에 이벤트가 등록되어있을 경우 등록되지 않음 (기획 확인 필요)</t>
  </si>
  <si>
    <t>홀 이벤트 리스트 확인</t>
  </si>
  <si>
    <t>1. 홀 이벤트 리스트 확인</t>
  </si>
  <si>
    <t>1. 홀 이벤트 리스트 제공됨
 - 코스 : {코스명}
 - 적용 홀 : {홀 번호}
 - 홀이벤트 : {아이템명}
 - 이미지 : 아이템 이미지
 - 노출 시간(초) : n
 - 관리 : [수정] / [삭제] 버튼</t>
  </si>
  <si>
    <t>수정</t>
  </si>
  <si>
    <t>1. [수정] 버튼 선택
2. 홀 이벤트 수정 후 저장</t>
  </si>
  <si>
    <t>1. 홀 이벤트 수정 팝업에 저장된 데이터가 제공됨
2. 정보 수정 후 저장 가능함</t>
  </si>
  <si>
    <r>
      <rPr>
        <rFont val="Arial"/>
        <color theme="1"/>
      </rPr>
      <t xml:space="preserve">1. 삭제 확인 팝업 제공됨
 - 문구 : </t>
    </r>
    <r>
      <rPr>
        <rFont val="Arial"/>
        <strike/>
        <color theme="1"/>
      </rPr>
      <t xml:space="preserve">정말 삭제하겠습니까? </t>
    </r>
    <r>
      <rPr>
        <rFont val="Arial"/>
        <color theme="1"/>
      </rPr>
      <t>삭제한 항목은 복원할 수 없습니다. 삭제하시겠습니까?
 - [확인] / [취소] 버튼</t>
    </r>
  </si>
  <si>
    <t>1. [삭제] 버튼 선택
2. [취소] 버튼 선택</t>
  </si>
  <si>
    <t>1. 삭제 확인 팝업 닫힘</t>
  </si>
  <si>
    <t>1. [삭제] 버튼 선택
2. [확인] 버튼 선택</t>
  </si>
  <si>
    <r>
      <rPr>
        <rFont val="Arial"/>
        <color theme="1"/>
      </rPr>
      <t xml:space="preserve">1. 홀 이벤트 삭제됨
</t>
    </r>
    <r>
      <rPr>
        <rFont val="Arial"/>
        <b/>
        <color theme="1"/>
      </rPr>
      <t xml:space="preserve"> * 버전 업데이트 &gt; 태블릿 &gt; 적용 확인</t>
    </r>
  </si>
  <si>
    <t>아이템 영역</t>
  </si>
  <si>
    <t>1. 아이템 영역 확인</t>
  </si>
  <si>
    <t>1. 아이템 영역 제공됨
 - 안내 문구 영역
 - [아이템 추가] 버튼
 - 검색 필터
 - 아이템 리스트</t>
  </si>
  <si>
    <t>1. 안내 문구 제공됨
 - 문구 : 홀 이벤트에서 공통으로 사용하는 이벤트 아이템 이미지를 관리합니다.</t>
  </si>
  <si>
    <t>1. 검색 필터 제공됨
 - 입력 필드 / [적용] 버튼</t>
  </si>
  <si>
    <t>1. 입력 필드 영역 확인
2. [적용] 버튼 선택</t>
  </si>
  <si>
    <r>
      <rPr>
        <rFont val="Arial"/>
        <color theme="1"/>
      </rPr>
      <t xml:space="preserve">1. 검색어 입력 필드 제공됨
 - Placeholder : 아이템명을 입력하세요
2. 입력한 값으로 아이템 검색됨
</t>
    </r>
    <r>
      <rPr>
        <rFont val="Arial"/>
        <strike/>
        <color theme="1"/>
      </rPr>
      <t xml:space="preserve"> - 최대 100자 입력 가능</t>
    </r>
  </si>
  <si>
    <t>아이템 추가 팝업</t>
  </si>
  <si>
    <t>아이템 추가</t>
  </si>
  <si>
    <t>1. [아이템 추가] 버튼 선택
2. 제공 정보 확인</t>
  </si>
  <si>
    <r>
      <rPr>
        <rFont val="Arial"/>
        <color theme="1"/>
      </rPr>
      <t xml:space="preserve">1. 아이템 추가 팝업 제공됨
 - 안내 문구 영역
</t>
    </r>
    <r>
      <rPr>
        <rFont val="Arial"/>
        <strike/>
        <color theme="1"/>
      </rPr>
      <t xml:space="preserve"> - (우측 상단) [X] 버튼</t>
    </r>
    <r>
      <rPr>
        <rFont val="Arial"/>
        <color theme="1"/>
      </rPr>
      <t xml:space="preserve">
 - 아이템명 입력 필드 *
 - 사진 첨부 영역 *
 - [취소] / [저장] 버튼</t>
    </r>
  </si>
  <si>
    <t>1. 안내 문구 제공됨
 - 문구 : 홀 이벤트에 노출할 아이템명과 이미지를 등록합니다.</t>
  </si>
  <si>
    <r>
      <rPr>
        <rFont val="Arial"/>
        <color theme="1"/>
      </rPr>
      <t xml:space="preserve">1. </t>
    </r>
    <r>
      <rPr>
        <rFont val="Arial"/>
        <strike/>
        <color theme="1"/>
      </rPr>
      <t>[X] or</t>
    </r>
    <r>
      <rPr>
        <rFont val="Arial"/>
        <color theme="1"/>
      </rPr>
      <t xml:space="preserve"> [취소] 버튼 선택</t>
    </r>
  </si>
  <si>
    <t>1. 아이템 추가 팝업 닫힘</t>
  </si>
  <si>
    <t>아이템명 입력</t>
  </si>
  <si>
    <t>1. 아이템명 입력 필드 확인
2. 아이템명 입력</t>
  </si>
  <si>
    <r>
      <rPr>
        <rFont val="Arial"/>
        <color theme="1"/>
      </rPr>
      <t xml:space="preserve">1. 아이템명 입력 필드 제공됨
 - Placeholder : 아이템명을 입력하세요.
2. 아이템명 입력 가능함
</t>
    </r>
    <r>
      <rPr>
        <rFont val="Arial"/>
        <strike/>
        <color theme="1"/>
      </rPr>
      <t xml:space="preserve"> - 최대 : ?</t>
    </r>
  </si>
  <si>
    <t>사진 첨부</t>
  </si>
  <si>
    <t>1. 사진 첨부 영역 확인
2. [이미지 선택] 버튼 선택
3. 파일 선택</t>
  </si>
  <si>
    <r>
      <rPr>
        <rFont val="Arial"/>
        <color theme="1"/>
      </rPr>
      <t xml:space="preserve">1. 사진 첨부 영역 제공됨
</t>
    </r>
    <r>
      <rPr>
        <rFont val="Arial"/>
        <strike/>
        <color theme="1"/>
      </rPr>
      <t xml:space="preserve"> - Placeholder : 선택된 파일이 없습니다.</t>
    </r>
    <r>
      <rPr>
        <rFont val="Arial"/>
        <color theme="1"/>
      </rPr>
      <t xml:space="preserve">
 - [사진 선택] 버튼
2. 이미지 선택하여 첨부 가능함
 - 첨부 시 파일명 노출</t>
    </r>
  </si>
  <si>
    <t>1. 아이템명 미입력</t>
  </si>
  <si>
    <t>1. 아이템 추가 불가함</t>
  </si>
  <si>
    <t>1. 이미지 미첨부</t>
  </si>
  <si>
    <t>1. 아이템명 입력
2. 이미지 첨부</t>
  </si>
  <si>
    <t>1. 아이템 추가 가능함</t>
  </si>
  <si>
    <t>아이템 리스트 확인</t>
  </si>
  <si>
    <t>1. 아이템 리스트 확인</t>
  </si>
  <si>
    <t>1. 아이템 리스트 제공됨
 - 첨부 이미지 / 아이템명 / 파일명 / [수정] 버튼 / [삭제] 버튼</t>
  </si>
  <si>
    <t>1. [수정] 버튼 선택
2. 아이템 정보 수정 후 저장</t>
  </si>
  <si>
    <t>1. 아이템 수정 팝업에 저장된 데이터가 제공됨
2. 정보 수정 후 저장 가능함</t>
  </si>
  <si>
    <r>
      <rPr>
        <rFont val="Arial"/>
        <color theme="1"/>
      </rPr>
      <t xml:space="preserve">1. 삭제 확인 팝업 제공됨
 - 문구 : </t>
    </r>
    <r>
      <rPr>
        <rFont val="Arial"/>
        <strike/>
        <color theme="1"/>
      </rPr>
      <t>정말 삭제하겠습니까?</t>
    </r>
    <r>
      <rPr>
        <rFont val="Arial"/>
        <color theme="1"/>
      </rPr>
      <t xml:space="preserve"> 해당 아이템을 삭제하시겠습니까? 연결된 홀 이벤트도 함께 삭제됩니다.
 - [확인] / [취소] 버튼</t>
    </r>
  </si>
  <si>
    <r>
      <rPr>
        <rFont val="Arial"/>
        <color theme="1"/>
      </rPr>
      <t xml:space="preserve">1. 아이템 삭제됨
2. 홀 이벤트 리스트에 등록된 해당 아이템 삭제됨
</t>
    </r>
    <r>
      <rPr>
        <rFont val="Arial"/>
        <b/>
        <strike/>
        <color theme="1"/>
      </rPr>
      <t xml:space="preserve"> * 버전 업데이트 &gt; 태블릿 &gt; 적용 확인</t>
    </r>
  </si>
  <si>
    <t>1. [홀맵 구역 관리] 메뉴 진입</t>
  </si>
  <si>
    <t>1. 홀맵 구역 관리 진입됨
2. 아래 정보 노출됨
 - 메뉴 설명 영역
 - 검색 영역
 - 홀맵구역 테이블 영역</t>
  </si>
  <si>
    <t>홀맵구역관리</t>
  </si>
  <si>
    <t>홀맵 구역 관리로 노출됨 (기획서 SBN : 홀맵 구역 설정)</t>
  </si>
  <si>
    <t>메뉴 설명 영역</t>
  </si>
  <si>
    <t>1. 메뉴 설명 영역 확인</t>
  </si>
  <si>
    <t>1. 아래 정보 노출됨
 - Title : 홀맵 구역 관리
 -  문구 : 페어웨이 진입 알림 설정과 코스별 허용 상태를 관리하고, 홀맵 구역 데이터를 조회할 수 있습니다.
 - [현재버전 ##▲#]</t>
  </si>
  <si>
    <t>랜딩</t>
  </si>
  <si>
    <t>1. 업데이트 가능한 버전이 있는 경우</t>
  </si>
  <si>
    <t>1. [현재버전 ##▲#] 버튼 선택</t>
  </si>
  <si>
    <t>1. 알림 팝업 노출됨
 - Title : 알림
 - 문구 : 버전을 올리시겠습니까?
 - [취소], [확인] 버튼</t>
  </si>
  <si>
    <t>기획서 없음</t>
  </si>
  <si>
    <t>1. 업데이트 가능한 버전이 있는 경우
2. 버전 업데이트 알림 팝업 노출된 상태</t>
  </si>
  <si>
    <t>1. 팝업 닫히며, 이전 화면으로 전환됨</t>
  </si>
  <si>
    <t>1. [확인] 버튼 선택</t>
  </si>
  <si>
    <t>1. 토스트 팝업 노출됨 
 - 문구 : 버전이 업데이트 되었습니다.</t>
  </si>
  <si>
    <t>1. 아래 정보 노출됨
 - [전체코스v] 필터
 - [전체홀v] 필터
 - [전체구역v] 필터
 - [초기화] 버튼 [적용] 버튼</t>
  </si>
  <si>
    <t>코스 필터</t>
  </si>
  <si>
    <t>1. 코스필터 (코스 전체v) 선택
2. 코스 전체 선택
3. [적용] 버튼 선택</t>
  </si>
  <si>
    <t>1. 코스 리스트 노출됨
2. 코스 전체 설정됨
3. 모든코스의 홀맵구역 정보 노출됨</t>
  </si>
  <si>
    <t>1. 코스필터 (코스 전체v) 선택
2. 임의의 코스 선택
3. [적용] 버튼 선택</t>
  </si>
  <si>
    <t>1. 코스 리스트 노출됨
2. 선택한 코스 설정됨
3. 설정한 코스의 홀맵구역 정보 노출됨</t>
  </si>
  <si>
    <t>홀 필터</t>
  </si>
  <si>
    <t>1. 홀필터 (홀 전체v) 선택
2. 홀 전체 선택
3. [적용] 버튼 선택</t>
  </si>
  <si>
    <t>1. 홀 리스트 노출됨
2. 홀 전체 설정됨
3. 모든홀의 홀맵구역 정보 노출됨</t>
  </si>
  <si>
    <t>1. 임의의 코스 선택된 상태</t>
  </si>
  <si>
    <t>1. 홀필터 (홀 전체v) 선택
2. 임의의 홀 선택
3. [적용] 버튼 선택</t>
  </si>
  <si>
    <t>1. 홀 리스트 노출됨
2. 선택한 홀 설정됨
3. 설정한 홀의 홀맵구역 정보 노출됨</t>
  </si>
  <si>
    <t>구역 필터</t>
  </si>
  <si>
    <t>1. 구역필터 (구역 전체v) 선택
2. 구역 전체 선택
3. [적용] 버튼 선택</t>
  </si>
  <si>
    <t>1. 구역 리스트 노출됨
2. 구역 전체 설정됨
3. 모든구역의 구역맵구역 정보 노출됨</t>
  </si>
  <si>
    <t>1. 구역필터 (구역 전체v) 선택
2. 임의의 구역 선택
3. [적용] 버튼 선택</t>
  </si>
  <si>
    <t>1. 구역 리스트 노출됨
2. 선택한 구역 설정됨
3. 설정한 구역의 구역맵구역 정보 노출됨</t>
  </si>
  <si>
    <t>QA-14819</t>
  </si>
  <si>
    <t>거리표시, 특정 위치 알림, 다음 홀 방향 필터 시, 모든 항목 노출됨</t>
  </si>
  <si>
    <t>초기화 버튼</t>
  </si>
  <si>
    <t>1. 코스, 홀, 구역 설정
2. [초기화] 버튼 선택</t>
  </si>
  <si>
    <t>1. 코스, 홀, 구역 필터 초기화됨
 - 전체코스, 전체홀, 전체구역</t>
  </si>
  <si>
    <t>적용 버튼</t>
  </si>
  <si>
    <t>1. 코스, 홀, 구역 설정
2. [적용] 버튼 선택</t>
  </si>
  <si>
    <t>1. 코스, 홀, 구역 설정됨
2. 설정한 코스, 홀, 구역의 정보 필터되어 노출됨</t>
  </si>
  <si>
    <t>홀맵구역 테이블 영역</t>
  </si>
  <si>
    <t>1. 홀맵구역 테이블 확인</t>
  </si>
  <si>
    <t>1. 아래 정보 노출됨
 - No. / 코스 / 홀 / PAR / 야디지 / 위험구역 / OB구역 / 패널티구역 / 뒷카트알림 / 거리표시 / 특정 위치 알림 / 다음 홀 방향 / 관리 / 작업자 / 아이피 / 등록날짜</t>
  </si>
  <si>
    <t>1. 각 구역별 정보 확인</t>
  </si>
  <si>
    <t>1. 각 구역별 정보 노출됨
 - No. / 코스 / 홀 / PAR / 야디지 / 위험구역 / OB구역 / 패널티구역 / 뒷카트알림 / 거리표시 / 특정 위치 알림 / 다음 홀 방향 / 관리 / 작업자 / 아이피 / 등록날짜</t>
  </si>
  <si>
    <t>1. 코스, 홀, 구역 변경
2. [적용] 버튼 선택
3. 홀맵구역 테이블 확인</t>
  </si>
  <si>
    <t>1. 코스, 홀, 구역 선택됨
2. 변경사항 적용됨
3. 변경된 코스, 홀, 구역의 홀맵구역 테이블 정보 노출됨</t>
  </si>
  <si>
    <t>구역관리 레이어 팝업</t>
  </si>
  <si>
    <t>1. [구역관리] 버튼 선택</t>
  </si>
  <si>
    <t>1. 구역 관리 레이어 팝업 노출됨</t>
  </si>
  <si>
    <t>1. 구역관리 레이어 팝업 노출된 상태</t>
  </si>
  <si>
    <t>1. 구역 관리 레이어 팝업 확인</t>
  </si>
  <si>
    <t>1. 아래 정보 노출됨
 - Title : 구역관리
 - 코스, 홀, 파
 - 등록 일시
 - [X] 버튼</t>
  </si>
  <si>
    <t>1. 지도 영역 확인</t>
  </si>
  <si>
    <t>1. 아래 정보 노출됨
 - Tool tip : ⓘ지도 위에 직접 표시하는 작업 공간 [X] 버튼</t>
  </si>
  <si>
    <t>1. 툴팁 - [X] 버튼 선택</t>
  </si>
  <si>
    <t>1. 툴팁 닫힘</t>
  </si>
  <si>
    <t>1. 구역관리 레이어 팝업 재진입</t>
  </si>
  <si>
    <t>1. 툴팁 노출됨</t>
  </si>
  <si>
    <t>1. [X] 버튼 선택</t>
  </si>
  <si>
    <t>구역관리 레이어 팝업 &gt; 지도 옵션</t>
  </si>
  <si>
    <t>1. 지도 옵션 영역 확인</t>
  </si>
  <si>
    <t xml:space="preserve">1. 아래 정보 노출됨
 - Title : 지도 옵션
 - 지도/위성/홀맵 /정보 radio Btn
</t>
  </si>
  <si>
    <t>"지도유형"으로 노출됨</t>
  </si>
  <si>
    <t>지도</t>
  </si>
  <si>
    <t>1. [지도] 라디오버튼 선택
2. 지도 영역 확인
3. [+] 버튼 [-] 버튼</t>
  </si>
  <si>
    <t>1. 지도 라디오버튼 활성화됨
2. 지도 화면 노출됨
3. 지도 화면 확대/축소됨</t>
  </si>
  <si>
    <t>QA-14826</t>
  </si>
  <si>
    <t>축소 시 줌 레벨이 올라감.</t>
  </si>
  <si>
    <t>위성</t>
  </si>
  <si>
    <t>1. [위성] 라디오버튼 선택
2. 지도 영역 확인
3. [+] 버튼 [-] 버튼</t>
  </si>
  <si>
    <t>1. 위성 라디오버튼 활성화됨
2. 위성 화면 노출됨
3. 위성 화면 확대/축소됨</t>
  </si>
  <si>
    <t>홀맵</t>
  </si>
  <si>
    <t>1. [홀맵] 라디오버튼 선택
2. 지도 영역 확인</t>
  </si>
  <si>
    <t>1. 홀맵 라디오버튼 활성화됨
2. 홀맵 화면 노출되며, 홀맵 주변 지형들도 노출됨</t>
  </si>
  <si>
    <t>1. 구역관리 레이어 팝업 노출된 상태
2. 지도유형 - [홀맵] 라디오 버튼 선택된 상태</t>
  </si>
  <si>
    <t>1. [+], [-] 버튼 확인</t>
  </si>
  <si>
    <t>1. 비활성화 되어있음</t>
  </si>
  <si>
    <t>QA-14830</t>
  </si>
  <si>
    <t>지도유형 - 홀맵 선택 시, [+], [-] 버튼 활성화 되어있음.</t>
  </si>
  <si>
    <t>정보</t>
  </si>
  <si>
    <t>1. [정보] 라디오버튼 선택
2. 지도 영역 확인
3. [+] 버튼 [-] 버튼</t>
  </si>
  <si>
    <t>1. 정보 라디오버튼 활성화됨
2. 정보 화면 노출됨
3. 정보 화면 확대/축소됨</t>
  </si>
  <si>
    <t>구역관리 레이어 팝업 &gt; 설정 탭</t>
  </si>
  <si>
    <t>위험구역 설정</t>
  </si>
  <si>
    <t>1. [위험구역 설정] 선택</t>
  </si>
  <si>
    <t>1. 하단에 기능 안내 팝업 노출됨
 - Title : 위험구역 추가 [X] 버튼
 - 문구 : 지도 위 꼭짓점을 클릭하여 위험구역 영역을 지정하세요.</t>
  </si>
  <si>
    <t>1. 위험구역 설정 안내 팝업 노출된 상태</t>
  </si>
  <si>
    <t>1. 팝업 닫히며 이전 화면으로 전환됨</t>
  </si>
  <si>
    <t>1. 지도 화면 클릭
2. 마우스 이용하여 구역 그리기</t>
  </si>
  <si>
    <t>1. 우측 지도 영역에서 구역을 그릴 수 있도록 마우스 동작 활성화됨
2. 영역 표시되며, 좌표 선택중 팝업 노출됨
 - Title : 좌표 선택중
 - 문구 : 꼭짓점을 계속 클릭하고, 완료 후 "추가" 버튼을 누르세요. (위험구역)?
 - 전체면적 : 1296.63㎡ (13956.75 ft²)
 - 총 거리 : 165.11m (541.71 ft)
 - [취소] 버튼 [추가] 버튼</t>
  </si>
  <si>
    <t>1. 위험구역 추가 팝업 노출된 상태</t>
  </si>
  <si>
    <t>1. [등록] 버튼 선택</t>
  </si>
  <si>
    <t>1. 설정한 영역이 위험 구역으로 등록됨</t>
  </si>
  <si>
    <t>플레이 영역 설정 &gt; OB 설정</t>
  </si>
  <si>
    <t>1. 플레이구역 설정 클릭
2. OB 설정 클릭
3. 마우스 이용하여 점을 찍어 선 그리기</t>
  </si>
  <si>
    <t>1. 플레이구역 설정 메뉴 펼쳐짐
2. 우측 지도 영역에서 점을 찍으며 선을 그릴수 있도록 마우스 동작 활성화됨
3. 처음에 OB 라고 표시되는 텍스트가 중앙에 표시되며, 구역 추가 여부를 묻는 팝업 노출됨
 - Title : 좌표 선택중
 - 문구 : 꼭짓점을 계속 클릭하고, 완료 후 "추가" 버튼을 누르세요. (OB구역)
 - 총 거리 : 120.66m (395.85 ft)
 - [취소] [---추가] 버튼</t>
  </si>
  <si>
    <t>QA-14835</t>
  </si>
  <si>
    <t>플레이 영역 설정의 경우, 컬러 원형 도형 미노출됨.</t>
  </si>
  <si>
    <t>1. [추가] 버튼 선택</t>
  </si>
  <si>
    <t>1. OB 선 그려져있는 상태</t>
  </si>
  <si>
    <t>1. 마우스 드래그하여 텍스트 위치 변경</t>
  </si>
  <si>
    <t>1. 텍스트 위치 변경됨</t>
  </si>
  <si>
    <t>1. 산 추가 그리기</t>
  </si>
  <si>
    <t>1. 총 거리’ 가 재계산 되면서 [구역추가] 여부를 묻는 팝업 노출됨</t>
  </si>
  <si>
    <t>1. 마우스 우클릭</t>
  </si>
  <si>
    <t>1. [복사][삭제] 툴팁 노출됨</t>
  </si>
  <si>
    <t>QA-14848</t>
  </si>
  <si>
    <t>"OB생성" 노출됨</t>
  </si>
  <si>
    <t>1. OB 선 그려져있는 상태
2. 마우스 우클릭하여 툴팁 노출된 상태</t>
  </si>
  <si>
    <t>1. [복사] 선택</t>
  </si>
  <si>
    <t>1. 텍스트 하나 더 복제됨</t>
  </si>
  <si>
    <t>1. [삭제] 선택</t>
  </si>
  <si>
    <t>1. 텍스트 삭제됨</t>
  </si>
  <si>
    <t>1. 플레이구역 설정 클릭
2. PA 설정 클릭
3. 마우스 이용하여 점을 찍어 선 그리기</t>
  </si>
  <si>
    <t>1. 플레이구역 설정 메뉴 펼쳐짐
2. 우측 지도 영역에서 점을 찍으며 선을 그릴수 있도록 마우스 동작 활성화됨
3. 처음에 PA 라고 표시되는 텍스트가 중앙에 표시되며, 구역 추가 여부를 묻는 팝업 노출됨
 - Title : 좌표 선택중
 - 문구 : 꼭짓점을 계속 클릭하고, 완료 후 "추가" 버튼을 누르세요. (패널티구역)
 - 총 거리 : 120.66m (395.85 ft)
 - [취소] [---추가] 버튼</t>
  </si>
  <si>
    <t>1. PA 선 그려져있는 상태</t>
  </si>
  <si>
    <t>"PA생성" 노출됨</t>
  </si>
  <si>
    <t>1. PA 선 그려져있는 상태
2. 마우스 우클릭하여 툴팁 노출된 상태</t>
  </si>
  <si>
    <t>거리표시 지점 설정</t>
  </si>
  <si>
    <t>1. 거리표시 지점 설정 클릭
2. 마우스 이용하여 점 찍기</t>
  </si>
  <si>
    <t>1. 우측 지도 영역에서 점을 찍을수 있도록 마우스 동작 활성화됨
2. 생성된 점 위에 노란 플래그 노출되며, 지점명 추가 필드 노출됨
 - Placeholder  : 예: 그린입구, 그린 끝, 헤저드, 벙커
 - [취소] [추가] 버튼</t>
  </si>
  <si>
    <t>1. 거리표시지점 추가 여부를 묻는 팝업 노출된 상태</t>
  </si>
  <si>
    <t>1. 입력 필드 닫힘</t>
  </si>
  <si>
    <t>1. 선택한 위치가 거리표시 지점으로 등록됨</t>
  </si>
  <si>
    <t>1. 마우스 드래그하여 플래그 위치 변경</t>
  </si>
  <si>
    <t>1. 플래그 위치 변경됨</t>
  </si>
  <si>
    <t>1. 화면 추가 클릭</t>
  </si>
  <si>
    <t>1-1. '총 거리 재계산됨
1-2. 추가 포인트의 이름 입력 팝업 노출됨
- Title : 거리 표시 지점명 입력
- 문구 : 추가한 포인트가 어떤 지점인지 입력해 주세요.
- 지졈명 입력 필드
-- Place holder : 예 : 그린입구, 그린 끝, 해저드, 벙커
- [취소] 버튼 [추가] 버튼</t>
  </si>
  <si>
    <t>1. 추가 포인트의 이름 입력 팝업 노출된 상태</t>
  </si>
  <si>
    <t>1. 이름 입력 필드 선택
2. 텍스트 입력
3. 20자 이상 입력</t>
  </si>
  <si>
    <t>1. 입력 필드에 커서 위치됨
2. 텍스트 입력됨
3. 20자까지 입력됨</t>
  </si>
  <si>
    <t>1. 입력 필드 닫히며 이전 화면으로 전환됨</t>
  </si>
  <si>
    <t>특정 위치 알림 설정</t>
  </si>
  <si>
    <t>1. [특정 위치 알림 설정] 선택</t>
  </si>
  <si>
    <t>1. 지도 화면에 카트패스선 노출됨</t>
  </si>
  <si>
    <t>1. 카트패스 위에 특정 위치 선택</t>
  </si>
  <si>
    <t>1. 선택한 위치에 초록색 점 표시되며, 특정 위치 알림 설정 영역 노출됨
 - [위험] [안내] [주의] 칩
 - 입력필드
 - [취소] 버튼 [적용] 버튼</t>
  </si>
  <si>
    <t>1. 카트패스 위에 특정 위치 선택된 상태</t>
  </si>
  <si>
    <t>1. 특정 위치 알림 설정 영역 확인</t>
  </si>
  <si>
    <t>1. 아래 정보 노출됨 
 - Title : 특정 위치 알림 설정
 - 문구 : 
 - [위험] [안내] [주의] 칩
 - Title : 노출 문구 입력
 - 노출 문구 입력 필드
 -- Place holder : 예 : 전방 카트 진입 구간입니다. 서행해 주세요.
 - [취소] 버튼 [적용] 버튼</t>
  </si>
  <si>
    <t>1. 카트패스 위에 특정 위치 선택된 상태
2. 특정 위치 알림 설정 영역  노출된 상태</t>
  </si>
  <si>
    <t>1. 위험 체크박스 선택</t>
  </si>
  <si>
    <t>1. 체크박스 활성화되며, 노출 문구 입력 필드 활성화됨</t>
  </si>
  <si>
    <t>1. 위험 체크박스 선택된 상태</t>
  </si>
  <si>
    <t>1. 노출 문구 입력 필드 선택
2. 텍스트 입력
3. 100자 이상 입력</t>
  </si>
  <si>
    <t>1. 입력 필드에 커서 위치됨
2. 텍스트 입력됨
3. 100자까지 입력됨</t>
  </si>
  <si>
    <t>1. 노출 문구 입력 필드 선택
2. 텍스트 입력
3. [취소] 버튼 선택</t>
  </si>
  <si>
    <t>1. 입력 필드에 커서 위치됨
2. 텍스트 입력됨
3. 입력 취소되며, 입력한 내용 저장되지 않음.</t>
  </si>
  <si>
    <t>1. 노출 문구 입력 필드 선택
2. 텍스트 입력
3. [적용] 버튼 선택</t>
  </si>
  <si>
    <t>1. 입력 필드에 커서 위치됨
2. 텍스트 입력됨
3. 입력한 내용 저장되며, 해당 문구 노출됨</t>
  </si>
  <si>
    <t>1. 안내 체크박스 선택</t>
  </si>
  <si>
    <t>1. 안내 체크박스 선택된 상태</t>
  </si>
  <si>
    <t>1. 주의 체크박스 선택</t>
  </si>
  <si>
    <t>1. 주의 체크박스 선택된 상태</t>
  </si>
  <si>
    <t>뒷카트 알림 설정</t>
  </si>
  <si>
    <t>1. [뒷카트 알림 설정] 선택</t>
  </si>
  <si>
    <t>1. 지도 화면에 영역 추가 포인터 활성화됨</t>
  </si>
  <si>
    <t>1. 마우스 클릭하여 영역 설정</t>
  </si>
  <si>
    <t>1. 우측 지도 영역에서 점을 찍으며 선을 그릴수 있도록 마우스 동작 활성화됨
3. 구역 추가 여부를 묻는 팝업 노출됨
 - Title : 좌표 선택중
 - 문구 : 꼭짓점을 계속 클릭하고, 완료 후 "추가" 버튼을 누르세요. (특정구역)
 - 총 거리 : 120.66m (395.85 ft)
 - [취소] [추가] 버튼</t>
  </si>
  <si>
    <t>QA-14842</t>
  </si>
  <si>
    <t>뒷카트 알림 설정 선택 시, 하단 설명에 "특정구역 추가" 노출되는 현상</t>
  </si>
  <si>
    <t>1. 구역 추가 여부를 묻는 팝업 노출된 상태</t>
  </si>
  <si>
    <t>1. 구역 추가 취소되며, 이전 화면으로 전환됨</t>
  </si>
  <si>
    <t>1. 해당 구역이 뒷카트 알림 구역으로 설정되며 등록 목록에 추가됨</t>
  </si>
  <si>
    <t>1. 뒷카트 알림 구역 설정된 상태</t>
  </si>
  <si>
    <t>1. 마우스 클릭하여 영역 추가 설정</t>
  </si>
  <si>
    <t>1. 뒷카트 알림 구역 설정된 상태
2. 추가 선택된 상태</t>
  </si>
  <si>
    <t>1. 뒷카트 알림 구역 추가됨</t>
  </si>
  <si>
    <t>다음 홀 방향</t>
  </si>
  <si>
    <t>1. [다음 홀 방향] 선택</t>
  </si>
  <si>
    <t>1. 다음 홀 방향 설정 팝업 노출됨
 - Title : 다음 홀 방향 설정
 - 문구 : 아래 4개의 분기 중 하나의 화살표를 선택해주세요.
 - 네개의 방향안내판
 - [취소] 버튼 [추가] 버튼</t>
  </si>
  <si>
    <t>방향 5개 노출됨</t>
  </si>
  <si>
    <t>1. 다음 홀 방향 설정 팝업 노출된 상태</t>
  </si>
  <si>
    <t>1. 방향지시 선택지의 화살표 선택</t>
  </si>
  <si>
    <t>1. 선택한 화살표의 체크박스 활성화됨</t>
  </si>
  <si>
    <t>1. 다음 홀 방향 설정 팝업 노출된 상태
2, 방향지시 선택지의 화살표 선택된 상태</t>
  </si>
  <si>
    <t>1. 다른 화살표 선택</t>
  </si>
  <si>
    <t>1. 재선택한 화살표의 체크박스 활성화됨
 - 9개 중 1개의 화살표만 선택 가능</t>
  </si>
  <si>
    <t>1. 선택한 방향이 다음 홀 방향으로 추가되어, 등록목록에 노출됨</t>
  </si>
  <si>
    <t>구역관리 레이어 팝업 &gt; 등록 목록</t>
  </si>
  <si>
    <t>위험구역</t>
  </si>
  <si>
    <t>1. 위험구역 추가된 상태</t>
  </si>
  <si>
    <t>1. 위험구역 선택
2. [삭제] 버튼 선택</t>
  </si>
  <si>
    <t>1. 구역 삭제 여부를 묻는 팝업 노출됨
 - Title : 삭제 확인
 - 문구 : 위험구역1 을 삭제하시겠습니까?
 - [취소] 버튼 [삭제] 버튼</t>
  </si>
  <si>
    <t>1. 위험구역 삭제 팝업 노출된 상태</t>
  </si>
  <si>
    <t>1. 해당 위험 구역 삭제됨</t>
  </si>
  <si>
    <t>플레이 영역 &gt; OB</t>
  </si>
  <si>
    <t>1. 플레이 영역 &gt; OB 추가된 상태</t>
  </si>
  <si>
    <t>1. 플레이 영역 &gt; OB 선택
2. [삭제] 버튼 선택</t>
  </si>
  <si>
    <t>1. 구역 삭제 여부를 묻는 팝업 노출됨
 - Title : 삭제 확인
 - 문구 : OB#을 을 삭제하시겠습니까?
 - [취소] 버튼 [삭제] 버튼</t>
  </si>
  <si>
    <t>1. 플레이 영역 &gt; OB 삭제 팝업 노출된 상태</t>
  </si>
  <si>
    <t>플레이 영역 &gt; PB</t>
  </si>
  <si>
    <t>1. 플레이 영역 &gt; PA 추가된 상태</t>
  </si>
  <si>
    <t>1. 플레이 영역 &gt; PA 선택
2. [삭제] 버튼 선택</t>
  </si>
  <si>
    <t>1. 구역 삭제 여부를 묻는 팝업 노출됨
 - Title : 삭제 확인
 - 문구 : PA#을 을 삭제하시겠습니까?
 - [취소] 버튼 [삭제] 버튼</t>
  </si>
  <si>
    <t>1. 플레이 영역 &gt; PA 삭제 팝업 노출된 상태</t>
  </si>
  <si>
    <t>거리표시 지점</t>
  </si>
  <si>
    <t>1. 거리표시 지점 추가된 상태</t>
  </si>
  <si>
    <t>1. 거리표시 지점 선택
2. [삭제] 버튼 선택</t>
  </si>
  <si>
    <t>1. 구역 삭제 여부를 묻는 팝업 노출됨
 - Title : 삭제 확인
 - 문구 : "지점명"을 을 삭제하시겠습니까?
 - [취소] 버튼 [삭제] 버튼</t>
  </si>
  <si>
    <t>1. 거리표시 지점 삭제 팝업 노출된 상태</t>
  </si>
  <si>
    <t>특정 위치 알림 지점</t>
  </si>
  <si>
    <t>1. 특정 위치 알림 지점 추가된 상태</t>
  </si>
  <si>
    <t>1. 특정 위치 알림 지점 선택
2. [삭제] 버튼 선택</t>
  </si>
  <si>
    <t>1. 특정 위치 알림 삭제 여부를 묻는 팝업 노출됨
 - Title : 삭제확인
 - 문구 : "노출문구"을(를) 삭제하시겠습니까?
 - [취소] 버튼 [삭제] 버튼</t>
  </si>
  <si>
    <t>노출문구 100자 입력 시, 잘려보이는 현상</t>
  </si>
  <si>
    <t>1. 특정 위치 알림 지점 삭제 팝업 노출된 상태</t>
  </si>
  <si>
    <t>뒷카트 알림 지점</t>
  </si>
  <si>
    <t>1. 뒷카트 알림 지점 추가된 상태</t>
  </si>
  <si>
    <t>1. 뒷카트 알림 지점 선택
2. [삭제] 버튼 선택</t>
  </si>
  <si>
    <t>1. 뒷카트 위치 알림 삭제 여부를 묻는 팝업 노출됨
 - Title : 삭제확인
 - 문구 : 뒷카트 알림#을(를) 삭제하시겠습니까?
 - [취소] 버튼 [삭제] 버튼</t>
  </si>
  <si>
    <t>1. 뒷카트 알림 지점 삭제 팝업 노출된 상태</t>
  </si>
  <si>
    <t>다음 홀 방향 지점</t>
  </si>
  <si>
    <t>1. 다음 홀 방향 지점 추가된 상태</t>
  </si>
  <si>
    <t>1. 다음 홀 방향 지점 선택
2. [삭제] 버튼 선택</t>
  </si>
  <si>
    <t>1. 뒷카트 위치 알림 삭제 여부를 묻는 팝업 노출됨
 - Title : 삭제확인
 - 문구 : 다음 홀 방향#을(를) 삭제하시겠습니까?
 - [취소] 버튼 [삭제] 버튼</t>
  </si>
  <si>
    <t>1. 다음 홀 방향 지점 삭제 팝업 노출된 상태</t>
  </si>
  <si>
    <t>1. [카트패스 진입여부 설정] 선택</t>
  </si>
  <si>
    <t>1. 카트패스 진입여부 설정 메뉴 진입됨</t>
  </si>
  <si>
    <t>1. 아래 정보 노출됨
 - Title : 카트패스 진입여부 설정
 - 문구 : 코스를 선택한 뒤 홀 별로 페어웨이 카트패스 진입 가능 여부를 설정합니다. </t>
  </si>
  <si>
    <t>카트패스 진입여부 태블릿 표시 toggle 영역</t>
  </si>
  <si>
    <t>1. 카트패스 진입여부 태블릿 표시 toggle 영역 확인</t>
  </si>
  <si>
    <t>1. 아래 정보 노출됨
 - Title : 카트패스 진입여부 태블릿 표시
 - [Toggle] 버튼
 - 문구 : 카트패스 진입여부를 태블릿에서 표시할지 여부를 설정합니다.</t>
  </si>
  <si>
    <t>카트패스 진입여부 태블릿 표시 - On</t>
  </si>
  <si>
    <t>Toggle - True</t>
  </si>
  <si>
    <t>1. 카트패스 진입여부 태블릿 표시 - On 설정
2. 태블릿 확인</t>
  </si>
  <si>
    <t>1. 카트패스 진입여부 태블릿 표시 - True 설정됨
2. 태블릿 확인 시, 카트패스 진입여부 노출됨</t>
  </si>
  <si>
    <t>설정 저장만 확인
- 태블릿 설정의 경우, 태블릿 고도화 QA 시 확인</t>
  </si>
  <si>
    <t>카트패스 진입여부 태블릿 표시 - Off</t>
  </si>
  <si>
    <t>Toggle - False</t>
  </si>
  <si>
    <t>1. 카트패스 진입여부 태블릿 표시 - Off 설정
2. 태블릿 확인</t>
  </si>
  <si>
    <t>1. 카트패스 진입여부 태블릿 표시 - False 설정됨
2. 태블릿 확인 시, 카트패스 진입여부 미노출됨</t>
  </si>
  <si>
    <t>코스별 설정 영역</t>
  </si>
  <si>
    <t>1. 코스별 설정 영역 확인</t>
  </si>
  <si>
    <t>1. 아래 정보 노출됨
 - Title : 코스 별 설정
 - 문구 : 코스를 선택하면 해당 코스 홀만 노출됩니다.
 - [전체 허용] 버튼, [전체 제한] 버튼, [초기화] 버튼, [홀별 설정 저장] 버튼
 - 코스 선택 칩 (South, East, West)
 - 홀별 설정</t>
  </si>
  <si>
    <t>1. 코스 선택 칩 - South 선택
2. 홀별 설정 영역 확인</t>
  </si>
  <si>
    <t>1. South 칩 활성화됨
2. 선택된 코스에 해당되는 홀들의 현재 설정 정보 노출됨</t>
  </si>
  <si>
    <t>전체 허용</t>
  </si>
  <si>
    <t>1. 코스 선택된 상태</t>
  </si>
  <si>
    <t>1. [전체 허용] 버튼 선택</t>
  </si>
  <si>
    <t>1. 현재 선택된 코스의 모든 홀의 토글이 True 설정됨</t>
  </si>
  <si>
    <t>전체 차단</t>
  </si>
  <si>
    <t>1. [전체 차단] 버튼 선택</t>
  </si>
  <si>
    <t>1. 현재 선택된 코스의 모든 홀의 토글이 False설정됨</t>
  </si>
  <si>
    <t>진입여부</t>
  </si>
  <si>
    <t>설정 변경</t>
  </si>
  <si>
    <t>1. 임의의 홀 Toggle - True 설정</t>
  </si>
  <si>
    <t>1. 진입여부 칩 - [진입 가능]으로 변경됨
2. '페어웨이 진입 허용'으로 변경됨</t>
  </si>
  <si>
    <t>1. 임의의 홀 Toggle - False 설정</t>
  </si>
  <si>
    <t>1. 진입여부 칩 - [진입 제한]으로 변경됨
2. '페어웨이 진입 제한'으로 변경됨</t>
  </si>
  <si>
    <t>1. 임의의 홀 Toggle 설정 변경
2. [초기화] 버튼 선택</t>
  </si>
  <si>
    <t>1. Toggle 설정 변경됨
2. 이전 저장 상태로 초기화됨</t>
  </si>
  <si>
    <t>홀별 설정 저장</t>
  </si>
  <si>
    <t>1. 임의의 홀 Toggle 설정 변경
2. [홀별 설정 저장] 버튼 선택</t>
  </si>
  <si>
    <t>1. Toggle 설정 변경됨
2. 변경사항 저장됨</t>
  </si>
  <si>
    <t>1. 코스 선택 칩 - East 선택
2. 홀별 설정 영역 확인</t>
  </si>
  <si>
    <t>1. East 칩 활성화됨
2. 선택된 코스에 해당되는 홀들의 현재 설정 정보 노출됨</t>
  </si>
  <si>
    <t>1. 코스 선택 칩 - West 선택
2. 홀별 설정 영역 확인</t>
  </si>
  <si>
    <t>1. West 칩 활성화됨
2. 선택된 코스에 해당되는 홀들의 현재 설정 정보 노출됨</t>
  </si>
  <si>
    <t>1. 코스 선택된 상태
2. 홀 설정 변경한 상태</t>
  </si>
  <si>
    <t>1. [티샷 유의 거리 설정] 선택</t>
  </si>
  <si>
    <t>1. 티샷 유의 거리 설정 메뉴 진입됨</t>
  </si>
  <si>
    <t>티샷 유의거리 설정</t>
  </si>
  <si>
    <t>1. 아래 정보 노출됨
 - Title : 티샷 유의 거리 설정
 - 문구 : 파4 이상 홀에서 티박스 진입 시점 기준, 설정한 거리 이내에 알카트가 위치하는 경우 태블릿에 티샷 유의 안내문구를 노출합니다. 상단 코스를 선택하여 홀 별 기준거리를 관리할 수 있습니다.</t>
  </si>
  <si>
    <t>코스 별 설정 영역</t>
  </si>
  <si>
    <t>1. 코스 별 설정 영역 확인</t>
  </si>
  <si>
    <t>1. 아래 정보 노출됨
 - Title : 코스 별 설정
 - 문구 : 코스를 선택하면 해당 코스 홀만 노출됩니다. PAR3 홀은 비활성화 상태로 표시됩니다.
 - [초기화] 버튼 [저장] 버튼
 - 코스 선택 칩 (South, East, West)
 - 홀별 설정</t>
  </si>
  <si>
    <t>PAR3 홀 확인</t>
  </si>
  <si>
    <t>1. 코스 설정된 상태</t>
  </si>
  <si>
    <t>1. PAR3 홀 확인</t>
  </si>
  <si>
    <t>1. 비활성 상태로 노출됨
 - 해당 필드 회색으로 노출됨 
 - 입력 필드 선택 불가
 - 사용 여부 미노출
 - Toggle 미노출</t>
  </si>
  <si>
    <t>PAR4, 5 홀 확인</t>
  </si>
  <si>
    <t>1. PAR4, 5 홀 확인</t>
  </si>
  <si>
    <t>1. 활성 상태로 노출됨
 - 해당 필드 흰색으로 노출됨
 - 입력 필드 선택 가능
 - 사용 여부 노출됨
 - Toggle 노출</t>
  </si>
  <si>
    <t>M 입력필드</t>
  </si>
  <si>
    <t>입력</t>
  </si>
  <si>
    <t>1. m입력 필드 선택
2. 정수 (0-999) 입력</t>
  </si>
  <si>
    <t>1. 입력 필드에 커서 위치됨
2. 3자리 정수 입력됨</t>
  </si>
  <si>
    <t>QA-14866</t>
  </si>
  <si>
    <t>0 입력 후 저장 시, "0보다 큰 값을 적용가능합니다.", "저장되었습니다." 토스트 팝업 동시에 노출됨
0 입력 후 저장 시 설정 변경 불가하지만, 파란색 토글 버튼 노출됨</t>
  </si>
  <si>
    <t>1. 입력한 티샷 유의 거리 적용됨</t>
  </si>
  <si>
    <t>1. 입력한 티샷 유의 거리 미적용됨</t>
  </si>
  <si>
    <t>1. 이전 저장 상태로 초기화됨</t>
  </si>
  <si>
    <t>1. 변경사항 저장됨</t>
  </si>
  <si>
    <t>1. [홀맵 미리보기] 선택</t>
  </si>
  <si>
    <t>1. 홀맵 미리보기 메뉴 진입됨</t>
  </si>
  <si>
    <t>1. 아래 정보 노출됨
 - Title : 홀맵 미리보기
 - 문구 : 홀맵 구역설정, 카트패스 진입여부 설정, 티샷 유의거리 설정을 기준으로 태블릿에 실제로 보이는 홀 화면을 미리 확인합니다.</t>
  </si>
  <si>
    <t>미리보기 조건 영역</t>
  </si>
  <si>
    <t>1. 미리보기 조건 영역 확인</t>
  </si>
  <si>
    <r>
      <rPr>
        <rFont val="Arial"/>
        <color theme="1"/>
      </rPr>
      <t>1. 아래 정보 노출됨
 - Title : 미리보기 조건
 - 문구 : 코스와 홀을 선택하면 우측 태블릿 화면이 함께 변경됩니다.
 - 코스 선택
 -- 코스 선택 드롭다운 (South, East, West)
 - 홀 선택
 -- 홀 셀렉트 리스트 (선택한 코스에 해당되는 홀 노출됨)
 - 티샷 유의거리
 -- 홀 별로 설정된 티샷유의거리 값 노출됨 (티샷 유의거리 Toggle - True 설정된 경우, 노출 / 티샷 유의거리 Toggle - False 설정된 경우, 미노출)
 - 앞 카트 거리
 -- "티샷 유의거리" 이내일때
 - 홀맵 구역 표시 
 -- 문구 : OB, PA 설정한 구역 표시
 -- Toggle
 - 카트패스 진입여부 표시
 -- 문구 : 홀 별로 카트패스 진입 가능 여부 표시
 -- Toggle
 - 티샷 유의 안내
 -- 문구 : 앞카트가 기준거리 이내일 때 안내문구 표시
 -- Toggle
 -  카트패스 진입
 -- (허용/</t>
    </r>
    <r>
      <rPr>
        <rFont val="Arial"/>
        <color rgb="FFFF0000"/>
      </rPr>
      <t>제한</t>
    </r>
    <r>
      <rPr>
        <rFont val="Arial"/>
        <color theme="1"/>
      </rPr>
      <t>) 해당 홀의 카트패스 진입 허용여부 노출
 - 앞카트 위치
 -- "티샷 유의거리" 이내일때</t>
    </r>
  </si>
  <si>
    <t>1. 코스 선택 칩 - South, West, East 선택
2. 홀별 설정 영역 확인</t>
  </si>
  <si>
    <t>1. 선택한 구역의 칩 활성화됨
2. 선택된 코스에 해당되는 홀들의 현재 설정 정보 노출됨</t>
  </si>
  <si>
    <t>홀 선택</t>
  </si>
  <si>
    <t>1. 홀 선택 셀렉트 박스 선택
2. 홀 선택</t>
  </si>
  <si>
    <t>1. 현재 설정된 코스의 홀 목록 노출됨
2. 선택한 홀 설정됨</t>
  </si>
  <si>
    <t>티샷 유의거리 &gt; 미설정</t>
  </si>
  <si>
    <t>1. 티샷 유의거리 미설정된 홀 선택된 상태</t>
  </si>
  <si>
    <t>1. 티샷 유의거리 확인</t>
  </si>
  <si>
    <t>1. "미사용" 문구 노출됨</t>
  </si>
  <si>
    <t>티샷 유의거리 &gt; 설정</t>
  </si>
  <si>
    <t>1. 티샷 유의거리 설정된 홀 선택된 상태</t>
  </si>
  <si>
    <t>1. 설정되어 있는 티샷 유의 거리 노출됨
 - #m</t>
  </si>
  <si>
    <t>앞카트 거리 &gt; 미설정</t>
  </si>
  <si>
    <t>1. 앞카트 거리 확인</t>
  </si>
  <si>
    <t>1. 앞카트 거리 미노출됨. (동작 확인 필요. 미설정된 경우, 공란? 미설정 안내?)</t>
  </si>
  <si>
    <t>앞카트 거리 &gt; 설정</t>
  </si>
  <si>
    <t>1. 설정된 앞카드 위치 노출됨
 - ##m 이내일 때</t>
  </si>
  <si>
    <t>홀맵 구역 표시 &gt; True</t>
  </si>
  <si>
    <t>1. 홀맵 구역 표시 Toggle &gt; True 설정
2. 미리보기 영역 확인</t>
  </si>
  <si>
    <t>1.  Toggle 활성화됨
2. 설정된 OB, PA 구역 노출됨</t>
  </si>
  <si>
    <t>홀맵 구역 표시 &gt; False</t>
  </si>
  <si>
    <t>1. 홀맵 구역 표시 Toggle &gt; False설정
2. 미리보기 영역 확인</t>
  </si>
  <si>
    <t>1.  Toggle 비활성화됨
2. 설정된 OB, PA 구역 미노출됨</t>
  </si>
  <si>
    <t>카트패스 진입여부 표시 &gt; True</t>
  </si>
  <si>
    <t>1. 카트패스 진입여부 표시 Toggle &gt; True 설정
2. 미리보기 영역 확인</t>
  </si>
  <si>
    <t>1.  Toggle 활성화됨
2. 카트패스 진입 가능 여부 노출됨</t>
  </si>
  <si>
    <t>카트패스 진입여부 표시 &gt; False</t>
  </si>
  <si>
    <t>1. 카트패스 진입여부 표시 Toggle &gt; False설정
2. 미리보기 영역 확인</t>
  </si>
  <si>
    <t>1.  Toggle 활성화됨
2. 카트패스 진입 가능 여부 미노출됨</t>
  </si>
  <si>
    <t>티샷 유의 안내 표시 &gt; True</t>
  </si>
  <si>
    <t>1. 티샷 유의 안내 표시 Toggle &gt; True 설정
2. 미리보기 영역 확인</t>
  </si>
  <si>
    <t>1.  Toggle 활성화됨
2. 티샷 유의 안내 알림 노출됨</t>
  </si>
  <si>
    <t>티샷 유의 안내 표시 &gt; False</t>
  </si>
  <si>
    <t>1. 티샷 유의 안내 표시 Toggle &gt; False설정
2. 미리보기 영역 확인</t>
  </si>
  <si>
    <t>1.  Toggle 활성화됨
2. 티샷 유의 안내 알림 미노출됨</t>
  </si>
  <si>
    <t>카트패스 진입</t>
  </si>
  <si>
    <t>1. 카트패스 진입여부 설정 &gt; True 설정한 홀 선택</t>
  </si>
  <si>
    <t>1. 카트패스 진입 확인</t>
  </si>
  <si>
    <t>1. "허용" 상태로 노출됨</t>
  </si>
  <si>
    <t>1. 카트패스 진입여부 설정 &gt; False 설정한 홀 선택</t>
  </si>
  <si>
    <t>1. "제한" 상태로 노출됨</t>
  </si>
  <si>
    <t>앞카트 위치</t>
  </si>
  <si>
    <t xml:space="preserve">1. 앞카트 거리 "-" 미노출됨. </t>
  </si>
  <si>
    <t>1. 설정되어있는 앞카트 거리 노출됨
 -  - ##m 이내일 때</t>
  </si>
  <si>
    <t>미리보기 영역</t>
  </si>
  <si>
    <t>홀 요약정보 영역</t>
  </si>
  <si>
    <t>1. 홀 요약정보 영역 확인</t>
  </si>
  <si>
    <t>1. 아래 정보 노출됨
 - 코스 : South, West, East
 - 홀 : 1~9홀
 - PAR : PAR3~PAR5
 - 유의거리 : NNNm (티샷 유의거리 On인 경우 노출)</t>
  </si>
  <si>
    <t>페어웨이 진입 가능</t>
  </si>
  <si>
    <t>1.  페어웨이 진입 가능 여부 &gt; Off 설정한 홀 선택</t>
  </si>
  <si>
    <t>1. 페어웨이 진입 가능 여부 확인</t>
  </si>
  <si>
    <t>1. [페어웨이 진입 불가] 노출됨</t>
  </si>
  <si>
    <t>1.  페어웨이 진입 가능 여부 &gt; On 설정한 홀 선택</t>
  </si>
  <si>
    <t>1. [페어웨이 진입 가능] 노출됨</t>
  </si>
  <si>
    <t>홀맵 구역 표시</t>
  </si>
  <si>
    <t>1. 홀맵 구역 표시 &gt; Off 설정한 홀 선택</t>
  </si>
  <si>
    <t>1. 미리보기 영역 &gt; OB/PA라인 확인</t>
  </si>
  <si>
    <t>1. OB/PA라인 미노출됨</t>
  </si>
  <si>
    <t>1. OB/PA라인 노출됨</t>
  </si>
  <si>
    <t>1. 설정되어 있는 티샷 유의 거리 노출됨</t>
  </si>
  <si>
    <t>표시항목</t>
  </si>
  <si>
    <t>1. 표시항목 영역 확인</t>
  </si>
  <si>
    <t>1. 아래 정보 노출됨
 - OB표시, PA표시, 카트패스 진입여부, 티샷 유의 안내 팝업</t>
  </si>
  <si>
    <t>안내 메시지</t>
  </si>
  <si>
    <t>1. 안내 메시지 확인</t>
  </si>
  <si>
    <t>1. 아래 정보 노출됨
 - 문구 : 현재 미리보기는 홀맵 구역(OB, PA), 카트패스 진입 가능 여부, 티샷 유의 안내 메시지 까지 설정한 경우에 한해 보여집니다.</t>
  </si>
  <si>
    <t>화면 진입</t>
  </si>
  <si>
    <t>1. [핀 포지션 관리] 메뉴 선택</t>
  </si>
  <si>
    <t>1. 핀 포지션 관리 화면 진입됨</t>
  </si>
  <si>
    <t>안내 문구 영역</t>
  </si>
  <si>
    <t>1. 안내 문구 영역 확인</t>
  </si>
  <si>
    <t>1. 안내 문구 제공됨
 - 스마트스코어 스마트클럽 어플을 통하여 실시간 위치기반으로 핀 위치를 설정하여 태블릿에 현재 핀 위치를 표시할 수 있습니다.
그린을 선택하여 개별 홀, 전체 홀을 한 번에 이동할 수도 있습니다.</t>
  </si>
  <si>
    <t>필터 영역</t>
  </si>
  <si>
    <t>1. 필터 영역 확인</t>
  </si>
  <si>
    <t>1. 아래 정보 제공됨
 - 코스 셀렉트박스 (Def. 전체 코스)
 - [전체 적용], [선택 적용] 버튼</t>
  </si>
  <si>
    <t>테이블 영역</t>
  </si>
  <si>
    <t>1. 그린 영역 확인</t>
  </si>
  <si>
    <t>1. 아래 정보 제공됨
 - 테이블 (코스명, 홀넘버, PAR, 야디지, 그린, 핀포지션, 선택)
 - 홀별 그린 이미지 및 핀 위치 제공됨</t>
  </si>
  <si>
    <t>필터</t>
  </si>
  <si>
    <t>1. 코스 2개 이상 등록된 골프장</t>
  </si>
  <si>
    <t>1. 코스 셀렉트박스 클릭
2. 임의의 코스 선택</t>
  </si>
  <si>
    <t>1. 코스 리스트 제공됨
2. 선택한 코스 설정됨</t>
  </si>
  <si>
    <t>코스 정보 영역</t>
  </si>
  <si>
    <t>1. 테이블 내 정보 노출 확인</t>
  </si>
  <si>
    <t>1. 각 테이블 필드에 해당되는 정보 제공됨
  - 코스명, 홀넘버, PAR, 야디지, 그린, 핀포지션, 선택</t>
  </si>
  <si>
    <t>코스 이미지 영역</t>
  </si>
  <si>
    <t>1. 코스 셀렉트박스 클릭
2. 임의 코스 선택</t>
  </si>
  <si>
    <t>1. 선택한 코스의 그린 이미지 제공됨
2. 해당 코스 각 홀 핀위치 표시됨
3. 기본값: 내부관리자에 등록된 가장 첫 번째 코스 표시됨</t>
  </si>
  <si>
    <t>핀 위치 지도</t>
  </si>
  <si>
    <t>핀 위치 변경 (단일)</t>
  </si>
  <si>
    <t>1. 특정 홀의 그린 이미지 선택
2. 그린 위 핀 위치 변경</t>
  </si>
  <si>
    <t>1. 해당 홀의 핀 위치가 변경됨</t>
  </si>
  <si>
    <t>버튼</t>
  </si>
  <si>
    <t>핀 위치 변경 (일괄)</t>
  </si>
  <si>
    <t>1. 전체 홀 일괄 이동</t>
  </si>
  <si>
    <t>1. 전체 홀 핀 위치 일괄 변경됨</t>
  </si>
  <si>
    <t>위치 정보 저장</t>
  </si>
  <si>
    <t>1. 특정 홀의 그린 이미지 선택
2. [전체 적용] 버튼 클릭
3. 핀 위치 선택</t>
  </si>
  <si>
    <t>1. 선택한 코스의 그린 이미지 제공됨
2. 핀 위치 선택 팝업 노출됨
3. 전체 코스에 선택한 핀 위치 설정됨</t>
  </si>
  <si>
    <t>1. 코스 2개 이상 등록된 골프장
2. 홀 미선택된 상태</t>
  </si>
  <si>
    <t>1. [선택저장] 버튼 선택
2. [확인] 버튼 선택</t>
  </si>
  <si>
    <t>1. 알림 팝업 노출됨
 - 적용할 홀을 선택해주세요.
2. 팝업 사라지며, 이전 화면으로 전환됨</t>
  </si>
  <si>
    <t xml:space="preserve">1. [선택저장] 버튼 선택
</t>
  </si>
  <si>
    <t>1.선택 적용 팝업 노출됨
 - Title : 선택 적용
 - 홀맵 이미지
 - [취소] [저장] 버튼</t>
  </si>
  <si>
    <t>1. 팝업 사라지며, 이전 화면으로 전환됨</t>
  </si>
  <si>
    <t>1. 핀 포지션 변경사항 저장됨</t>
  </si>
  <si>
    <t>1. 핀 포지션 변경이력 화면 진입됨</t>
  </si>
  <si>
    <t>QA-14905</t>
  </si>
  <si>
    <t>핀 포지션 관련 항목 중 "핀 포지션 변경이력"만 띄어쓰기 상이함</t>
  </si>
  <si>
    <t>1. 아래 정보 제공됨
 - Titel : 핀 포지션 관리
 - 문구 : 핀 포지션이 변경된 모든 이력을 확인할 수 있습니다.
각 홀별 변경된 시각과 이전 위치, 변경된 위치를 확인할 수 있으며, 변경한 작업자 확인이 가능합니다.</t>
  </si>
  <si>
    <t>1. 아래 정보 제공됨
 - 날짜(From~To) (Def. 미선택)
 - 코스 선택 드롭박스
 - 홀 선택 드롭박스
 - [조회] 버튼
 - [내보내기] 버튼</t>
  </si>
  <si>
    <t>그린 이미지 영역</t>
  </si>
  <si>
    <t>1. 그린 이미지 영역 확인</t>
  </si>
  <si>
    <t>1. 아래 정보 제공됨
 - 테이블 (코스명, 홀넘버, PAR, 야디지, 그린, 핀포지션, 선택)
 - 홀별 그린 이미지 및 핀 위치 표시됨</t>
  </si>
  <si>
    <t>기간 설정</t>
  </si>
  <si>
    <t>1. 변경이력 데이터 1건 이상 존재</t>
  </si>
  <si>
    <t>1. From~To 날짜 설정
2. [조회] 버튼 클릭</t>
  </si>
  <si>
    <t>1. 검색 기간 설정됨
2. 설정한 기간의 데이터 조회됨</t>
  </si>
  <si>
    <t>코스 설정</t>
  </si>
  <si>
    <t>1. 변경이력 데이터 복수 코스에 존재</t>
  </si>
  <si>
    <t>1. 코스 셀렉트에서 [전체 코스] 선택
2. [조회] 버튼 클릭</t>
  </si>
  <si>
    <t>1. 모든 코스의 변경이력 조회됨</t>
  </si>
  <si>
    <t>1. 변경이력 복수 코스에 존재</t>
  </si>
  <si>
    <t>1. 코스 셀렉트에서 특정 코스 선택
2. [조회] 버튼 클릭</t>
  </si>
  <si>
    <t>1. 선택한 코스명 제공됨
2. 선택한 코스의 변경이력만 조회됨</t>
  </si>
  <si>
    <t>조회</t>
  </si>
  <si>
    <t>1. 변경이력 복수 홀에 존재</t>
  </si>
  <si>
    <t>1. 홀 셀렉트에서 [전체 홀] 선택
2. [조회] 버튼 클릭</t>
  </si>
  <si>
    <t>1. 모든 홀의 변경이력 조회됨</t>
  </si>
  <si>
    <t>1. 홀 셀렉트에서 특정 홀 선택
2. [조회] 버튼 클릭</t>
  </si>
  <si>
    <t>1. 선택한 홀의 변경이력만 조회됨
2. 다른 홀 이력 미표시됨</t>
  </si>
  <si>
    <t>1. 조회 일정 설정
2. 코스/홀 셀렉트 선택하여 코스 선택
3. [초기화] 버튼 선택</t>
  </si>
  <si>
    <t>1. 조회 기간 설정됨
2. 코스/홀 설정됨
3. 검색 조건 초기화됨</t>
  </si>
  <si>
    <t>QA-14898</t>
  </si>
  <si>
    <t>[초기화] 버튼 미노출됨</t>
  </si>
  <si>
    <t>엑셀 다운로드</t>
  </si>
  <si>
    <t>1. 변경이력 조회 결과 데이터 존재</t>
  </si>
  <si>
    <t>1. [내보내기] 버튼 클릭</t>
  </si>
  <si>
    <t>1. 엑셀 파일 다운로드됨
2. 화면 테이블 컬럼 구성과 일치함(코스/홀번호/날짜/변경시간/핀위치/변경핀위치/변경좌표/변경서비스/작업자/아이피)
3. 조회된 데이터 전체 포함됨</t>
  </si>
  <si>
    <t>변경이력 테이블</t>
  </si>
  <si>
    <t>1. 변경이력 데이터 존재</t>
  </si>
  <si>
    <t>1. 변경이력 임의 행 데이터 전체 확인</t>
  </si>
  <si>
    <t>1. 코스명 정상 표시됨
2. 홀 번호 정상 표시됨
3. 날짜(YYYY -MM -DD 형식) 정상 표시됨
4. 변경시간(HH:MM) 정상 표시됨
5. 이전 핀위치(R+숫자 형식) 정상 표시됨
6. 변경 핀위치(R+숫자 형식) 정상 표시됨
7. 변경 좌표(위도/경도) 정상 표시됨
8. 변경 서비스명(클럽 관리자/스마트 핀/캐디 태블릿 등) 정상 표시됨
9. 작업자명 정상 표시됨
10. 아이피 주소 정상 표시됨</t>
  </si>
  <si>
    <t>1. 클럽 관리자에서 변경한 이력 있는 경우</t>
  </si>
  <si>
    <t>1. 변경이력 테이블에서 [변경 서비스] 컬럼 확인</t>
  </si>
  <si>
    <t>1. 변경 서비스  - '클럽 관리자' 제공됨</t>
  </si>
  <si>
    <t>1. 스마트 핀 앱에서 변경한 이력 있는 경우</t>
  </si>
  <si>
    <t>1. 변경 서비스  - '스마트 핀' 제공됨</t>
  </si>
  <si>
    <t>보이스 캐디 (외부업체)에서 변경 시, 노출되는 이력</t>
  </si>
  <si>
    <t>1. 캐디 태블릿에서 변경한 이력 있는 경우</t>
  </si>
  <si>
    <t>1. 변경 서비스  - '캐디 태블릿' 제공됨</t>
  </si>
  <si>
    <t>1. 변경이력 데이터 미존재</t>
  </si>
  <si>
    <t>1. 변경이력 없는 기간/코스/홀 설정
2. [적용] 버튼 클릭</t>
  </si>
  <si>
    <t>1. '데이터가 없습니다' 문구 제공됨
2. 테이블 빈 상태로 표시됨
3. 페이지네비게이션 숫자 미표시됨</t>
  </si>
  <si>
    <t>1. [핀 포지션 분석] 메뉴 진입</t>
  </si>
  <si>
    <t>1. 아래 정보 제공됨
 - 안내 영역
 - 검색 영역
 - 코스 별 홀 별 핀 포지션 분석 표</t>
  </si>
  <si>
    <t>안내 영역</t>
  </si>
  <si>
    <t>1. 안내 영역 확인</t>
  </si>
  <si>
    <t>1. 아래 정보 제공됨
 - Title : 핀 포지션 분석
 - 문구 : 핀 위치에 따른 고객들의 평균 스코어를 통해 핀 위치별 난이도를 확인할 수 있습니다.</t>
  </si>
  <si>
    <t>1. 날짜 선택 영역 확인</t>
  </si>
  <si>
    <t>1. 날짜 선택 셀렉트 박스 제공됨
 - 날짜(From~To) (Def. 최근으로부터 과거 30일)</t>
  </si>
  <si>
    <t>QA-14892</t>
  </si>
  <si>
    <t>기본 검색기간 미설정되어있음</t>
  </si>
  <si>
    <t>날짜 선택</t>
  </si>
  <si>
    <t>1. 날짜 셀렉트 박스 선택
2. From ~ To 날짜 선택</t>
  </si>
  <si>
    <t>1. 달력 펼쳐짐
2. 선택한 날짜 설정됨</t>
  </si>
  <si>
    <t>1. 날짜 셀렉트 박스 선택
2. From ~ To 날짜 90일 초과하여 선택</t>
  </si>
  <si>
    <t>1. 90일 내의 날짜만 설정 가능하다는 알럿 발생
 - 최대 조회 기간은 90일 입니다.</t>
  </si>
  <si>
    <t>90일 초과 시, 알럿 미노출됨</t>
  </si>
  <si>
    <t>1. 코스 선택 영역 확인</t>
  </si>
  <si>
    <t>1. 코스 선택 셀렉트 박스 제공됨
 - Def. 코스 선택</t>
  </si>
  <si>
    <t>1. 코스 선택 셀렉트 박스 선택
2. 코스 선택</t>
  </si>
  <si>
    <t>1. 검색 조건 설정
2. [초기화] 버튼 선택</t>
  </si>
  <si>
    <t>1. 설정한 검색 조건 초기화됨</t>
  </si>
  <si>
    <t>1. 검색 조건 설정
2. [조회] 버튼 선택</t>
  </si>
  <si>
    <t>1. 설정한 조건에 해당되는 데이터 조회됨</t>
  </si>
  <si>
    <t>코스 별 홀별 핀포지션 분석 테이블 영역</t>
  </si>
  <si>
    <t>1. 코스 별 홀별 핀포지션 분석 표 영역 확인</t>
  </si>
  <si>
    <t>1. 아래 정보 제공됨
 - 코스명
 - 골프 코스 정보 (Ex. 번호 1 / PAR 4 / Left)
 - 그린 격자 시각화 이미지
 - 핀 포지션별 상세 데이터 테이블</t>
  </si>
  <si>
    <t>1. 코스 별 홀별 핀포지션 분석 표 데이터 확인</t>
  </si>
  <si>
    <t>1. 아래 정보 제공됨
 - 1~9 : 구역
 - 스코어 : 평균 스코어
 - 오버파 : 평균 오버파
 - 순위 : 난이도 순위 (1위가 가장 쉬움)
 - 라운드 수 : 플레이된 라운드 수
 - 라운드 율(%) : 라운드 비율
 - 데이터 :  - 인 경우, 해당 핀 포지션에서 치러진 라운드 데이터가 없거나 미미함</t>
  </si>
  <si>
    <t>1. [코스분석] 메뉴 진입</t>
  </si>
  <si>
    <t>1. 아래 정보 제공됨
 - 안내 영역
 - 필터 영역
 - 코스 분석 테이블 영역</t>
  </si>
  <si>
    <t>1. 아래 정보 제공됨
 - Title : 코스 분석
 - 문구 : 골프장에서 플레이한 고객들의 스코어를 바탕으로 산출된 분석 자료를 통해 성별, 코스, 티잉 구역 별 평균 스코어와 퍼팅수, 페어웨이 안착률, 그린 적중률을 확인할 수 있으며, 스마트스코어를 이용 중인 전국 골프장의 데이터와 비교하여 골프장의 난이도를 확인할 수 있습니다.</t>
  </si>
  <si>
    <t>1. 아래 정보 제공됨
 - 연도 필터 (Def. 연도 전체)
 - 월 필터 (Def. 월 전체)</t>
  </si>
  <si>
    <t>연도 선택</t>
  </si>
  <si>
    <t>1. 연도 필터 선택
2. 연도 선택</t>
  </si>
  <si>
    <t>1. 연도 리스트 제공됨
2. 선택한 연도 설정됨</t>
  </si>
  <si>
    <t>월 선택</t>
  </si>
  <si>
    <t>1. 월 필터 선택
2. 월 선택</t>
  </si>
  <si>
    <t>1. 월 리스트 제공됨
2. 선택한 월 설정됨</t>
  </si>
  <si>
    <t>코스 분석 테이블 영역</t>
  </si>
  <si>
    <t>1. 분석 결과 X</t>
  </si>
  <si>
    <t>1. 필터 조건 설정
2. 코스 분석 테이블 영역 확인</t>
  </si>
  <si>
    <t>1. 아래 정보 제공됨
 - 해당 날짜에 검색된 데이터가 없습니다.</t>
  </si>
  <si>
    <t>1. 분석 결과 O</t>
  </si>
  <si>
    <t>1. 코스 분석 테이블 영역 확인</t>
  </si>
  <si>
    <t>1. 설정한 필터 조건 (연도, 월)에 해당되는 코스 분석 결과 제공됨
 - 홀, 스코어, 퍼팅수, 페어웨이 안착률, 그린 적중률
 - 남자 스코어, 여자 스코어</t>
  </si>
  <si>
    <t>1. [그린스피드] 메뉴 진입</t>
  </si>
  <si>
    <t>1. 아래 정보 제공됨
 - 안내 영역
 - 필터 영역
 - 그린 스피드 입력/이력 영역</t>
  </si>
  <si>
    <t>1. 아래 정보 제공됨
 - Title : 그린 스피드
 - 문구 : 당일 그린 스피드를 골프장 방문고객에게 제공할 수 있는 메뉴 입니다. (스마트스코어App,태블릿 내 노출)
그린 스피드 입력 후 적용만 누르면 간단하게 저장이 됩니다.
그린스피드 Data를 관리하여 더 좋은 서비스를 제공할 수 있습니다.</t>
  </si>
  <si>
    <t>그린스피드 입력 영역</t>
  </si>
  <si>
    <t>1. [그린스피드 입력] 탭 선택</t>
  </si>
  <si>
    <t>1. 아래 정보 제공됨
 - Title : 그린스피드 입력
 - 그린스피드 [입력필드] [수정] 버튼
 - 현재 제공중인 그린스피드 정보
 - App, Tablet 이미지</t>
  </si>
  <si>
    <t>그린스피드 수정</t>
  </si>
  <si>
    <t>1. 그린 스피드 입력 필드 선택
2. 숫자 입력
3. [수정] 버튼 선택</t>
  </si>
  <si>
    <t>1. 입력 필드에 커서 위치됨
2. 숫자 입력됨
3. 그린스피드 설정되며, 이미지 업데이트됨</t>
  </si>
  <si>
    <t>QA-14902</t>
  </si>
  <si>
    <t>앱 미리보기 화면 확인 시, 이미지와 숫자 겹쳐보이며, 1000단위 이상 입력 시 영역 벗어남</t>
  </si>
  <si>
    <t>그린스피드 이력 영역</t>
  </si>
  <si>
    <t>1. [그린스피드 이력] 탭 선택</t>
  </si>
  <si>
    <t>1. 아래 정보 제공됨
 - Title : 그린스피드 이력
 - 날짜 셀렉트박스 [검색] 버튼 [내보내기] 버튼
 - 문구 : YYYY.M.D. 09:00 부터 ~ YYYY.M.D. 09:00까지 평균 스피드는 # 입니다.
 - 그린 스피드 이력 테이블
 - 총 #건 [리스트50개v]</t>
  </si>
  <si>
    <t>1. 그린스피드 이력 X</t>
  </si>
  <si>
    <t>1. 날짜 셀렉트박스 선택
2. 날짜 (From~To) 선택
3. [검색] 버튼 선택</t>
  </si>
  <si>
    <t>1. 달력 펼쳐짐
2. 선택한 날짜 설정됨
3, 선택한 기간의 그린스피드 이력 제공됨
 - 문구 : YYYY.M.D. 09:00 부터 ~ YYYY.M.D. 09:00까지 평균 스피드는 0 입니다.
 - 문구 : 그린스피드 이력이 없습니다
 - 총0건 [리스트50개v] 드롭박스</t>
  </si>
  <si>
    <t>1. 그린스피드 이력 O</t>
  </si>
  <si>
    <t>1. 달력 펼쳐짐
2. 선택한 날짜 설정됨
3, 선택한 기간의 그린스피드 이력 제공됨
 - 문구 : YYYY.M.D. 09:00 부터 ~ YYYY.M.D. 09:00까지 평균 스피드는 # 입니다.
 - 그린 스피드 이력 제공됨
 - 총 #건 [리스트50개v] 드롭박스</t>
  </si>
  <si>
    <t>1. 엑셀 파일 다운로드됨
2. 파일 확인 시, 그린 스피드 이력 정보 제공됨</t>
  </si>
  <si>
    <t>리스트 전환</t>
  </si>
  <si>
    <t>1. [리스트 50개v] 드롭박스 선택
2. 항목 선택</t>
  </si>
  <si>
    <t>1. 선택 항목 제공됨
2. 선택한 항목 적용됨
 - 건수 초과되는 경우, 페이징 처리 확인</t>
  </si>
  <si>
    <t>1. [골프장 소식] 메뉴 진입</t>
  </si>
  <si>
    <t>1. 아래 정보 제공됨
 - 안내 영역
 - [등록] [삭제] 버튼
 - 골프장 소식 테이블
 - 총 #건 [리스트50개v] 드롭박스</t>
  </si>
  <si>
    <t>1. 아래 정보 제공됨
 - Title : 골프장 소식
 - 문구 : 골프장의 소식을 방문고객에게 제공할 수 있는 메뉴 입니다. (스마트스코어App 노출)
방문고객에게 골프장의 다양한 소식을 제공해 보세요.</t>
  </si>
  <si>
    <t>골프장 소식 리스트</t>
  </si>
  <si>
    <t>1. 등록된 소식 X</t>
  </si>
  <si>
    <t>1. 골프장 소식 테이블 확인</t>
  </si>
  <si>
    <t>1. 아래 정보 제공됨
 - 총 0건
 -검색된 데이터가 없습니다.</t>
  </si>
  <si>
    <t>소식 등록</t>
  </si>
  <si>
    <t>1. 골프장 소식 등록 화면으로 전환됨</t>
  </si>
  <si>
    <t>골프장 소식 등록</t>
  </si>
  <si>
    <t>1. 골프장 소식 등록 화면 확인</t>
  </si>
  <si>
    <r>
      <rPr/>
      <t xml:space="preserve">1. 골프장소식 모달 노출됨
 - Title : 골프장 소식 입력 
 - 골프장소식
 - 입력필드
 - 0/200
 - 노출일자/노출시간 
 - 노출일 종료일
 - </t>
    </r>
    <r>
      <rPr>
        <color rgb="FF1155CC"/>
        <u/>
      </rPr>
      <t>YYYY.MM</t>
    </r>
    <r>
      <rPr/>
      <t xml:space="preserve">.DD HH:MM </t>
    </r>
    <r>
      <rPr>
        <color rgb="FF1155CC"/>
        <u/>
      </rPr>
      <t>YYYY.MM</t>
    </r>
    <r>
      <rPr/>
      <t xml:space="preserve">.DD </t>
    </r>
    <r>
      <rPr>
        <color rgb="FF1155CC"/>
        <u/>
      </rPr>
      <t>HH.MM</t>
    </r>
  </si>
  <si>
    <t>1. 골프장 소식 등록 화면 진입된 상태</t>
  </si>
  <si>
    <t>1. 골프장 소식 입력 화면 등록된 상태
2. 입력된 내용 없는 상태</t>
  </si>
  <si>
    <t>1. 알럿 노출됨
 - 골프장 소식을 입력해주세요</t>
  </si>
  <si>
    <t>1. 골프장 소식 입력 필드 선택
2. 텍스트 입력</t>
  </si>
  <si>
    <t>1. 입력 필드에 커서 위치됨
2. 텍스트 입력되며 글자수 카운트됨 (NN/200)</t>
  </si>
  <si>
    <t>1. 골프장 소식 입력 화면 등록된 상태
2. 입력된 내용 있는 상태</t>
  </si>
  <si>
    <t>1. 노출일/종료일 - 달력 선택
2. 노출일/종료일 - 시간 선택</t>
  </si>
  <si>
    <t>1. 달력 펼쳐지며 날짜 선택 가능함
2. 시간 셀렉트 리스트 노출되며, 선택 가능함</t>
  </si>
  <si>
    <t>1-1. 알럿 노출됨
 - 골프장 소식 등록이 완료되었습니다.
1-2. 골프장소식 리스트에 등록한 항목 노출됨</t>
  </si>
  <si>
    <t>1. 등록된 소식 O</t>
  </si>
  <si>
    <t>1, 등록된 골프장소식 제공됨
 - 순서, 골프장 소식, 노출기간, 노출여부, 작성자
 - 총 #건</t>
  </si>
  <si>
    <t>골프장 소식 상세</t>
  </si>
  <si>
    <t>1. 골프장 소식 제목 선택</t>
  </si>
  <si>
    <t>1. 골프장소식 모달 노출됨</t>
  </si>
  <si>
    <t>1. 등록된 소식 O
2. 골프장 소식 모달 노출된 상태</t>
  </si>
  <si>
    <t>1. 골프장소식 모달 닫히며 이전 화면으로 전환됨</t>
  </si>
  <si>
    <t>1. 입력된 내용 또는 노출 일정 수정
2. [수정] 버튼 선택</t>
  </si>
  <si>
    <t>1. 변경사항 반영되며 이전 화면으로 전환됨</t>
  </si>
  <si>
    <t>1. 선택 체크박스 미선택된 상태
2. [삭제] 버튼 선택</t>
  </si>
  <si>
    <t>1. 선택된 항목 없다는 알럿 노출</t>
  </si>
  <si>
    <t>1. 선택 체크박스 선택된 상태
2. [삭제] 버튼 선택</t>
  </si>
  <si>
    <t>1. 선택한 소식 삭제됨 (삭제 여부를 묻는 팝업 노출 여부 확인 필요)</t>
  </si>
  <si>
    <t>1. [진행시간 표준 설정] 메뉴 진입
2. 제공 정보 확인</t>
  </si>
  <si>
    <t>1. 진행시간 표준 설정 진입됨
2. 아래 정보 노출됨
 - 메뉴 설명 영역
 - 기능 버튼 영역
 - 코스 선택 영역
 - 홀 별 설정 영역
 - 전체 코스 요약
 - 라운드 별 자동 계산 결과</t>
  </si>
  <si>
    <t>1. 아래 정보 노출됨
 - Title : 진행시간 표준 설정
 - 문구 : 진행 시간을 평가하고 관리할 수 있도록 표준 진행 시간을 설정할 수 있습니다.
모든 홀에 시간이 설정되어 있어야 평가 및 관리가 가능하며 데이터 산출이 가능합니다.
* 코스 대기 : 해당 코스가 후반인 경우 표준적인 중간 대기시간</t>
  </si>
  <si>
    <t>코스 선택 영역</t>
  </si>
  <si>
    <t>코스선택</t>
  </si>
  <si>
    <t>1. 아래 정보 노출됨
 - Title : 코스 선택
 - 문구 : 코스를 선택하면 우측에서 홀별 진행시간과 대기시간을 쉽게 수정할 수 있습니다.
 - Def. 첫번째 코스 선택 상태</t>
  </si>
  <si>
    <t>1. 제공 정보 확인</t>
  </si>
  <si>
    <t>1. 코스별로 아래 정보 노출됨
 - [전체시간] : [경기시간] + [홀간대기]
 - [경기시간] : 각 홀 별 ‘진행시간’ 의 합
 - [홀간대기] : 각 홀 별 ‘다음홀대기시간’ 의 합
 - [코스대기] : 4-4 코스대기 설정에 넣은 값</t>
  </si>
  <si>
    <t>홀 별 설정 영역</t>
  </si>
  <si>
    <t>1. 아래 정보 노출됨
 - Title : South 코스 설정
 - 문구 : 홀 별 입력 카드를 통해 표준시간을 한 번에 관리합니다.
 - [권장값 적용 ⓘ] 버튼</t>
  </si>
  <si>
    <t>권장값 적용 버튼</t>
  </si>
  <si>
    <t>1. 신규 골프장인 경우
2. 코스 선택된 상태</t>
  </si>
  <si>
    <t>1. [권장값 적용 ⓘ] 버튼 클릭</t>
  </si>
  <si>
    <t>1. 아래 정보 노출됨
 - 진행시간
 -- PAR3 : 10분
 -- PAR4 : 13분
 -- PAR5 이상일 때 : 15분
 -- 다음 홀 대기시간 : 1분
 -- 코스대기 설정시간 : 10분</t>
  </si>
  <si>
    <t>1. 아래 값 불려옴
 - 과거 90일간의 데이터를 분석해, 해당 골프장의 전체시간, 경기시간, 홀간대기, 코스대기 평균 시간 불려옴</t>
  </si>
  <si>
    <t>info 버튼</t>
  </si>
  <si>
    <t>1. info 아이콘 [ ⓘ] 클릭</t>
  </si>
  <si>
    <t>1. 툴팁 안내 노출됨
 - 권장값 적용 클릭 시, 과거 90일 간의 데이터를 분석해, 진행시간, 다음 홀 대기시간, 코스대기 설정시간에 평균값을 입력합니다.
신규 골프장인 경우 진행시간에 PAR3인 경우 10분, PAR4인 경우 13분, PAR5인 경우 15분을 불러옵니다. 그리고 다음홀 대기시간은 1분, 코스대기 설정시간은 10분을 불러옵니다.</t>
  </si>
  <si>
    <t>입력 필드</t>
  </si>
  <si>
    <t>1. [진행시간] 입력 필드 선택
2. 숫자 입력</t>
  </si>
  <si>
    <t>1. 입력필드에 커서 위치됨
2. 숫자 입력됨 (최대 두자리 정수만 입력 가능)</t>
  </si>
  <si>
    <t>1. [다음 홀 대기 시간] 입력 필드 선택
2. 숫자 입력</t>
  </si>
  <si>
    <t>1. [코스대기 설정] 입력 필드 선택
2. 숫자 입력</t>
  </si>
  <si>
    <t>기능버튼 영역</t>
  </si>
  <si>
    <t>1. 기능 버튼 영역 확인</t>
  </si>
  <si>
    <t>1. 아래 정보 노출됨
 - [초기화] 버튼
 - [저장] 버튼</t>
  </si>
  <si>
    <t>1. [초기화] 버튼 클릭</t>
  </si>
  <si>
    <t>1. 현재 선택한 코스에 대해 [진행시간], [다음 홀 대기시간], [코스대기 설정] 입력필드 값이 기본값대로 입력 처리됨
 - 저장은 하지 않음</t>
  </si>
  <si>
    <t>1. 설정 변경
2. 미저장 상태로 화면 이탈</t>
  </si>
  <si>
    <t>1. 변경한 설정 저장되지 않음.</t>
  </si>
  <si>
    <t>저장 버튼</t>
  </si>
  <si>
    <t>1. [저장] 버튼 클릭</t>
  </si>
  <si>
    <t>1. 현재 코스 별로 입력한 값대로 저장됨</t>
  </si>
  <si>
    <t>요약 정보 영역</t>
  </si>
  <si>
    <t>요약정보</t>
  </si>
  <si>
    <t xml:space="preserve">1. 아래 정보 노출됨
 - Title : 요약 정보
 - 문구 : 입력값이 바뀌면 우측 요약과 하단 표에 즉시 반영됩니다.
</t>
  </si>
  <si>
    <t>1. 요약 정보 확인</t>
  </si>
  <si>
    <t>1. 아래 정보 노출됨
 - 전체 시간 : 경기시간 + 홀간 대기
 - 경기 시간 : 1~9홀 기본 진행시간의 합
 - 홀간 대기 : 각 홀 사이 대기시간의 합
 - 문구 : 경기시간은 1~9홀 기본 진행시간의 합이며, 홀간대기는 각 홀 사이 대기시간의 합입니다. 전체시간은 경기시간 + 홀간대기 기준으로 계산됩니다.</t>
  </si>
  <si>
    <t>1. 진행시간, 다음 홀 대기 시간, 코스 대기 시간 변경</t>
  </si>
  <si>
    <t>1. 요약 정보 영역 확인</t>
  </si>
  <si>
    <t>1. 수정 즉시 요약 정보에 반영됨
- 전체시간, 경기시간, 홀간대기 수치가 변경된 입력값 기준으로 재계산되어 노출됨</t>
  </si>
  <si>
    <t>1. 다른 코스 선택</t>
  </si>
  <si>
    <t>1. 선택한 코스의 정보로 변경되어 노출됨</t>
  </si>
  <si>
    <t>전체 코스 요약 영역</t>
  </si>
  <si>
    <t>전체 코스 요약</t>
  </si>
  <si>
    <t>1. 아래 정보 노출됨
 - Title : 전체 코스 요약
 - 문구 : 입력한 설정값을 한 화면에서 비교할 수 있습니다.</t>
  </si>
  <si>
    <t>1. 테이블 정보 확인</t>
  </si>
  <si>
    <t>1. 아래 정보 노출됨
 - 전체 코스 요약 테이블 (코스명 1홀,대기,9홀, 전체시간, 경기시간, 홀간대기, 코스대기)
 -- 전체시간 = 경기시간 + 홀간대기
 - South, Par, East, Par, West, Par
 - 각 코스, 홀 별 설정된 시간</t>
  </si>
  <si>
    <t>라운드 별 자동 계산 결과 영역</t>
  </si>
  <si>
    <t>라운드 별 자동 계산 결과</t>
  </si>
  <si>
    <t>1. 아래 정보 노출됨
 - Title : 라운드 별 자동 계산 결과
 - 문구 : 위 설정된 코스별 표준시간에 따라 각 코스별 라운드(전/후반)의 표준적인 진행시간이 자동 설정됩니다.</t>
  </si>
  <si>
    <t>1. 아래 정보 노출됨
- South / East / West 시작 기준 테이블 (코스명, 코스, 경기시간, 홀간대기, 코스대기, 전체시간)
- 전반/후반, South/East/West 별 표준적인 진행 시간 자동 설정되어 노출됨</t>
  </si>
  <si>
    <t>South/East/West 코스 진행시간 설정 완료 상태</t>
  </si>
  <si>
    <t>1. 라운드 별 자동 계산 결과 테이블 확인</t>
  </si>
  <si>
    <t>1. 각 시작 기준별 전체시간 계산 정합성 확인됨
- 전체시간 = 경기시간 + 홀간대기 + 코스대기와 일치
- 예: 경기시간 02:00, 홀간대기 00:08, 코스대기 00:10 → 전체시간 04:26</t>
  </si>
  <si>
    <t>6홀 골프장 메뉴 미노출</t>
  </si>
  <si>
    <t>6홀 골프장 계정으로 로그인한 상태</t>
  </si>
  <si>
    <t>1. GNB 메뉴 확인</t>
  </si>
  <si>
    <t>1. [진행시간 표준 설정] 메뉴가 노출되지 않음
- 6홀 골프장은 기존 정책 유지</t>
  </si>
  <si>
    <t>진행 시간 실시간</t>
  </si>
  <si>
    <t>1. [진행 시간 실시간] 메뉴 진입</t>
  </si>
  <si>
    <t>1. [진행 시간 실시간] 메뉴 진입됨
2. 아래 정보 노출됨
 - 메뉴 설명 영역
 - 필터 영역
 - 진행시간 실시간 테이블</t>
  </si>
  <si>
    <t>1. 아래 정보 노출됨
 - Title : 진행시간 실시간
 - 문구 : 당일 진행 중인 경기 및 완료된 경기의 홀 별 및 전체 진행 시간을 모니터링할 수 있습니다.
 붉은색 표시된 시간은 표준 설정된 시간을 초과한 경우입니다. 홀별 시각 보기를 통해 해당 홀을 시작한 시각과 홀을 마친 시각까지 상세하게 확인할 수 있습니다.
 •우수 : 모든 시간이 표준 범위 내
 정상 : 전체 시간이 표준 시간의 110% 이내 
 개선 : 전체 시간이 표준 시간의 110% ~ 120%
 위기 : 전체 시간 및 특정 시간이 표준의 120%를 초과</t>
  </si>
  <si>
    <t>1. 아래 정보 노출됨
 - 코스 필터 (Def. 코스 전체 v)
 - 진행상태 필터 (Def. 진행중+완료 v)
 - 평가 필터 (Def. 전체 v)
 - 캐디명 입력 필드
 -- Place holder : 캐디명
 - 카트번호 입력 필드
 -- Place holder : 카트번호 
 - 내장객명 입력 필드
 -- Place holder : 내장객명
 - [검색] [초기화] [새로고침] 버튼
 - 티 필터 (티 v ~ 티 v)
 - 전체상황 ★★★★★
 - [Download] [홀별시각보기] 버튼
 - (검색결과 : ##)</t>
  </si>
  <si>
    <t>1. 검색결과 X</t>
  </si>
  <si>
    <t>1. 필터 항목 설정
2. [검색] 버튼 선택</t>
  </si>
  <si>
    <t>1. 해당되는 검색 결과가 없는 경우, 검색 결과가 없다는 문구 노출됨</t>
  </si>
  <si>
    <t>1. 검색결과 O</t>
  </si>
  <si>
    <t>1. 코스필터 (코스 전체v) 선택
2. 코스 전체 선택
3. [검색] 버튼 선택</t>
  </si>
  <si>
    <t>1. 코스 리스트 노출됨
2. 코스 전체 설정됨
3. 모든코스의 실시간 진행시간 노출됨</t>
  </si>
  <si>
    <t>1. 코스필터 (코스 전체v) 선택
2. 임의의 코스 선택
3. [검색] 버튼 선택</t>
  </si>
  <si>
    <t>1. 코스 리스트 노출됨
2. 선택한 코스 설정됨
3. 설정한 코스의 실시간 진행시간 노출됨</t>
  </si>
  <si>
    <t>진행상태</t>
  </si>
  <si>
    <t>진행 상태 필터</t>
  </si>
  <si>
    <t>1. 진행 상태 필터 (진행중+완료v) 선택
2. 진행 상태 (진행중+완료v) 선택
3. [검색] 버튼 선택</t>
  </si>
  <si>
    <t>1. 진행 상태 (진행중+완료, 진행중, 완료) 리스트 노출됨
2. 선택한 항목 (진행중+완료) 설정됨
3. 전체 (진행중, 완료) 경기의 실시간 진행시간 노출됨</t>
  </si>
  <si>
    <t>1. 진행 상태 필터 (진행중+완료v) 선택
2. 진행 상태 (진행중) 선택
3. [검색] 버튼 선택</t>
  </si>
  <si>
    <t>1. 진행 상태 (진행중+완료, 진행중, 완료) 리스트 노출됨
2. 선택한 항목 (진행중) 설정됨
3. 진행중인 경기의 실시간 진행시간 노출됨</t>
  </si>
  <si>
    <t>1. 진행 상태 필터 (진행중+완료v) 선택
2. 진행 상태 (완료) 선택
3. [검색] 버튼 선택</t>
  </si>
  <si>
    <t>1. 진행 상태 (진행중+완료, 진행중, 완료) 리스트 노출됨
2. 선택한 항목 (완료) 설정됨
3. 종료된 경기의 실시간 진행시간 노출됨</t>
  </si>
  <si>
    <t>평가</t>
  </si>
  <si>
    <t>평가 필터</t>
  </si>
  <si>
    <t>1. 평가 필터 (평가전체v) 선택
2. 평가 (평가전체) 선택
3. [검색] 버튼 선택</t>
  </si>
  <si>
    <t>1. 평가 (평가전체, 우수, 정상, 개선, 위기) 리스트 노출됨
2. 선택한 항목 (평가전체) 설정됨
3. 전체 경기의 실시간 진행시간 노출됨</t>
  </si>
  <si>
    <t>1. 평가 필터 (평가전체v) 선택
2. 평가 (우수) 선택
3. [검색] 버튼 선택</t>
  </si>
  <si>
    <t>1. 평가(평가전체, 우수, 정상, 개선, 위기) 리스트 노출됨
2. 선택한 항목 (우수) 설정됨
3. 평가 등급 - 우수 경기의 실시간 진행시간 노출됨</t>
  </si>
  <si>
    <t>1. 평가 필터 (평가전체v) 선택
2. 평가 (정상) 선택
3. [검색] 버튼 선택</t>
  </si>
  <si>
    <t>1. 평가 (평가전체, 우수, 정상, 개선, 위기)  리스트 노출됨
2. 선택한 항목 (정상) 설정됨
3. 평가 등급 - 정상 경기의 실시간 진행시간 노출됨</t>
  </si>
  <si>
    <t>1. 평가 필터 (평가전체v) 선택
2. 평가 (개선) 선택
3. [검색] 버튼 선택</t>
  </si>
  <si>
    <t>1. 평가 (평가전체, 우수, 정상, 개선, 위기)  리스트 노출됨
2. 선택한 항목 (개선) 설정됨
3. 평가 등급 - 개선 경기의 실시간 진행시간 노출됨</t>
  </si>
  <si>
    <t>1. 평가 필터 (평가전체v) 선택
2. 평가 (위기) 선택
3. [검색] 버튼 선택</t>
  </si>
  <si>
    <t>1. 평가 (평가전체, 우수, 정상, 개선, 위기)  리스트 노출됨
2. 선택한 항목 (위기) 설정됨
3. 평가 등급 - 위기 경기의 실시간 진행시간 노출됨</t>
  </si>
  <si>
    <t>1. 캐디명 입력 필드 선택
2. 텍스트 입력
3. [검색] 버튼 선택</t>
  </si>
  <si>
    <t>1. 캐디명 입력 필드에 커서 위치됨
2. 텍스트  입력됨
3. 입력한 캐디명에 해당되는 경기의 실시간 진행시간 노출됨</t>
  </si>
  <si>
    <t>카트 번호</t>
  </si>
  <si>
    <t>카트 번호 검색</t>
  </si>
  <si>
    <t>1. 카트 번호 입력 필드 선택
2. 숫자 입력
3. [검색] 버튼 선택</t>
  </si>
  <si>
    <t>1. 카트 번호 입력 필드에 커서 위치됨
2. 숫자 입력됨
3. 입력한 카트번호에 해당되는 경기의 실시간 진행시간 노출됨</t>
  </si>
  <si>
    <t>내장객명 검색</t>
  </si>
  <si>
    <t>1. 내장객명 입력 필드 선택
2. 텍스트 입력
3. [검색] 버튼 선택</t>
  </si>
  <si>
    <t>1. 내장객명 입력 필드에 커서 위치됨
2. 내장객명 입력됨
3. 입력한 내장객명에 해당되는 경기의 실시간 진행시간 노출됨</t>
  </si>
  <si>
    <t>티</t>
  </si>
  <si>
    <t>티 필터</t>
  </si>
  <si>
    <t>1. 티 필터 (티v ~ 티v) 선택
2. 티 선택
3. [검색] 버튼 선택</t>
  </si>
  <si>
    <t>1. 티 리스트 노출됨
2. 선택한 항목 설정됨
3. 설정한 범위에 해당되는 경기의 실시간 진행시간 노출됨</t>
  </si>
  <si>
    <t>전체 상황 등급</t>
  </si>
  <si>
    <t>1. 전체 상황 등급 확인</t>
  </si>
  <si>
    <t>1. 전체 상황 등급 노출됨 (★ 개수 기준 확인 필요)</t>
  </si>
  <si>
    <t>검색결과</t>
  </si>
  <si>
    <t>1. 검색 결과 영역 확인</t>
  </si>
  <si>
    <t>1. 검색 결과 건수 노출됨
 - (검색결과 : ##)</t>
  </si>
  <si>
    <t>다운로드</t>
  </si>
  <si>
    <t>1. [Download] 버튼 선택
2. 파일 다운로드
3. 다운로드 받은 파일 확인</t>
  </si>
  <si>
    <t>1. 다운로드 팝업 노출됨
2. 파일 다운로드됨
3. 실시간 경기 정보 기입되어 있음</t>
  </si>
  <si>
    <t>1. [홀별시각보기] 버튼 선택</t>
  </si>
  <si>
    <t>1. 홀별시각보기 팝업 노출됨</t>
  </si>
  <si>
    <t>1. [새로고침] 버튼 선택</t>
  </si>
  <si>
    <t>1. 실시간 경기 정보 새로고침되어 노출됨</t>
  </si>
  <si>
    <t>1. 필터 항목 초기화됨
 - 코스 필터 (Def. 코스 전체 v)
 - 진행상태 필터 (Def. 진행중+완료 v)
 - 평가 필터 (Def. 전체 v)
 - 티 필터 (Def. 티 v ~ 티 v)
 - (검색결과 : ##)</t>
  </si>
  <si>
    <t>진행시간 실시간 테이블</t>
  </si>
  <si>
    <t>1. 진행시간 실시간 테이블 확인</t>
  </si>
  <si>
    <t>1. 아래 정보 노출됨
- 타입, 캐디, 전반/후반 시간, 현재 (코스), 전체, 코스간, 1~9홀, 1~9홀, 평가, 정보
- 종료, 카트, (현재)홀, 경기, 홀간누적대기</t>
  </si>
  <si>
    <t>1. 각 경기별 진행 시간 실시간 정보 노출됨</t>
  </si>
  <si>
    <t>1. 표준 설정한 시간을 초과한 경기 있는 상태</t>
  </si>
  <si>
    <t>1. 해당 항목이 붉은색으로 노출됨</t>
  </si>
  <si>
    <t>1. [진행시간 조회] 메뉴 진입
2. 제공 정보 확인</t>
  </si>
  <si>
    <t>1. 진행시간 조회 진입됨
2. 아래 정보 노출됨
 - 메뉴 설명 영역
 - 필터 영역
 - (검색결과 : ###)
 - [검색] [초기화] 버튼
 - [조회결과 다운로드] [홀별시각보기] 버튼
 - 진행시간 테이블 영역</t>
  </si>
  <si>
    <t>1. 아래 정보 노출됨
 - Title : 진행시간 조회
 - 문구 : 당일 이전의 라운드별 세부 진행 시간을 조회할 수 있습니다.
 최장 7일간의 전체 라운드는 한 번에 조회할 수 있으며, 7일을 초과하는 경우 캐디명 또는 카트 번호를 지정하셔야 합니다.
 •우수 : 모든 시간이 표준 범위 내   정상 : 전체 시간이 표준 시간의 110% 이내   개선 : 전체 시간이 표준 시간의 110% ~ 120%   위기 : 전체 시간 및 특정 시간이 표준의 120%를 초과</t>
  </si>
  <si>
    <t>1. 아래 정보 노출됨
 - 코스 필터 (Def. 코스 전체 v)
 - 평가 필터 (Def. 평가전체 v)
 - 캐디 필터 (Def. 전체캐디 v)
 - 카트 필터 (Def. 전체카드 v)
 - [검색] [초기화] 버튼
 - From ~ To 날짜 필터 (금일 ~ 금일)
 - 티 필터 (티 v ~ 티 v)
 - 전체상황 ★★★★★
 - [조회결과 다운로드] [홀별시각보기] 버튼
 - (검색결과 : ##)</t>
  </si>
  <si>
    <t>1. 코스 리스트 노출됨
2. 코스 전체 설정됨
3. 모든코스의 진행시간 노출됨</t>
  </si>
  <si>
    <t>1. 코스 리스트 노출됨
2. 선택한 코스 설정됨
3. 설정한 코스의 진행시간 노출됨</t>
  </si>
  <si>
    <t>1. 평가 (평가전체, 우수, 정상, 개선, 위기) 리스트 노출됨
2. 선택한 항목 (평가전체) 설정됨
3. 전체 경기의 진행시간 정보 노출됨</t>
  </si>
  <si>
    <t>1. 평가(평가전체, 우수, 정상, 개선, 위기) 리스트 노출됨
2. 선택한 항목 (우수) 설정됨
3. 평가 등급 - 우수 경기의 진행시간 정보 노출됨</t>
  </si>
  <si>
    <t>1. 평가 (평가전체, 우수, 정상, 개선, 위기)  리스트 노출됨
2. 선택한 항목 (정상) 설정됨
3. 평가 등급 - 정상 경기의 진행시간 정보 노출됨</t>
  </si>
  <si>
    <t>1. 평가 (평가전체, 우수, 정상, 개선, 위기)  리스트 노출됨
2. 선택한 항목 (개선) 설정됨
3. 평가 등급 - 개선 경기의 진행시간 정보 노출됨</t>
  </si>
  <si>
    <t>1. 평가 (평가전체, 우수, 정상, 개선, 위기)  리스트 노출됨
2. 선택한 항목 (위기) 설정됨
3. 평가 등급 - 위기 경기의 진행시간 정보 노출됨</t>
  </si>
  <si>
    <t>캐디 필터</t>
  </si>
  <si>
    <t>1. 캐디 필터 (전체캐디v) 선택
2. 캐디 (전체캐디v) 선택
3. [검색] 버튼 선택</t>
  </si>
  <si>
    <t>1. 전체 캐디 리스트 노출됨
2. 선택한 항목 (전체캐디) 설정됨
3. 전체 캐디의 진행시간 정보 노출됨</t>
  </si>
  <si>
    <t>1. 캐디 필터 (전체캐디v) 선택
2. 캐디 선택
3. [검색] 버튼 선택</t>
  </si>
  <si>
    <t>1. 전체 캐디 리스트 노출됨
2. 선택한 캐디 설정됨
3. 선택한 캐디에 해당되는 진행시간 정보 노출됨</t>
  </si>
  <si>
    <t>카트</t>
  </si>
  <si>
    <t>카트 필터</t>
  </si>
  <si>
    <t>1. 카트 필터 (전체카트v) 선택
2. 카트 선택
3. [검색] 버튼 선택</t>
  </si>
  <si>
    <t>1. 전체 카트 리스트 노출됨
2. 선택한 카트 설정됨
3. 선택한 카트에 해당되는 진행시간 정보 노출됨</t>
  </si>
  <si>
    <t>날짜 설정</t>
  </si>
  <si>
    <t>1. 날짜 (From) 선택
2. 날짜 선택</t>
  </si>
  <si>
    <t>1. 달력 노출됨
2. 선택한 날짜 설정됨</t>
  </si>
  <si>
    <t>1. 날짜 (To) 선택
2. 날짜 선택</t>
  </si>
  <si>
    <t>날짜 검색</t>
  </si>
  <si>
    <t>1. 날짜 (From, To) 선택
2. 날짜 선택
3. [검색] 버튼 선택</t>
  </si>
  <si>
    <t>1. 달력 노출됨
2. 선택한 날짜 설정됨
3. 설정한 기간에 해당되는 경기의 진행시간 정보 노출됨</t>
  </si>
  <si>
    <t>1. 조회 기간 7일 초과 설정, 캐디명/카트번호 미입력 상태</t>
  </si>
  <si>
    <t>1. From~To 날짜 7일 초과로 설정
2. 캐디명, 카트번호 미입력
3. [검색] 버튼 선택</t>
  </si>
  <si>
    <t>1. 조회 제한 안내 노출됨
- 문구 : ? [[확인 필요: 7일 초과 시 오류 문구 미정의]]
- 캐디명 또는 카트번호 입력 안내</t>
  </si>
  <si>
    <t>2. 조회 기간 7일 이내 설정</t>
  </si>
  <si>
    <t>1. From~To 날짜 7일 이내로 설정
2. 캐디명, 카트번호 미입력
3. [검색] 버튼 선택</t>
  </si>
  <si>
    <t>1. 조회 제한 없이 결과 노출됨
2. 전체 라운드 진행시간 정보 노출됨</t>
  </si>
  <si>
    <t>1. 티 리스트 노출됨
2. 선택한 항목 설정됨
3. 설정한 범위에 해당되는 경기의 진행시간 정보 노출됨</t>
  </si>
  <si>
    <t>1. [조회결과 다운로드] 버튼 선택
2. 파일 다운로드
3. 다운로드 받은 파일 확인</t>
  </si>
  <si>
    <t>1. 필터 항목 초기화됨
 - 코스 필터 (Def. 코스 전체 v)
 - 평가 필터 (Def. 평가 전체)
 - 캐디 필트 (Def. 전체캐디)
 - 카트 필터 (Def. 전체카트)
 - 날짜 필터 (Def. 금일~금일)
 - 티 필터 (Def. 티 v ~ 티 v)
 - (검색결과 : ##)</t>
  </si>
  <si>
    <t>1. 아래 정보 노출됨
- 년도, 타입, 캐디, 전반/후반 코스, 전체, 코스간, 1~9홀, 1~9홀, 평가
- 종료, 카트, (현재)홀, 전반/후반 시간, 경기, 홀간누적대기</t>
  </si>
  <si>
    <t>1. [진행시간 통계] 메뉴 진입
2. 제공 정보 확인</t>
  </si>
  <si>
    <t>1. 진행시간 통계 진입됨
2. 아래 정보 노출됨
 - 메뉴 설명 영역
 - 필터 영역
 - [통계자료 작성] [초기화] 버튼
 - [조회결과 다운로드] 버튼
 - 진행시간 통계 테이블 영역</t>
  </si>
  <si>
    <t>1. 아래 정보 노출됨
 - Title : 진행시간 통계
 - 문구 : 조회된 라운드의 평균값을 확인할 수 있습니다. 18홀 미만 라운드는 제외됩니다.
 •표준편차 : 표준 시간 대비 시간 차이의 평균 
  평       점 : 전체 라운드 중 우수, 정상 라운드 비율
 •우수 : 모든 시간이 표준 범위 내
  정상 : 전체 시간이 표준 시간의 110% 이내
  개선 : 전체 시간이 표준 시간의 110% ~ 120%
  위기 : 전체 시간 및 특정 시간이 표준의 120%를 초과</t>
  </si>
  <si>
    <t>1. 아래 정보 노출됨
 - 코스 기준 (Def. 코스 전체 v)
 - 캐디 기준 (Def. 전체캐디 v)
 - [셀렉트 박스] 연도별
 - [셀렉트 박스] 월별
 - [셀렉트 박스] 일별
 - [셀렉트 박스] 타임별
 - [셀렉트 박스] 캐디별
 - [셀렉트 박스] 카트별</t>
  </si>
  <si>
    <t>셀렉트 박스</t>
  </si>
  <si>
    <t>1. [코스기준] 셀렉트박스 선택
2. 필터 드롭다운 확인</t>
  </si>
  <si>
    <t>1. 코스기준 셀렉트박스 활성화됨
2. 코스 기준으로 노출됨 (Def. 코스 전체 v)</t>
  </si>
  <si>
    <t>1. 코스필터 (코스 전체v) 선택
2. 코스 전체 선택</t>
  </si>
  <si>
    <t>1. 코스 리스트 노출됨
2-1. 코스 전체 설정됨
2-2. 전체 코스의 진행시간 통계 정보 노출됨</t>
  </si>
  <si>
    <t>1. 코스필터 (코스 전체v) 선택
2. 임의의 코스 선택</t>
  </si>
  <si>
    <t>1. 코스 리스트 노출됨
2-1. 코스 전체 설정됨
2-2. 선택한 코스의 진행시간 통계 정보 노출됨</t>
  </si>
  <si>
    <t>1. [캐디기준] 셀렉트박스 선택</t>
  </si>
  <si>
    <t>1. 캐디기준 셀렉트박스 활성화됨
2. 캐디 기준으로 노출됨 (Def. 캐디 전체 v)</t>
  </si>
  <si>
    <t>1. 캐디 필터 (전체캐디v) 선택
2. 캐디 (전체캐디v) 선택</t>
  </si>
  <si>
    <t>1. 캐디 리스트 노출됨
2-1. 전체캐디 설정됨
2-2. 전체 캐디의 진행시간 통계 정보 노출됨</t>
  </si>
  <si>
    <t>1. 캐디 필터 (전체캐디v) 선택
2. 캐디 선택</t>
  </si>
  <si>
    <t>1. 전체 캐디 리스트 노출됨
2-1. 선택한 캐디 설정됨
2-2. 전체 캐디의 진행시간 통계 정보 노출됨</t>
  </si>
  <si>
    <t>연도별 필터</t>
  </si>
  <si>
    <t>1. [연도별] 셀렉트박스 선택</t>
  </si>
  <si>
    <t>1-1. 연도별 셀렉트박스 활성화됨
1-2. 연도별 진행시간 통계 정보 노출됨</t>
  </si>
  <si>
    <t>월별 필터</t>
  </si>
  <si>
    <t>1. [월별] 셀렉트박스 선택</t>
  </si>
  <si>
    <t>1-1. 월별 셀렉트박스 활성화됨
1-2. 월별 진행시간 통계 정보 노출됨</t>
  </si>
  <si>
    <t>타임별 필터</t>
  </si>
  <si>
    <t>1. [타임별] 셀렉트박스 선택</t>
  </si>
  <si>
    <t>1-1. 타임별 셀렉트박스 활성화됨
1-2. 타임별 진행시간 통계 정보 노출됨</t>
  </si>
  <si>
    <t>캐디별 필터</t>
  </si>
  <si>
    <t>1. [캐디별] 셀렉트박스 선택</t>
  </si>
  <si>
    <t>1-1. 캐디별 셀렉트박스 활성화됨
1-2. 캐디별 진행시간 통계 정보 노출됨</t>
  </si>
  <si>
    <t>카트별 필터</t>
  </si>
  <si>
    <t>1. [카트별] 셀렉트박스 선택</t>
  </si>
  <si>
    <t>1-1. 카트별 셀렉트박스 활성화됨
1-2. 카트별 진행시간 통계 정보 노출됨</t>
  </si>
  <si>
    <t>1. 달력 노출됨
2. 선택한 날짜 설정됨
3. 설정한 기간에 해당되는 진행시간 통계 정보 노출됨</t>
  </si>
  <si>
    <t>1. 티 리스트 노출됨
2. 선택한 항목 설정됨
3. 설정한 범위에 해당되는 경기의 진행시간 통계 노출됨</t>
  </si>
  <si>
    <t>1. [통계자료 작성] 버튼 선택</t>
  </si>
  <si>
    <t>1. 통계자료 작성 화면으로 전환됨</t>
  </si>
  <si>
    <t>1. [조회통계 다운로드] 버튼 선택
2. 파일 다운로드
3. 다운로드 받은 파일 확인</t>
  </si>
  <si>
    <t>1. 필터 항목 초기화됨
 - 코스 필터 (Def. 코스 전체 v)
 - 캐디 필트 (Def. 전체캐디)
 - 카트 필터 (Def. 전체카트)
 - [셀릭트박스] 일별
 - 날짜 필터 (Def. 한달전~금일)
 - 티 필터 (Def. 티v~티v)</t>
  </si>
  <si>
    <t>1. 진행시간 통계 테이블 확인</t>
  </si>
  <si>
    <t>1. 아래 정보 노출됨
- 구분, 라운드, 전체, 경기, 전반, 후반, 중간, 홈간누적대기, 우수, 정상, 개선, 위기, 표준편차, 평점</t>
  </si>
  <si>
    <t>1. 캐디 관리 대메뉴 선택
2. 메뉴 구성 확인</t>
  </si>
  <si>
    <t>1. 캐디 관리 메뉴가 제공됨
 - 캐디 리스트
 - 캐디 등록 관리
 - 캐디 실적</t>
  </si>
  <si>
    <t>1. [캐디 리스트] 메뉴 진입
2. 제공 정보 확인</t>
  </si>
  <si>
    <t>1. 캐디 리스트 메뉴 제공됨(클라우드 UI)
 - 타이틀 : 캐디 리스트
 - 안내 문구 영역
 - 그래프 영역
 - 검색 필터 영역
 - 캐디 리스트 영역</t>
  </si>
  <si>
    <t>1. 캐디 리스트 안내 문구 확인</t>
  </si>
  <si>
    <t>1. 안내 문구 제공됨
 - 골프장에 등록되어 있는 캐디 현황을 확인할 수 있습니다.</t>
  </si>
  <si>
    <t>그래프 영역</t>
  </si>
  <si>
    <t>1. 그래프 영역 확인</t>
  </si>
  <si>
    <t>1. 그래프 영역 제공됨
 - 안내 문구 영역
 - 하우스 / 외부 캐디 비율 영역
 - 활동 / 비활동 캐디 비율 영역
 - 회원 / 비회원 캐디 비율 영역</t>
  </si>
  <si>
    <t>하우스 / 외부 캐디 비율 영역</t>
  </si>
  <si>
    <t>1. 하우스 / 외부 캐디 비율 영역 확인</t>
  </si>
  <si>
    <t>1. 하우스 / 외부 캐디 비율 영역 제공됨
 - 타이틀 : 하우스 / 외부 캐디 비율
 - 서브 문구 : 소속 형태에 따른 현재 등록 비율
 - 총 인원 수 뱃지 (총 n명)
 - 도넛 그래프 
 - 하우스 캐디 n명
 - 외부 캐디 n명</t>
  </si>
  <si>
    <t>QA-14880</t>
  </si>
  <si>
    <t>안내 문구 기획과 상이</t>
  </si>
  <si>
    <t>도넛 그래프</t>
  </si>
  <si>
    <t>1. 도넛 그래프 확인</t>
  </si>
  <si>
    <t>1. 하우스 기준 비율 제공됨</t>
  </si>
  <si>
    <t>하우스 캐디</t>
  </si>
  <si>
    <t>1. 하우스 캐디 : 신규</t>
  </si>
  <si>
    <t>1. 하우스 캐디 인원 수 확인</t>
  </si>
  <si>
    <t>1. 하우스 캐디 인원 수 증가</t>
  </si>
  <si>
    <t>1. 하우스 캐디 &gt; 외부 캐디 전환</t>
  </si>
  <si>
    <t>1. 하우스 캐디 인원 수 감소
2. 외부 캐디 인원 수 증가</t>
  </si>
  <si>
    <t>외부 캐디</t>
  </si>
  <si>
    <t>1. 외부 캐디 : 신규</t>
  </si>
  <si>
    <t>1. 외부 캐디 인원 수 확인</t>
  </si>
  <si>
    <t>1. 외부 캐디 인원 수 증가</t>
  </si>
  <si>
    <t>1. 외부 캐디 &gt; 하우스 캐디 전환</t>
  </si>
  <si>
    <t>1. 외부 캐디 인원 수 감소
2. 하우스 캐디 인원 수 증가</t>
  </si>
  <si>
    <t>총 인원 수</t>
  </si>
  <si>
    <t>1. 총 인원 수 영역 확인</t>
  </si>
  <si>
    <t>1. 하우스 캐디+외부 캐디의 값이 제공됨</t>
  </si>
  <si>
    <t>활동 / 비활동 캐디 비율 영역</t>
  </si>
  <si>
    <t>1. 활동 / 비활동 캐디 비율 영역 확인</t>
  </si>
  <si>
    <t>1. 활동 / 비활동 캐디 비율 영역 제공됨
 - 타이틀 : 활동 / 비활동 캐디 비율
 - 서브 문구 : 활동 상태에 따른 현재 등록 비율
 - 뱃지 : 활동 / 비활동 기준
 - 도넛 그래프 
 - 활동 캐디 n명
 - 비활동 캐디 n명</t>
  </si>
  <si>
    <t>1. 활동 캐디 기준 비율 제공됨</t>
  </si>
  <si>
    <t>활동 캐디</t>
  </si>
  <si>
    <t>1. 활동 캐디 인원 수 확인</t>
  </si>
  <si>
    <t>1. 활동 캐디 인원 수 증가</t>
  </si>
  <si>
    <t>비활동 캐디</t>
  </si>
  <si>
    <t>1. 하우스 캐디 : 해지</t>
  </si>
  <si>
    <t>1. 활동 캐디 인원 수 확인
2. 비활동 캐디 인원 수 확인</t>
  </si>
  <si>
    <t>1. 활동 캐디 인원 수 감소
2. 비활동 캐디 인원 수 증가</t>
  </si>
  <si>
    <t>1. 외부 캐디 : 해지</t>
  </si>
  <si>
    <t>회원 / 비회원 캐디 비율 영역</t>
  </si>
  <si>
    <t>1. 회원 / 비회원 캐디 비율 영역 확인</t>
  </si>
  <si>
    <t>1. 회원 / 비회원 캐디 비율 영역 제공됨
 - 타이틀 : 회원 / 비회원 캐디 비율
 - 서브 문구 : 회원 형태에 따른 현재 등록 비율
 - 뱃지 : 회원 / 비회원 기준
 - 도넛 그래프 
 - 회원 캐디 n명
 - 비회원 캐디 n명</t>
  </si>
  <si>
    <t>캐디 인원</t>
  </si>
  <si>
    <t>1. 비회원 캐디 인원 수 확인</t>
  </si>
  <si>
    <t>1. 비회원 캐디 인원 수 증가</t>
  </si>
  <si>
    <t>1. 하우스 캐디 &gt; 회원 등록</t>
  </si>
  <si>
    <t>1. 회원 캐디 인원 수 확인
2. 비회원 캐디 인원 수 확인</t>
  </si>
  <si>
    <t>1. 회원 캐디 인원 수 증가
2. 비회원 캐디 인원 수 감소</t>
  </si>
  <si>
    <t>1. 외부 캐디 &gt; 회원 등록</t>
  </si>
  <si>
    <t>1. 회원 캐디 &gt; 소속 삭제</t>
  </si>
  <si>
    <t>1. 회원 캐디 인원 수 감소
2. 비회원 캐디 인원 수 증가</t>
  </si>
  <si>
    <t>검색 필터 영역</t>
  </si>
  <si>
    <t>1. 검색 필터 영역 제공됨
 - 활동 상태 드롭다운 항목
 - 캐디명 입력 필드
 - [초기화] / [적용] 버튼</t>
  </si>
  <si>
    <t>활동 상태</t>
  </si>
  <si>
    <t>1. 활동 상태 드롭다운 항목 확인
2. 활동 상태 선택</t>
  </si>
  <si>
    <t>1. 활동 상태 드롭다운 항목 제공됨
 - Default : 활동
 - 활동 / 비활동 / 전체
2. 활동 상태 선택 가능하며 검색 가능함</t>
  </si>
  <si>
    <t>캐디명 입력</t>
  </si>
  <si>
    <t>1. 캐디명 입력 필드 확인
2. 캐디명 입력</t>
  </si>
  <si>
    <t>1. 캐디명 입력 필드 제공됨
 - Placeholder : 캐디명을 입력하세요
2. 캐디명 입력 가능하며 검색 가능함
 - 최대 100자 / like 검색 가능</t>
  </si>
  <si>
    <t>QA-14882</t>
  </si>
  <si>
    <t>엔터 검색 안됨</t>
  </si>
  <si>
    <t>1. 필터 설정 : 적용 전</t>
  </si>
  <si>
    <t>1. 설정한 필터 값이 초기화됨</t>
  </si>
  <si>
    <t>1. 필터 설정 : 적용 후</t>
  </si>
  <si>
    <t>1. 설정한 필터 값이 초기화됨
2. 검색된 데이터가 초기화됨</t>
  </si>
  <si>
    <t>1. 활동 상태 + 캐디명 입력</t>
  </si>
  <si>
    <t>1. 설정한 값으로 캐디 리스트 검색됨
2. 그래프 데이터는 전체 데이터로 유지됨
3. 캐디 리스트의 요약 영역은 전체 데이터로 유지됨</t>
  </si>
  <si>
    <t>캐디 리스트 영역</t>
  </si>
  <si>
    <t>1. 캐디 리스트 영역 확인</t>
  </si>
  <si>
    <t>1. 캐디 리스트 영역 제공됨
 - 안내 문구 영역
 - 요약 영역(총 등록 캐디, 활동 캐디, 외부 캐디, 회원 연동 캐디)
 - 리스트 영역</t>
  </si>
  <si>
    <t>QA-14883</t>
  </si>
  <si>
    <t>서브 타이틀/안내 문구 없음</t>
  </si>
  <si>
    <t>1. 안내 문구 제공됨
 - 문구 : 등록된 캐디의 기본 정보와 주요 기능 사용 여부를 확인할 수 있습니다.</t>
  </si>
  <si>
    <t>요약 영역</t>
  </si>
  <si>
    <t>총 등록 캐디</t>
  </si>
  <si>
    <t>1. 총 등록 캐디 영역 확인</t>
  </si>
  <si>
    <t>1. 총 등록 캐디가 제공됨
 - n
 - 활동캐디+비활동 캐디</t>
  </si>
  <si>
    <t>1. 전 월 캐디 수 = 현재 월 캐디 수</t>
  </si>
  <si>
    <t>1. 전월대비 칩 확인</t>
  </si>
  <si>
    <t>1. 전월대비 칩 제공됨
 - 전월대비 +0 ?????</t>
  </si>
  <si>
    <t>개발 데이터 존재로 확인 불가</t>
  </si>
  <si>
    <t>1. 전 월 캐디 수 &lt; 현재 월 캐디 수</t>
  </si>
  <si>
    <t>1. 전월대비 칩 제공됨
 - 전월대비 +n</t>
  </si>
  <si>
    <t>1. 활동 캐디 확인</t>
  </si>
  <si>
    <t>1. 활동/비활동 캐디 비율 그래프와 동일한 값이 제공됨
 - n
 - 운영 비율 n% (버림 처리)</t>
  </si>
  <si>
    <t>1. 외부 캐디 확인</t>
  </si>
  <si>
    <t>1. 하우스/외부 캐디 비율에서 외부 캐디와 동일한 값이 제공됨
 - n
 - 전체 대비 n% (버림 처리)</t>
  </si>
  <si>
    <t>회원 연동 캐디</t>
  </si>
  <si>
    <t>1. 회원 연동 캐디 확인</t>
  </si>
  <si>
    <t>1. 회원/비회원 캐디 비율에서 회원 캐디와 동일한 값이 제공됨
 - n
 - 회원 비율 n% (버림 처리)</t>
  </si>
  <si>
    <t>리스트 영역</t>
  </si>
  <si>
    <t>1. 리스트 영역 확인</t>
  </si>
  <si>
    <r>
      <rPr>
        <rFont val="Arial"/>
        <color theme="1"/>
      </rPr>
      <t xml:space="preserve">1. 리스트 제공됨
</t>
    </r>
    <r>
      <rPr>
        <rFont val="Arial"/>
        <strike/>
        <color theme="1"/>
      </rPr>
      <t xml:space="preserve"> - 캐디넘버 / 성명 / 성별 / 휴대폰 / 카트넘버 / 태블릿넘버 / 배터리넘버 / 등록일 / 해지일 / 라운드기록 / 회원추천 / 그늘집주문
</t>
    </r>
    <r>
      <rPr>
        <rFont val="Arial"/>
        <color theme="1"/>
      </rPr>
      <t xml:space="preserve"> - No / 성명 / 성별 / 휴대폰 / 카트번호 / 태블릿 No. / 배터리 / 등록일 / 해지일 / 라운드기록 / 회원추천 / 그늘집주문</t>
    </r>
  </si>
  <si>
    <t>리스트 정보</t>
  </si>
  <si>
    <t>1. 성별 : 남성</t>
  </si>
  <si>
    <t>1. 리스트 값 확인</t>
  </si>
  <si>
    <r>
      <rPr>
        <rFont val="Arial"/>
        <color theme="1"/>
      </rPr>
      <t xml:space="preserve">1. 남성의 데이터 제공됨
 - 캐디넘버 : {캐디넘버}
 - 성명 : {캐디명}
 - 성별 : </t>
    </r>
    <r>
      <rPr>
        <rFont val="Arial"/>
        <b/>
        <color rgb="FF0000FF"/>
      </rPr>
      <t xml:space="preserve">남성
</t>
    </r>
    <r>
      <rPr>
        <rFont val="Arial"/>
        <color theme="1"/>
      </rPr>
      <t xml:space="preserve"> - 휴대폰 : XXX-XXXX-XXXX
 - 카트넘버 : n
 - 태블릿넘버 : n
 - 배터리넘버 : n
 - 등록일 : yyyy-mm-dd
 - 해지일 : -
 - 라운드 기록 : [라운드 기록] 버튼
 - 회원추천 : [회원추천] 버튼
 - 그늘집주문 : [주문내역] 버튼</t>
    </r>
  </si>
  <si>
    <t>1. 성별 : 여성</t>
  </si>
  <si>
    <r>
      <rPr>
        <rFont val="Arial"/>
        <color theme="1"/>
      </rPr>
      <t xml:space="preserve">1. 남성의 데이터 제공됨
 - 캐디넘버 : {캐디넘버}
 - 성명 : {캐디명}
 - 성별 : </t>
    </r>
    <r>
      <rPr>
        <rFont val="Arial"/>
        <b/>
        <color rgb="FFFF00FF"/>
      </rPr>
      <t>여성</t>
    </r>
    <r>
      <rPr>
        <rFont val="Arial"/>
        <b/>
        <color rgb="FF0000FF"/>
      </rPr>
      <t xml:space="preserve">
</t>
    </r>
    <r>
      <rPr>
        <rFont val="Arial"/>
        <color theme="1"/>
      </rPr>
      <t xml:space="preserve"> - 휴대폰 : XXX-XXXX-XXXX
 - 카트넘버 : n
 - 태블릿넘버 : n
 - 배터리넘버 : n
 - 등록일 : yyyy-mm-dd
 - 해지일 : -
 - 라운드 기록 : [라운드 기록] 버튼
 - 회원추천 : [회원추천] 버튼
 - 그늘집주문 : [주문내역] 버튼</t>
    </r>
  </si>
  <si>
    <t>1. 해지 사용자</t>
  </si>
  <si>
    <t>1. 해지일 컬럼 값 확인</t>
  </si>
  <si>
    <t>1. 해지일 컬럼에 값 제공됨
 - yyyy-mm-dd</t>
  </si>
  <si>
    <t>리스트 영역_
라운드 기록</t>
  </si>
  <si>
    <t>라운드 기록_
제공 정보</t>
  </si>
  <si>
    <t>1. [라운드기록] 버튼 선택</t>
  </si>
  <si>
    <t>1. 캐디 별 라운드 기록 페이지 제공됨
 - 타이틀 : 캐디 별 라운드기록 - {캐디명}
 - 문구 : 선택한 캐디의 라운드 기록을 조회할 수 있습니다.
 - (우측 상단) 뱃지 : 카트번호 n
 - 검색 필터
 - 라운드 기록 리스트</t>
  </si>
  <si>
    <t>1. 검색 필터 영역 확인
2. 조회 기간 from~to 선택
3. [적용] 버튼 선택</t>
  </si>
  <si>
    <t>1. 검색 필터 영역 제공됨
 - yyyy-mm-dd ~ yyyy-mm-dd / [초기화] / [적용]
2. 조회 기간 설정 가능함
3. 설정한 조회 기간으로 라운드 기록 제공됨</t>
  </si>
  <si>
    <t>라운드 기록 리스트</t>
  </si>
  <si>
    <t>1. 라운드 기록 리스트 확인</t>
  </si>
  <si>
    <t>1. 라운드 기록 리스트가 최신순으로 제공됨
 - No
 - 날짜 : yyyy-mm-dd
 - 티타임 : hh:mm
 - 코스 : {전반}/{후반}
 - 내장객 : {내장객 명}
 - 단체명 : {단체팀명}
 - 스코어카드 : [스코어] 버튼
 - 사진 : [보기] 버튼
 - 클럽사진 : [보기] 버튼
 - 페이지네이션
 - [닫기] 버튼</t>
  </si>
  <si>
    <t>1. 스코어 상세 페이지 제공됨</t>
  </si>
  <si>
    <r>
      <rPr>
        <rFont val="Arial"/>
        <color theme="1"/>
      </rPr>
      <t xml:space="preserve">1. 사진에서 </t>
    </r>
    <r>
      <rPr>
        <rFont val="Arial"/>
        <strike/>
        <color theme="1"/>
      </rPr>
      <t>[보기]</t>
    </r>
    <r>
      <rPr>
        <rFont val="Arial"/>
        <color theme="1"/>
      </rPr>
      <t>[사진] 버튼 선택</t>
    </r>
  </si>
  <si>
    <t>1. 등록된 사진 제공됨</t>
  </si>
  <si>
    <r>
      <rPr>
        <rFont val="Arial"/>
        <color theme="1"/>
      </rPr>
      <t xml:space="preserve">1. 클럽사진에서 </t>
    </r>
    <r>
      <rPr>
        <rFont val="Arial"/>
        <strike/>
        <color theme="1"/>
      </rPr>
      <t>[보기]</t>
    </r>
    <r>
      <rPr>
        <rFont val="Arial"/>
        <color theme="1"/>
      </rPr>
      <t>[클럽체크] 버튼 선택</t>
    </r>
  </si>
  <si>
    <t>1. 라운드 기록 팝업 닫힘</t>
  </si>
  <si>
    <t>리스트 영역_회원추천</t>
  </si>
  <si>
    <t>회원추천</t>
  </si>
  <si>
    <t>1. 회원추천 [회원추천] 버튼 선택</t>
  </si>
  <si>
    <t>1. 회원 추천 팝업 제공됨
 - No / 성명 / 회원가입일시 / 라운드일시 / 연도전체 / 월전체 / 일 / 회원추천수</t>
  </si>
  <si>
    <t>리스트 영역_그늘집주문</t>
  </si>
  <si>
    <t>주문 기록_
제공 정보</t>
  </si>
  <si>
    <t>1. 그늘집주문 [주문내역] 버튼 선택</t>
  </si>
  <si>
    <t>1. 그늘집 주문기록 페이지 제공됨
 - 타이틀 : 그늘집 주문기록 - {캐디명}
 - 검색 필터
 - 주문기록 리스트</t>
  </si>
  <si>
    <t>1. 검색 필터 영역 확인
2. 연/월 선택 후 검색</t>
  </si>
  <si>
    <t>1. 검색 필터 제공됨
 - 연 드롭다운 필터 / 월 드롭다운 필터 / [검색] 버튼
2. 선택한 연/월 드롭다운 항목으로 검색됨</t>
  </si>
  <si>
    <t>주문내역 리스트</t>
  </si>
  <si>
    <t>1. 주문내역 리스트 확인</t>
  </si>
  <si>
    <t>1. 주문내역 리스트가 최신순으로 제공됨
 - No
 - 날짜 : yyyy-mm-dd
 - 티타임 : hh:mm
 - 코스 : {전반}/{후반}
 - 내장객 : {내장객 명}
 - 단체명 : {단체팀명}
 - 그늘집명 : {그늘집명}
 - 주문액 : nn,nnn
 - 합계 : nn,nnn
 - from ~ to [엑셀 다운로드] 버튼
 - [닫기] 버튼</t>
  </si>
  <si>
    <t>1. 엑셀 다운로드의 from~to 설정
2. [엑셀 다운로드] 버튼 선택</t>
  </si>
  <si>
    <t>1. 선택한 기간으로 엑셀다운로드 됨</t>
  </si>
  <si>
    <t>1. [캐디 등록 관리] 메뉴 진입
2. 제공 정보 확인</t>
  </si>
  <si>
    <t>1. 캐디 등록 관리 메뉴 제공 됨(클라우드 UI)
 - 타이틀 : 캐디 등록 관리
 - 안내 문구 영역
 - [캐디 등록] / [캐디 수정/해지] 탭
 - 탭 별 하위 항목</t>
  </si>
  <si>
    <t>1. 안내 문구 제공됨
 - 캐디를 등록하거나 등록된 캐디정보를 수정, 삭제할 수 있습니다.</t>
  </si>
  <si>
    <t>캐디 등록 탭</t>
  </si>
  <si>
    <t>1. [캐디 등록] 탭 선택
2. 제공 정보 확인</t>
  </si>
  <si>
    <t>1. 캐디 등록 탭 제공 됨
 - [입력란 추가] / [저장] 버튼
 - 성명 / 구분 / 성별 / 휴대폰 / 자격취득일 / 카트번호 / 태블릿 No. / 배터리 / 관리</t>
  </si>
  <si>
    <t>1. 행 추가됨</t>
  </si>
  <si>
    <t>성명</t>
  </si>
  <si>
    <t>1. 성명 영역 확인
2. 성명 입력</t>
  </si>
  <si>
    <t>1. 성명 입력 가능 함
 - 제한 없이 입력 가능</t>
  </si>
  <si>
    <t>1. 구분 영역 확인
2. 구분 선택</t>
  </si>
  <si>
    <t>1. 구분 영역이 라디오 버튼으로 제공됨
 - 하우스 캐디 / 외부 캐디
2. 구분 선택 가능함</t>
  </si>
  <si>
    <t>1. 성별 영역 확인
2. 성별 선택</t>
  </si>
  <si>
    <t>1. 성별 영역이 라디오 버튼으로 제공됨
 - 남성 / 여성
2. 성별 선택 가능함</t>
  </si>
  <si>
    <t>휴대폰 번호</t>
  </si>
  <si>
    <t>1. 휴대폰 번호 영역 확인
2. 휴대폰 번호 입력</t>
  </si>
  <si>
    <t>1. 휴대폰 번호 입력 가능 함</t>
  </si>
  <si>
    <t>자격취득일</t>
  </si>
  <si>
    <t>1. 자격취득일 영역 확인
2. 자격취득일 선택</t>
  </si>
  <si>
    <t>1. 자격취득일 영역 제공 됨
 - 연도-월-일
2. 달력 팝업에서 자격취득일 선택 가능함</t>
  </si>
  <si>
    <t>1. 유효하게 입력된 상태</t>
  </si>
  <si>
    <t>1. 입력한 내용으로 캐디 등록됨</t>
  </si>
  <si>
    <t>캐디 수정/해지 탭</t>
  </si>
  <si>
    <t>1. [캐디 수정/해지] 탭 선택
2. 제공 정보 확인</t>
  </si>
  <si>
    <t>1. 캐디 수정/해지 탭 제공됨
 - 캐디명 입력 필드 / [적용] 버튼
 - 캐디 리스트 영역</t>
  </si>
  <si>
    <t>검색어 입력 필드</t>
  </si>
  <si>
    <t>1. 검색어 입력 필드 확인
2. 검색어 입력</t>
  </si>
  <si>
    <t>1. 검색어 입력 필드 제공됨
 - Placeholder : 캐디명을 입력하세요
2. 검색어 입력 가능함</t>
  </si>
  <si>
    <t>1. 검색어 입력
2. Enter or [적용] 버튼 선택</t>
  </si>
  <si>
    <t>1. 입력한 내용으로 검색됨</t>
  </si>
  <si>
    <t>1. 캐디 리스트 영역 제공됨
 - 성명 / 구분 / 성별 / 휴대폰 / 자격취득일 / 카트번호 / 태블릿 No. / 배터리 / 관리</t>
  </si>
  <si>
    <t>1. 캐디 상태 : 활성화</t>
  </si>
  <si>
    <t>1. 관리 컬럼에 제공되는 버튼 확인</t>
  </si>
  <si>
    <t>1. [수정] / [해지] 버튼 제공됨</t>
  </si>
  <si>
    <t>1. 캐디 상태 : 해지</t>
  </si>
  <si>
    <t>1. [완전삭제] 버튼 제공됨</t>
  </si>
  <si>
    <t>1. 캐디 상태 :활성화</t>
  </si>
  <si>
    <t>1. [수정] 버튼 선택
2. 캐디 정보 수정
3. [저장] 버튼 선택</t>
  </si>
  <si>
    <t>1. 수정 버튼 선택 시 편집 상태로 변경됨
 - [저장] 버튼 제공
2. 모든 항목 수정 가능함</t>
  </si>
  <si>
    <t>해지</t>
  </si>
  <si>
    <t>1. [해지] 버튼 선택</t>
  </si>
  <si>
    <t>1. 해지 확인 팝업 제공됨
 - 문구 : 캐디를 해지하시겠습니까?
 - [취소] / [확인] 버튼</t>
  </si>
  <si>
    <t>1. [해지] 버튼 선택
2. [취소] 버튼 선택</t>
  </si>
  <si>
    <t>1. 해지 확인 팝업 닫힘</t>
  </si>
  <si>
    <t>1. [해지] 버튼 선택
2. [확인] 버튼 선택</t>
  </si>
  <si>
    <t>1. 해지 처리 완료되며 [완전삭제] 버튼 노출됨</t>
  </si>
  <si>
    <t>완전삭제</t>
  </si>
  <si>
    <t>1. [완전삭제] 버튼 선택</t>
  </si>
  <si>
    <t>1. 완전삭제 확인 팝업 제공됨
 - 문구 : 해당 캐디 정보를 완전히 삭제하시겠습니까? \n 삭제 시 해당 캐디 정보를 복구할 수 없습니다.
 - [확인] / [취소] 버튼</t>
  </si>
  <si>
    <t>1. [완전삭제] 버튼 선택
2. [취소] 버튼 선택</t>
  </si>
  <si>
    <t>1. 완전삭제 확인 팝업 닫힘</t>
  </si>
  <si>
    <t>1. [완전삭제] 버튼 선택
2. [확인] 버튼 선택</t>
  </si>
  <si>
    <t>1. 완전삭제되며 리스트에서 제거됨
 - 캐디 리스트에도 반영됨</t>
  </si>
  <si>
    <t>1. [캐디 실적] 메뉴 진입
2. 제공 정보 확인</t>
  </si>
  <si>
    <t>1. 캐디 실적 메뉴 제공됨(클라우드 UI)
 - 타이틀 : 캐디 실적
 - 안내 문구 영역
 - 검색 필터 영역
 - [내보내기] 버튼
 - 캐디 리스트 영역</t>
  </si>
  <si>
    <t>1. 안내 문구 제공됨
 - 문구 : 스마트스코어 태블릿을 통해 스마트스코어 앱으로 사용자 등록을 하여, \n 스마트스코어와 골프장의 발전에 기여한 내역을 확인할 수 있습니다.</t>
  </si>
  <si>
    <t>QA-14896</t>
  </si>
  <si>
    <t>기획과 상이</t>
  </si>
  <si>
    <r>
      <rPr>
        <rFont val="Arial"/>
      </rPr>
      <t xml:space="preserve">1. 검색 영역 제공됨
 - </t>
    </r>
    <r>
      <rPr>
        <rFont val="Arial"/>
        <color rgb="FF1155CC"/>
        <u/>
      </rPr>
      <t>yyyy.mm</t>
    </r>
    <r>
      <rPr>
        <rFont val="Arial"/>
      </rPr>
      <t xml:space="preserve">.dd ~ </t>
    </r>
    <r>
      <rPr>
        <rFont val="Arial"/>
        <color rgb="FF1155CC"/>
        <u/>
      </rPr>
      <t>yyyy.mm</t>
    </r>
    <r>
      <rPr>
        <rFont val="Arial"/>
      </rPr>
      <t>.dd / [조회] 버튼</t>
    </r>
  </si>
  <si>
    <t>1. from ~ to 날짜 선택
2. [검색] 버튼 선택</t>
  </si>
  <si>
    <t>1. from ~ to 날짜 선택 가능함
2. 선택한 날짜로 검색 가능함</t>
  </si>
  <si>
    <t>엑셀파일 다운로드</t>
  </si>
  <si>
    <t>1. 엑셀파일 다운로드 가능함
 - 동일한 컬럼으로 값 제공</t>
  </si>
  <si>
    <t>1. 캐디 리스트 제공됨
 - 캐디명 / 신규회원 추천수 / 유효 내장객수 / ss회원수 / ss비율(%)</t>
  </si>
  <si>
    <t>신규회원 추천수</t>
  </si>
  <si>
    <t>1. 추천받은 캐디 선택 상태</t>
  </si>
  <si>
    <t>1. 신규회원 추천수 영역 확인</t>
  </si>
  <si>
    <t>1. 신규 회원이 캐디를 추천할 경우 신규회원 추천수 카운팅됨</t>
  </si>
  <si>
    <t>뇌피셜</t>
  </si>
  <si>
    <t>유효 내장객수</t>
  </si>
  <si>
    <t>1. 라운딩 완료 상태</t>
  </si>
  <si>
    <t>1. 유효 내장객수 영역 확인</t>
  </si>
  <si>
    <t>1. 태블릿에서 캐디 선택 후 라운딩 완료 시 내장객 수 만큼 카운팅됨</t>
  </si>
  <si>
    <t>SS회원수</t>
  </si>
  <si>
    <t>1. SS회원수 영역 확인</t>
  </si>
  <si>
    <t>1. 라운딩 전송 시 태블릿에 등록된 번호가 SS회원일 경우 SS회원수에 내장객 수 만큼 카운팅됨</t>
  </si>
  <si>
    <t>SS비율</t>
  </si>
  <si>
    <t>1. SS비율(%) 영역 확인</t>
  </si>
  <si>
    <t>1. 유효 내장객 수와 SS회원수로 비율 제공됨</t>
  </si>
  <si>
    <t>카트내결제</t>
  </si>
  <si>
    <t>메뉴 진입</t>
  </si>
  <si>
    <t>1. 태블릿 캐디피 결제 : OFF
 - SS어드민 클럽 설정</t>
  </si>
  <si>
    <t>1. [카트내결제] 메뉴 진입</t>
  </si>
  <si>
    <t>1. 경기 관제 홈으로 이동됨</t>
  </si>
  <si>
    <t>1. 태블릿 캐디피 결제 : ON
 - SS어드민 클럽 설정</t>
  </si>
  <si>
    <t>1. [카트내결제] 메뉴 진입
2. 메뉴 구성 확인</t>
  </si>
  <si>
    <t>1. 캐디피 관리 메뉴 제공됨
 - 캐디피 설정
 - 캐디피 통계
 - 캐디피 결제내역
 - 캐디 자료 / 신고서</t>
  </si>
  <si>
    <t>1. 캐디피 관리 &gt; 캐디피 설정 진입
2. 제공 정보 확인</t>
  </si>
  <si>
    <t>1. 캐디피 설정 메뉴 정보 제공됨(클라우드 UI)
 - 타이틀 : 캐디피 설정
 - 안내 문구영역
 - 기능 설정 영역
 - 금액 설정 영역
 - [저장] 버튼</t>
  </si>
  <si>
    <t>1. 안내 문구 제공됨
 - 골프장의 캐디피를 설정 및 감사팁 결제 여부를 설정할 수 있습니다.</t>
  </si>
  <si>
    <t>1. 기능 설정 영역이 제공됨
 - 기능명 : 감사팁 결제
 - 상세설명 : 태블릿에서 감사팁 결제 기능을 사용합니다.
 - 설정 : ON / OFF 토글</t>
  </si>
  <si>
    <t>감사팁 ON/OFF 설정</t>
  </si>
  <si>
    <t>1. OFF &gt; ON 설정 &gt; 저장
2. ON &gt; OFF 설정 &gt; 저장</t>
  </si>
  <si>
    <r>
      <rPr>
        <rFont val="Arial"/>
        <color theme="1"/>
      </rPr>
      <t xml:space="preserve">1. ON / OFF 설정 가능함
</t>
    </r>
    <r>
      <rPr>
        <rFont val="Arial"/>
        <b/>
        <color theme="1"/>
      </rPr>
      <t xml:space="preserve"> * 동작 유무는 태블릿에서 확인</t>
    </r>
  </si>
  <si>
    <t>금액 설정 영역</t>
  </si>
  <si>
    <t>1. 금액 설정 영역 확인</t>
  </si>
  <si>
    <t>1. 금액 설정 영역이 제공됨
 - 안내 문구 : 작성한 금액은 캐디피 결제 시 고정 금액으로 설정됩니다. 입력 시 숫자만 입력해 주세요.
 - 캐디피 입력 필드</t>
  </si>
  <si>
    <t>캐디피 금액 설정</t>
  </si>
  <si>
    <t>1. 캐디피 : 미입력</t>
  </si>
  <si>
    <t>1. 캐디피 입력
2. [저장] 버튼 선택</t>
  </si>
  <si>
    <t>1. 캐디피 미입력 시 0으로 저장 됨
 - 문구 : 저장이 완료되었습니다.</t>
  </si>
  <si>
    <t>1. 캐디피 : 숫자 외</t>
  </si>
  <si>
    <t>1. 캐디피 입력</t>
  </si>
  <si>
    <t>1. 숫자 외 입력 불가 함</t>
  </si>
  <si>
    <t>1. 캐디피 : 숫자</t>
  </si>
  <si>
    <t>1. 입력한 캐디피로 저장 됨
 - 문구 : 저장 되었습니다.</t>
  </si>
  <si>
    <t>1. 캐디피 관리 &gt; 캐디피 통계 진입
2. 제공 정보 확인</t>
  </si>
  <si>
    <t>1. 캐디피 통계 정보 제공됨(클라우드 UI)
 - 검색 필터
 - 결제금액 추이 영역
 - 결제유형 비율 영역 / 캐디 순위 영역
 - 상세 내역 영역</t>
  </si>
  <si>
    <t>QA-14906</t>
  </si>
  <si>
    <t>안내 문구 줄바꿈처리 안되어있음</t>
  </si>
  <si>
    <t>1. 검색 기간 영역 확인</t>
  </si>
  <si>
    <t>1. 검색 기간 영역 제공됨
 - from~to / [초기화] / [검색]</t>
  </si>
  <si>
    <t>1. 검색 기간 확인
2. from 날짜 선택
3. to 날짜 선택</t>
  </si>
  <si>
    <r>
      <rPr>
        <rFont val="Arial"/>
        <color theme="1"/>
      </rPr>
      <t xml:space="preserve">1. 검색 기간 선택 항목이 제공됨
 - Default : 어제~어제
2. Date picker 제공되며 시작 날짜 선택 가능함
3. 종료 날짜 선택 가능함
</t>
    </r>
    <r>
      <rPr>
        <rFont val="Arial"/>
        <b/>
        <color theme="1"/>
      </rPr>
      <t xml:space="preserve"> * 종료 날짜가 시작 날짜보다 빠를 수 없음</t>
    </r>
  </si>
  <si>
    <t>1. from ~ to 날짜 선택</t>
  </si>
  <si>
    <t>1. [검색] 버튼 선택</t>
  </si>
  <si>
    <t>1. 선택한 날짜로 검색됨
 - 최근 15일 결제금액 추이는 유지</t>
  </si>
  <si>
    <t>1. 모든 항목이 초기화됨</t>
  </si>
  <si>
    <t>결제금액 추이 영역</t>
  </si>
  <si>
    <t>그래프 제공 정보</t>
  </si>
  <si>
    <t>1. 결제금액 : X</t>
  </si>
  <si>
    <t>1. n월 결제금액 추이 영역 확인</t>
  </si>
  <si>
    <t>1. 결제금액 추이 그래프가 제공되지 않음
 - 문구 : 결제된 건이 없습니다.</t>
  </si>
  <si>
    <t>1. 결제금액 : 캐디피</t>
  </si>
  <si>
    <t>1. n월 결제금액 추이 그래프 확인</t>
  </si>
  <si>
    <t>1. n월 결제금액 추이가 막대 그래프로 제공됨</t>
  </si>
  <si>
    <t>1. 결제금액 : 감사팁</t>
  </si>
  <si>
    <t>1. 감사팁은 캐디피 통계에 집계되지 않음</t>
  </si>
  <si>
    <t>마우스 호버</t>
  </si>
  <si>
    <t>1. 결제금액 : O</t>
  </si>
  <si>
    <t>1. 결제금액 추이 그래프에 마우스 호버</t>
  </si>
  <si>
    <t>1. 마우스 호버 시 해당 날짜와 금액이 툴팁으로 제공됨
 - 툴팁 : day[dd] : n,nnn,nnn원</t>
  </si>
  <si>
    <t>결제유형 비율 영역</t>
  </si>
  <si>
    <t>1. 결제유형 비율 영역 확인</t>
  </si>
  <si>
    <t>1. 결제유형 비율 그래프가 제공되지 않음
 - 문구 : 결제된 건이 없습니다.</t>
  </si>
  <si>
    <t>1. 결제유형 비율 그래프 확인</t>
  </si>
  <si>
    <t>1. 결제유형 비율이 원형 그래프로 제공됨
2. 결제유형을 나타내는 범례가 우측에 제공됨
 - 앱 결제 
 - 태블릿 - 카드 결제 
 - 태블릿 - 현금 결제</t>
  </si>
  <si>
    <t>비율 &amp; 마우스 호버</t>
  </si>
  <si>
    <t>1. 앱 결제 : O</t>
  </si>
  <si>
    <t>1. 결제 유형 그래프 확인
2. 앱 결제 영역에 마우스 호버</t>
  </si>
  <si>
    <t>1. 그래프 내 앱 결제 비율이 %로 제공됨
2. 마우스 호버 시 결제 유형과 건 수 가 툴팁으로 제공됨
 - 툴팁 : [결제유형] : n건</t>
  </si>
  <si>
    <t>1. 태블릿-카드 결제 : O</t>
  </si>
  <si>
    <t>1. 결제 유형 그래프 확인
2. 태블릿 결제 영역에 마우스 호버</t>
  </si>
  <si>
    <t>1. 그래프 내 태블릿 결제 비율이 %로 제공됨
2. 마우스 호버 시 결제 유형과 건 수 가 툴팁으로 제공됨
 - 툴팁 : [결제유형] : n건</t>
  </si>
  <si>
    <t>1. 태블릿-현금 결제 : O</t>
  </si>
  <si>
    <t>1. 결제 유형 그래프 확인
2. 현금 결제 영역에 마우스 호버</t>
  </si>
  <si>
    <t>1. 그래프 내 현금 결제 비율이 %로 제공됨
2. 마우스 호버 시 결제 유형과 건 수 가 툴팁으로 제공됨
 - 툴팁 : [결제유형] : n건</t>
  </si>
  <si>
    <t>캐디피 결제 금액 순위 영역</t>
  </si>
  <si>
    <t>1. 캐디피 결제 금액 순위 영역 확인</t>
  </si>
  <si>
    <t>1. 캐디피 결제 금액 순위 영역 제공됨
 - [전체] / [카드결제] / [현금결제] / [앱결제] 
 - 순위 리스트</t>
  </si>
  <si>
    <t>순위 제공 정보</t>
  </si>
  <si>
    <t>1. 캐디피 순위 영역 확인</t>
  </si>
  <si>
    <t>1. 캐디피 순위 리스트가 제공되지 않음
 - 문구 : 결제된 건이 없습니다.</t>
  </si>
  <si>
    <t>1. 캐디피 순위 리스트 확인</t>
  </si>
  <si>
    <t>1. 캐디피 순위가 제공됨
 - 순위 / 캐디명 / n원</t>
  </si>
  <si>
    <t>수단 별 순위</t>
  </si>
  <si>
    <t>1. 카드 결제 : O
2. 현금 결제 : O
3. 앱 결제 : O</t>
  </si>
  <si>
    <t>1. [전체] 탭 선택
2. 결제 금액 확인</t>
  </si>
  <si>
    <t>1. 모든 수단의 합산 금액으로 순위 제공됨
 - 카드 + 현금 + 앱</t>
  </si>
  <si>
    <t>1. [카드결제] 탭 선택
2. 결제 금액 확인</t>
  </si>
  <si>
    <t>1. 카드 결제 금액으로 순위 제공됨</t>
  </si>
  <si>
    <t>1. [현금결제] 탭 선택
2. 결제 금액 확인</t>
  </si>
  <si>
    <t>1. 현금 결제 금액으로 순위 제공됨</t>
  </si>
  <si>
    <t>1. [앱결제] 탭 선택
2. 결제 금액 확인</t>
  </si>
  <si>
    <t>1. 앱 결제 금액으로 순위 제공됨</t>
  </si>
  <si>
    <t>순위 로직</t>
  </si>
  <si>
    <r>
      <rPr>
        <rFont val="Arial"/>
        <color theme="1"/>
      </rPr>
      <t xml:space="preserve">1. 캐디피 순위
 - 1위 ~ 5위
</t>
    </r>
    <r>
      <rPr>
        <rFont val="Arial"/>
        <b/>
        <color theme="1"/>
      </rPr>
      <t xml:space="preserve">
 * 각 다른 금액으로 순위 노출</t>
    </r>
  </si>
  <si>
    <t>1. 캐디피 순위가 5위까지 제공됨
 - 1위(금메달) / 캐디명 / n원
 - 2위(은메달) / 캐디명 / n원
 - 3위(동메달) / 캐디명 / n원
 - 4위 / 캐디명 / n원
 - 5위 / 캐디명 / n원</t>
  </si>
  <si>
    <t>1. 캐디피 순위
 - 1위 
 - 2위 ~ 3위 동률
 - 4위
 - 5위</t>
  </si>
  <si>
    <t>1. 동률인 1~3위가 모두 금메달로 시각화되어 순위가 제공됨
 - 1위(금메달) / 캐디명 / n원
 - 2위(은메달) / 캐디명, 캐디명 / n원
 - 3위(동메달) / - / -원
 - 4위 / 캐디명 / n원
 - 5위 / 캐디명 / n원</t>
  </si>
  <si>
    <t>1. 캐디피 순위
 - 1위 
 - 2위
 - 3위
 - 4위
 - 5위 (동률 n명)</t>
  </si>
  <si>
    <t>1. 캐디피 순위가 5위까지 제공됨
 - 1위(금메달) / 캐디명 / n원
 - 2위(은메달) / 캐디명 / n원
 - 3위(동메달) / 캐디명 / n원
 - 4위 / 캐디명 / n원
 - 5위 / 캐디명 외 n명 / n원
2. 5위에 n명 클릭 시 툴팁으로 캐디명 제공됨</t>
  </si>
  <si>
    <t>상세 내역 제공 정보</t>
  </si>
  <si>
    <t>1. 결제내역 : X</t>
  </si>
  <si>
    <t>1. 상세 내역 리스트 확인</t>
  </si>
  <si>
    <t>1. 상세 내역 리스트가 제공되지 않음
 - 문구 : 결제된 건이 없습니다.</t>
  </si>
  <si>
    <t>1. 결제내역 : O</t>
  </si>
  <si>
    <t>1. 상세 내역 리스트가 제공됨
 - 일자 / 합계(순결제건/금액) / 개인앱(순결제건/금액) / 태블릿(순결제건/금액)</t>
  </si>
  <si>
    <t>1. [엑셀 다운로드] 버튼 선택
2. 엑셀 파일 확인</t>
  </si>
  <si>
    <t>1. 정상적으로 엑셀 다운로드 됨
2. 파일 확인 시 동일한 컬럼 값으로 제공됨</t>
  </si>
  <si>
    <t>정렬 기준</t>
  </si>
  <si>
    <t>1. 상세 내역에서 정렬 확인</t>
  </si>
  <si>
    <t>1. 최신 날짜순으로 정렬됨</t>
  </si>
  <si>
    <t>개인앱_통계</t>
  </si>
  <si>
    <t>1. 결제내역 : O (감사팁)</t>
  </si>
  <si>
    <t>1. 순결제 건 카운트 확인
2. 금액 확인</t>
  </si>
  <si>
    <t>1. 감사팁 내역은 집계되지 않음</t>
  </si>
  <si>
    <t>1. 결제내역 : O (캐디피)</t>
  </si>
  <si>
    <t>1. 순결제 건이 해당 날짜에 결제된 건 수 만큼 카운팅 됨
2. 금액이 결제된 건수 만큼 합산되어 제공됨 (결제 수수료 포함)</t>
  </si>
  <si>
    <t>태블릿_통계</t>
  </si>
  <si>
    <t>합계</t>
  </si>
  <si>
    <t>1. 합계의 순결제 건이 제공됨
 - 개인앱+태블릿
2. 합계의 금액이 제공됨
 - 개인앱+태블릿</t>
  </si>
  <si>
    <t>페이지 네이션</t>
  </si>
  <si>
    <t>1. 결제 내역 : 10건 이하</t>
  </si>
  <si>
    <t>1. 페이지네이션 확인</t>
  </si>
  <si>
    <t>1. 결제 내역이 한 페이지에 전부 노출 됨
 - 리스트 10개까지 노출</t>
  </si>
  <si>
    <t>1. 결제 내역 : 10건 초과</t>
  </si>
  <si>
    <t>1. 페이지네이션 처리되어 리스트 제공됨
 - 리스트 10개까지 노출
 - [처음][이전][1][2][다음][끝]
2. 페이지네이션 기능이 정상적으로 동작 됨</t>
  </si>
  <si>
    <t>1. 캐디피 관리 &gt; 캐디피 결제내역 진입
2. 제공 정보 확인</t>
  </si>
  <si>
    <t>1. 캐디피 결제내역 페이지의 정보가 제공됨(클라우드 UI)
 - 안내 문구 영역
 - 검색 필터 영역
 - [결제내역 다운] 버튼
 - 리스트 영역</t>
  </si>
  <si>
    <t>1. 안내 문구 제공됨
 - 캐디피 결제 내역 조회 및 결제 취소를 할 수 있습니다.</t>
  </si>
  <si>
    <t>조회 기간</t>
  </si>
  <si>
    <t>1. 조회 기간 영역 확인
2. 조회 기간 선택</t>
  </si>
  <si>
    <r>
      <rPr>
        <rFont val="Arial"/>
        <color theme="1"/>
      </rPr>
      <t xml:space="preserve">1. 조회 기간 선택 항목이 제공됨
 - Default : 당월 (이번 달)
2. 시작 날짜 선택 가능함
3. 종료 날짜 선택 가능함
</t>
    </r>
    <r>
      <rPr>
        <rFont val="Arial"/>
        <b/>
        <color theme="1"/>
      </rPr>
      <t xml:space="preserve">
 * 종료 날짜가 시작 날짜보다 빠를 수 없음</t>
    </r>
  </si>
  <si>
    <t>1. 조회 기간 영역 확인
2. 기간 선택 칩 버튼 선택</t>
  </si>
  <si>
    <t>1. 기간 선택 칩 버튼이 제공됨
 - Default : 이번 달
 - [이번 달] / [최근 30일] / [최근 60일] / [최근 90일]
2. 칩 버튼 선택 시 시작일/종료일에 기간 입력 됨
 - 이번 달 : 당월 시작일 ~ 오늘
 - 최근 30일 : 29일 전 ~ 오늘
 - 최근 60일 : 59일 전 ~ 오늘
 - 최근 90일 : 89일 전 ~ 오늘</t>
  </si>
  <si>
    <t>결제 구분</t>
  </si>
  <si>
    <t>1. 결제 구분 드롭다운 메뉴 확인
2. 드롭 다운 메뉴 선택</t>
  </si>
  <si>
    <t>1. 결제 구분 드롭 다운 메뉴 제공됨
 - Default : 전체
 - 항목 : 전체 / 감사팁 / 캐디피
2. 결제 구분 선택 가능함</t>
  </si>
  <si>
    <t>결제 방법</t>
  </si>
  <si>
    <t>1. 결제 방법 드롭다운 메뉴 확인
2. 드롭 다운 메뉴 선택</t>
  </si>
  <si>
    <t>1. 결제 방법 드롭 다운 메뉴 제공됨
 - Default : 전체
 - 항목 : 전체 / 태블릿 / 개인앱
2. 결제 방법 선택 가능함</t>
  </si>
  <si>
    <t>결제유형_개인앱</t>
  </si>
  <si>
    <t>1. 1차 결제 유형 : 개인앱</t>
  </si>
  <si>
    <t>1. 2차 결제 유형 확인
2. 2차 결제 유형 선택</t>
  </si>
  <si>
    <t>1. 2차 결제 유형이 드롭 다운 메뉴로 제공됨
 - 전체 / 신용카드 / 스스페이 / 페이결제 / 내통장결제
2. 2차 결제 유형 선택 가능함</t>
  </si>
  <si>
    <t>1. 1차 결제 유형 : 개인앱
2. 2차 결제 유형 : 신용카드</t>
  </si>
  <si>
    <t>1. 3차 결제 유형 확인</t>
  </si>
  <si>
    <t>1. 3차 결제 유형 선택 불가 함</t>
  </si>
  <si>
    <t>1. 1차 결제 유형 : 개인앱
2. 2차 결제 유형 : 스스페이</t>
  </si>
  <si>
    <t>1. 1차 결제 유형 : 개인앱
2. 2차 결제 유형 : 페이결제</t>
  </si>
  <si>
    <t>1. 3차 결제 유형 확인
2. 3차 결제 유형 선택</t>
  </si>
  <si>
    <t>1. 3차 결제 유형이 제공됨
 - 카카오페이 / 네이버페이 / 페이코 / 삼성페이 / 토스페이
2. 3차 결제 유형 선택 가능함</t>
  </si>
  <si>
    <t>1. 1차 결제 유형 : 개인앱
2. 2차 결제 유형 : 내통장결제</t>
  </si>
  <si>
    <t>1. 3차 결제 유형이 제공됨
 - 전체
2. 3차 결제 유형 선택 가능함</t>
  </si>
  <si>
    <t>결제유형_태블릿</t>
  </si>
  <si>
    <t>1. 1차 결제 유형 : 태블릿</t>
  </si>
  <si>
    <t>1. 2차 결제 유형이 드롭 다운 메뉴로 제공됨
 - 카드결제 / 현금
2.  2차 결제 유형 선택 가능함</t>
  </si>
  <si>
    <t>1. 1차 결제 유형 : 태블릿
2. 2차 결제 유형 : 신용카드</t>
  </si>
  <si>
    <t>1. 3차 결제 유형 제공되지 않음</t>
  </si>
  <si>
    <t>1. 1차 결제 유형 : 태블릿
2. 2차 결제 유형 : 현금</t>
  </si>
  <si>
    <t>결제 상태</t>
  </si>
  <si>
    <t>1. 결제 상태 드롭다운 메뉴 확인
2. 드롭 다운 메뉴 선택</t>
  </si>
  <si>
    <t>1. 결제 상태 드롭 다운 메뉴 제공됨
 - Default : 전체
 - 항목 : 전체 / 결제 완료 / 결제 취소 / 취소 요청
2. 결제 상태 선택 가능함</t>
  </si>
  <si>
    <t>검색어</t>
  </si>
  <si>
    <t>1. 검색어 드롭다운 메뉴 확인
2. 드롭 다운 메뉴 선택</t>
  </si>
  <si>
    <t>1. 검색어 드롭 다운 메뉴 제공됨
 - Default : 캐디명
 - 항목 : 승인번호 / 라운드번호 / 캐디명
2. 검색어 드롭다운 메뉴 선택 가능함</t>
  </si>
  <si>
    <t>검색_검색어 입력</t>
  </si>
  <si>
    <t>1. 드롭다운 : 승인번호</t>
  </si>
  <si>
    <t>1. 유효한 검색어 입력
2. [검색] 버튼 선택</t>
  </si>
  <si>
    <r>
      <rPr>
        <rFont val="Arial"/>
        <color theme="1"/>
      </rPr>
      <t xml:space="preserve">1. 입력된 검색어로 매칭되는 리스트 제공됨
</t>
    </r>
    <r>
      <rPr>
        <rFont val="Arial"/>
        <b/>
        <color theme="1"/>
      </rPr>
      <t xml:space="preserve"> * like 검색 가능</t>
    </r>
  </si>
  <si>
    <t>1. 드롭다운 : 라운드 번호</t>
  </si>
  <si>
    <r>
      <rPr>
        <rFont val="Arial"/>
        <color theme="1"/>
      </rPr>
      <t xml:space="preserve">1. 입력된 검색어로 매칭되는 리스트 제공됨
</t>
    </r>
    <r>
      <rPr>
        <rFont val="Arial"/>
        <b/>
        <color theme="1"/>
      </rPr>
      <t xml:space="preserve"> * like 검색 가능</t>
    </r>
  </si>
  <si>
    <t>1. 드롭다운 : 캐디명</t>
  </si>
  <si>
    <r>
      <rPr>
        <rFont val="Arial"/>
        <color theme="1"/>
      </rPr>
      <t xml:space="preserve">1. 입력된 검색어로 매칭되는 리스트 제공됨
</t>
    </r>
    <r>
      <rPr>
        <rFont val="Arial"/>
        <b/>
        <color theme="1"/>
      </rPr>
      <t xml:space="preserve"> * like 검색 가능</t>
    </r>
  </si>
  <si>
    <t>검색_복합</t>
  </si>
  <si>
    <t>1. 조회기간 : 선택
2. 검색구분 : 선택
3. 결제 방법 : 선택
4. 결제 수단 : 선택
5. 결제 상태 : 선택
6. 검색어 : 입력</t>
  </si>
  <si>
    <t>1. 복합으로 선택된 필터와 검색어로 검색되어 리스트 제공됨</t>
  </si>
  <si>
    <t>1. 모든 필터 선택 상태
2. 검색 전</t>
  </si>
  <si>
    <t>1. 모든 상태가 기본 값으로 초기화 됨</t>
  </si>
  <si>
    <t>1. 모든 필터 선택 상태
2. 검색 후</t>
  </si>
  <si>
    <t>결제내역 다운 영역</t>
  </si>
  <si>
    <t>결제내역 다운</t>
  </si>
  <si>
    <t>1. 리스트 : X</t>
  </si>
  <si>
    <t>1. [결제 내역 다운] 버튼 선택
2. 파일 확인</t>
  </si>
  <si>
    <t>1. 정상적으로 엑셀 다운로드 됨
2. 파일 확인 시 동일한 컬럼 값으로 제공됨</t>
  </si>
  <si>
    <t>1. 리스트 : O</t>
  </si>
  <si>
    <t>리스트 제공 정보</t>
  </si>
  <si>
    <t>1. 결제내역 리스트 확인</t>
  </si>
  <si>
    <t>1. 상세 내역 리스트가 제공됨
 - No / 승인번호 / 티타임 / 라운드 번호 / 캐디명 / 결제 방법 / 결제 수단 / 결제 구분 / 결제 금액 / 결제 상태 / 결제 일시 / 기능</t>
  </si>
  <si>
    <t>1. 결제 일시 최신순으로 정렬되며, 넘버는 역순으로 제공됨</t>
  </si>
  <si>
    <t>승인번호</t>
  </si>
  <si>
    <t>1. 승인번호 컬럼 값 확인</t>
  </si>
  <si>
    <t>1. 승인번호가 제공됨</t>
  </si>
  <si>
    <t>1. 티타임 컬럼 값 확인</t>
  </si>
  <si>
    <t>1. 티타임 시간이 제공됨
 - 형식 : hh:mm</t>
  </si>
  <si>
    <t>라운드 번호</t>
  </si>
  <si>
    <t>1. 라운드 번호 컬럼 값 확인</t>
  </si>
  <si>
    <t>1. 라운드 번호가 4자리로 제공됨</t>
  </si>
  <si>
    <t>1. 캐디명 컬럼 값 확인</t>
  </si>
  <si>
    <t>1. 캐디 등록시 설정한 캐디명이 제공됨</t>
  </si>
  <si>
    <t>1. 결제 방법 : 태블릿</t>
  </si>
  <si>
    <t>1. 결제 방법 컬럼 값 확인</t>
  </si>
  <si>
    <t>1. 결제한 방식이 제공됨
 - 결제 방법 : 태블릿</t>
  </si>
  <si>
    <t>1. 결제 방법 : 개인앱</t>
  </si>
  <si>
    <t>1. 결제한 방식이 제공됨
 - 결제 방법 : 개인앱</t>
  </si>
  <si>
    <t>결제 수단</t>
  </si>
  <si>
    <t>1. 수단 : 카드 (개인앱 일반결제)</t>
  </si>
  <si>
    <t>1. 결제 수단 컬럼 값 확인</t>
  </si>
  <si>
    <t>1. 결제 수단이 제공됨
 - 결제 수단 : 카드결제</t>
  </si>
  <si>
    <t>1. 수단 : 현금</t>
  </si>
  <si>
    <t>1. 결제 수단이 제공됨
 - 결제 수단 : 현금</t>
  </si>
  <si>
    <t>1. 수단 : 스스페이</t>
  </si>
  <si>
    <t>1. 결제 수단이 제공됨
 - 결제 수단 : 페이결제(스스페이)</t>
  </si>
  <si>
    <t>1. 수단 : 페이결제</t>
  </si>
  <si>
    <t>1. 결제 수단이 제공됨
 - 결제 수단 : 페이결제(ex. 삼성페이)</t>
  </si>
  <si>
    <t>1. 수단 : 내통장결제</t>
  </si>
  <si>
    <t>1. 결제 수단이 제공됨
 - 결제 수단 : 내통장결제</t>
  </si>
  <si>
    <t>1. 캐디피 결제 내역 존재</t>
  </si>
  <si>
    <t>1. 상세 내역 리스트 확인
2. 결제 구분 컬럼 값 확인</t>
  </si>
  <si>
    <t>1. 내역이 리스트로 제공됨
 - 결제 구분 : 캐디피</t>
  </si>
  <si>
    <t>1. 감사팁 결제 내역 존재</t>
  </si>
  <si>
    <t>1. 내역이 리스트로 제공됨
 - 결제 구분 : 감사팁</t>
  </si>
  <si>
    <t>1. 캐디피+감사팁 결제 내역 존재</t>
  </si>
  <si>
    <t>1. 한개의 승인번호로 묶여서 내역이 리스트로 제공됨
 - 캐디피 n
 - 감사팁 n</t>
  </si>
  <si>
    <t>결제 금액</t>
  </si>
  <si>
    <t>1. 결제 금액 컬럼 값 확인</t>
  </si>
  <si>
    <t>1. 결제 금액이 제공됨
 - 형식 : n,nnn,nnn</t>
  </si>
  <si>
    <t>1. 결제 상태 : 결제 완료</t>
  </si>
  <si>
    <t>1. 결제 상태 컬럼 값 확인</t>
  </si>
  <si>
    <t>1. 결제 완료 상태로 제공됨</t>
  </si>
  <si>
    <t>1. 결제 상태 : 취소 요청</t>
  </si>
  <si>
    <t>1. 취소 요청 상태로 제공됨
 - 빨간 색상으로 문구 노출</t>
  </si>
  <si>
    <t>1. 결제 상태 : 결제 취소</t>
  </si>
  <si>
    <t>1. 결제 취소 상태로 제공됨</t>
  </si>
  <si>
    <t>결제 일시</t>
  </si>
  <si>
    <t>1. 결제 일시 컬럼 값 확인</t>
  </si>
  <si>
    <t>1. 결제 일시가 제공됨
 - 형식 : yyyy-mm-dd hh:mm</t>
  </si>
  <si>
    <t>(캐디피 결제취소)</t>
  </si>
  <si>
    <t>캐디피_결제취소_가능</t>
  </si>
  <si>
    <t>1. 결제 상태 : 결제 완료
2. 결제 수단 : 현금 외
3. 결제 구분 : 캐디피
4. 결제 일시 : 3일 내</t>
  </si>
  <si>
    <t>1. [결제취소] 버튼 확인
2. [결제취소] 버튼 선택</t>
  </si>
  <si>
    <t>1. [결제취소] 버튼 활성화로 제공됨
2. 결제 취소 팝업 제공됨
 - 타이틀 : 결제 취소
 - 캐디명 : $캐디명$
 - 결제 일시 : yyyy-mm-dd hh:mm
 - 승인번호 : $승인번호$
 - 티타임 / 라운드번호 / 결제 방법 / 결제 수단 / 결제 금액
 - [닫기] / [결제 취소] 버튼</t>
  </si>
  <si>
    <t>1. [결제취소] 버튼 선택
2. 팝업 내 [닫기] 버튼 선택</t>
  </si>
  <si>
    <t>1. 결제 취소 팝업 닫힘</t>
  </si>
  <si>
    <t>1. [결제취소] 버튼 선택
2. 팝업 내 [결제취소] 버튼 선택</t>
  </si>
  <si>
    <t>1. 결제 취소 확인 팝업 제공됨
 - 문구 : 결제 취소하시겠습니까? \n 취소된 건은 복원할 수 없습니다.
 - [취소] / [확인] 버튼</t>
  </si>
  <si>
    <t>1. [결제취소] 버튼 선택
2. 팝업 내 [결제취소] 버튼 선택
3. 확인 팝업 내 [취소] 버튼 선택</t>
  </si>
  <si>
    <t>1. 결제 취소 확인 팝업 닫힘</t>
  </si>
  <si>
    <t>1. [결제취소] 버튼 선택
2. 팝업 내 [결제취소] 버튼 선택
3. 확인 팝업 내 [확인] 버튼 선택</t>
  </si>
  <si>
    <t>1. 취소 완료되며 토스트 문구 3초간 제공됨
 - 문구 : 결제 취소가 완료되었습니다.
2. 결제 상태 값 변경 됨
 - 결제 완료 &gt; 결제 취소</t>
  </si>
  <si>
    <t>1. 결제 상태 : 취소 요청
2. 결제 수단 : 현금 외
3. 결제 구분 : 캐디피
4. 결제 일시 : 3일 내</t>
  </si>
  <si>
    <t>1. 취소 완료되며 토스트 문구 3초간 제공됨
 - 문구 : 결제 취소가 완료되었습니다.
2. 결제 상태 값 변경 됨
 - 취소 요청 &gt; 결제 취소</t>
  </si>
  <si>
    <t>캐디피_결제취소_불가
(타이밍)</t>
  </si>
  <si>
    <t>1. 결제 상태 : 결제 완료 or 취소 요청
2. 결제 수단 : 현금 외
3. 결제 구분 : 캐디피
4. 결제 일시 : 3일 내</t>
  </si>
  <si>
    <t>[A관리자 &amp; B관리자]
1. 결제 취소 팝업 오픈
[A관리자]
2. 결제 취소 ~ 결제 완료까지 진행
[B관리자]
3. 결제 취소 ~ 결제 완료까지 진행</t>
  </si>
  <si>
    <t>1. A관리자는 정상적으로 취소 완료 됨
2. B관리자는 취소 불가 함
 - 문구 : 이미 결제 취소된 건입니다.</t>
  </si>
  <si>
    <t>캐디피_결제취소_불가</t>
  </si>
  <si>
    <t>1. 결제 상태 : 결제 완료
2. 결제 수단 : 현금
3. 결제 구분 : 캐디피
4. 결제 일시 : 3일 내</t>
  </si>
  <si>
    <t>1. [결제취소] 버튼 확인</t>
  </si>
  <si>
    <t>1. [결제취소] 버튼 비활성화로 제공됨</t>
  </si>
  <si>
    <t>1. 결제 상태 : 결제 완료
2. 결제 수단 : 현금 외
3. 결제 구분 : 캐디피
4. 결제 일시 : 3일 이후</t>
  </si>
  <si>
    <t>1. 결제 상태 : 결제 취소
2. 결제 수단 : 현금 외
3. 결제 구분 : 캐디피
4. 결제 일시 : 3일 내</t>
  </si>
  <si>
    <t>1. 결제 상태 : 취소 요청
2. 결제 수단 : 현금 외
3. 결제 구분 : 캐디피
4. 결제 일시 : 3일 이후</t>
  </si>
  <si>
    <t>(감사팁 결제취소)</t>
  </si>
  <si>
    <t>감사팁_결제취소_가능</t>
  </si>
  <si>
    <t>1. 결제 상태 : 결제 완료
2. 결제 수단 : 현금 외
3. 결제 구분 : 감사팁
4. 결제 일시 : 3일 내</t>
  </si>
  <si>
    <t>1. 결제 취소 확인 팝업 제공됨
 - 타이틀 : smartscore
 - 문구 : 결제 취소하시겠습니까? \n 취소된 건은 복원할 수 없습니다.
 - [취소] / [확인] 버튼</t>
  </si>
  <si>
    <t>1. 결제 상태 : 취소 요청
2. 결제 수단 : 현금 외
3. 결제 구분 : 감사팁
4. 결제 일시 : 3일 내</t>
  </si>
  <si>
    <t>감사팁_결제취소_불가
(타이밍)</t>
  </si>
  <si>
    <t>1. 결제 상태 : 결제 완료 or 취소 요청
2. 결제 수단 : 현금 외
3. 결제 구분 : 감사팁
4. 결제 일시 : 3일 내</t>
  </si>
  <si>
    <t>감사팁_결제취소_불가</t>
  </si>
  <si>
    <t>1. 결제 상태 : 결제 완료
2. 결제 수단 : 현금
3. 결제 구분 : 감사팁
4. 결제 일시 : 3일 내</t>
  </si>
  <si>
    <t>1. 결제 상태 : 결제 완료
2. 결제 수단 : 현금 외
3. 결제 구분 : 감사팁
4. 결제 일시 : 3일 이후</t>
  </si>
  <si>
    <t>1. 결제 상태 : 결제 취소
2. 결제 수단 : 현금 외
3. 결제 구분 : 감사팁
4. 결제 일시 : 3일 내</t>
  </si>
  <si>
    <t>1. 결제 상태 : 취소 요청
2. 결제 수단 : 현금 외
3. 결제 구분 : 감사팁
4. 결제 일시 : 3일 이후</t>
  </si>
  <si>
    <t>(캐디피+감사팁 결제취소)</t>
  </si>
  <si>
    <t>캐디피+감사팁_결제취소_가능</t>
  </si>
  <si>
    <t>1. 결제 상태 : 결제 완료
2. 결제 수단 : 현금 외
3. 결제 구분 : 캐디피+감사팁
4. 결제 일시 : 3일 내</t>
  </si>
  <si>
    <t>1. 결제 상태 : 취소 요청
2. 결제 수단 : 현금 외
3. 결제 구분 : 캐디피+감사팁
4. 결제 일시 : 3일 내</t>
  </si>
  <si>
    <t>1. [결제취소] 버튼 활성화로 제공됨
2. 결제 취소 팝업 제공됨
 - 타이틀 : 결제 취소
 - 캐디명 : $캐디명$
 - 결제 일시 : yyyy-mm-dd hh:mm
 - 승인번호 : $승인번호$
 - 티타임 / 라운드번호 / 결제 구분 / 결제 방법 / 결제 금액
 - [닫기] / [결제 취소] 버튼</t>
  </si>
  <si>
    <t>캐디피+감사팁_결제취소_불가
(타이밍)</t>
  </si>
  <si>
    <t>1. 결제 상태 : 결제 완료 or 취소 요청
2. 결제 수단 : 현금 외
3. 결제 구분 : 캐디피+감사팁
4. 결제 일시 : 3일 내</t>
  </si>
  <si>
    <t>캐디피+감사팁_결제취소_불가</t>
  </si>
  <si>
    <t>1. 결제 상태 : 결제 완료
2. 결제 수단 : 현금
3. 결제 구분 : 캐디피+감사팁
4. 결제 일시 : 3일 내</t>
  </si>
  <si>
    <t>1. 결제 상태 : 결제 완료
2. 결제 수단 : 현금 외
3. 결제 구분 : 캐디피+감사팁
4. 결제 일시 : 3일 이후</t>
  </si>
  <si>
    <t>1. 결제 상태 : 결제 취소
2. 결제 수단 : 현금 외
3. 결제 구분 : 캐디피+감사팁
4. 결제 일시 : 3일 내</t>
  </si>
  <si>
    <t>1. 결제 상태 : 취소 요청
2. 결제 수단 : 현금 외
3. 결제 구분 : 캐디피+감사팁
4. 결제 일시 : 3일 이후</t>
  </si>
  <si>
    <t>1. 결제 내역 : 20건 이하</t>
  </si>
  <si>
    <t>1. 결제 내역이 한 페이지에 전부 노출 됨
 - 리스트 20개까지 노출</t>
  </si>
  <si>
    <t>1. 결제 내역 : 20건 초과</t>
  </si>
  <si>
    <t>1. 페이지네이션 처리되어 리스트 제공됨
 - 리스트 20개까지 노출
 - [처음][이전][1][2][다음][끝]
2. 페이지네이션 기능이 정상적으로 동작 됨</t>
  </si>
  <si>
    <t>1. 캐디피 관리 &gt; 캐디 자료 / 신고서 진입
2. 사업자 제공자 등의 과세자료 제공 정보 확인</t>
  </si>
  <si>
    <r>
      <rPr>
        <rFont val="Arial"/>
        <color theme="1"/>
      </rPr>
      <t xml:space="preserve">1. 캐디 자료 / 신고서 페이지의 정보가 제공됨(클라우드 UI)
 - Default : 사업장 제공자 등의 과세 자료
 - 사업자 제공자 등의 과세 자료 / 산재보험 월보수액신고서 / 고용보험 업적 신고서
2. 사업장 제공자 등의 과세자료 탭 선택된 상태로 페이지 제공됨
 - 검색 필터 영역
 - [불러오기] / [초기화] 버튼
 - [엑셀 다운] 버튼
 - 리스트 영역
</t>
    </r>
    <r>
      <rPr>
        <rFont val="Arial"/>
        <b/>
        <color theme="1"/>
      </rPr>
      <t xml:space="preserve"> * 디폴트 값으로 미검색 상태의 페이지 제공됨</t>
    </r>
  </si>
  <si>
    <t>사업자 제공자 등의 과세자료</t>
  </si>
  <si>
    <t>제출자 상호</t>
  </si>
  <si>
    <t>1. 제출자 상호명 영역 확인
2. 제출자 상호명 입력</t>
  </si>
  <si>
    <t>1. 제출자 상호 영역이 제공됨
 - Default : $내부관리자에 등록된 클럽명$
2. 제출자 상호명 입력하여 변경 가능함</t>
  </si>
  <si>
    <t>사업자등록번호</t>
  </si>
  <si>
    <t>1. 사업자등록번호 영역 확인
2. 사업자등록번호 입력</t>
  </si>
  <si>
    <t>1. 사업자등록번호 영역이 제공됨
 - Default : 빈값
2. 사업자등록번호 입력 가능함
 - 정수만 입력 가능
 - 최대 10자리 입력 가능</t>
  </si>
  <si>
    <t>용역구분코드</t>
  </si>
  <si>
    <t>1. 용역구분코드 영역 확인
2. 용역구분코드 입력</t>
  </si>
  <si>
    <t>1. 용역구분코드 영역 제공됨
 - Default : 11
2. 용역구분코드 입력 가능함
 - 숫자만 입력 가능
 - 최대 3자리 입력 가능</t>
  </si>
  <si>
    <t>용역제공대가</t>
  </si>
  <si>
    <t>1. 용역제공대가 영역 확인
2. 용역제공대가 체크 동작 확인</t>
  </si>
  <si>
    <t>1. 용역제공대가 영역이 제공됨
 - Default : 체크해제
2. 체크/체크해제 동작 가능함</t>
  </si>
  <si>
    <t>귀속연월</t>
  </si>
  <si>
    <t>1. 귀속연월 영역 확인
2. 귀속연월 선택</t>
  </si>
  <si>
    <t>1. 귀속연월 영역이 제공됨
 - Default : 미선택 상태
2. 연도 / 월 드롭다운 메뉴로 선택 가능함</t>
  </si>
  <si>
    <t>1. 검색 항목 입력 &amp; 선택 상태</t>
  </si>
  <si>
    <t>1. 모든 항목이 기본값으로 초기화 됨</t>
  </si>
  <si>
    <t>불러오기</t>
  </si>
  <si>
    <t>1. 제출자 상호 : 미입력
2. 사업자등록번호 : 미입력
3. 용역구분코드 : 미입력
4. 용역제공대가 : 미선택
5. 귀속연월 : 연/월 미선택</t>
  </si>
  <si>
    <t>1. [불러오기] 버튼 선택</t>
  </si>
  <si>
    <t>1. 불러오기 불가하며 얼럿 노출 됨
 - 문구 : 귀속연월을 선택해주세요.</t>
  </si>
  <si>
    <t>1. 제출자 상호 : 미입력
2. 사업자등록번호 : 미입력
3. 용역구분코드 : 미입력
4. 용역제공대가 : 미선택
5. 귀속연월 : 연도 미선택</t>
  </si>
  <si>
    <t>1. 제출자 상호 : 미입력
2. 사업자등록번호 : 미입력
3. 용역구분코드 : 미입력
4. 용역제공대가 : 미선택
5. 귀속연월 : 월 미선택</t>
  </si>
  <si>
    <t>1. 제출자 상호 : 미입력
2. 사업자등록번호 : 미입력
3. 용역구분코드 : 미입력
4. 용역제공대가 : 미선택
5. 귀속연월 : 연/월 선택</t>
  </si>
  <si>
    <t>1. 불러오기 가능하며, 리스트 제공됨
 * 필수 입력 값 : 귀속연월</t>
  </si>
  <si>
    <t>1. 제출자 상호 : 입력
2. 사업자등록번호 : 입력
3. 용역구분코드 : 입력
4. 용역제공대가 : 선택
5. 귀속연월 : 연/월 선택</t>
  </si>
  <si>
    <t>엑셀 다운</t>
  </si>
  <si>
    <t>1. 불러오기 전</t>
  </si>
  <si>
    <t>1. [엑셀 다운] 버튼 확인</t>
  </si>
  <si>
    <t>1. [엑셀 다운] 버튼 비활성화로 제공됨</t>
  </si>
  <si>
    <t>1. 불러오기 후</t>
  </si>
  <si>
    <t>1. [엑셀 다운] 버튼 확인
2. [엑셀 다운] 버튼 선택
3. 엑셀 파일 확인</t>
  </si>
  <si>
    <t>1. [엑셀 다운] 버튼 활성화로 제공됨
2. 정상적으로 엑셀 다운로드 됨
3. 파일 확인 시 동일한 컬럼 값으로 제공됨</t>
  </si>
  <si>
    <t>1. 리스트 영역 컬럼 값 확인</t>
  </si>
  <si>
    <t>1. 리스트 영역이 제공됨
 - 제출자 사업자등록번호 / 제출자 상호 / 제출의무자 사업자 등록번호 / 제출의무자 상호 / 귀속연도 / 귀속월 / 주민등록번호(용역제공자) / 성명 / 용역구분코드 / 용역제공기간 게시일 / 용역제공기간 종료일 / 용역제공일수 / 용역제공횟수 / 용역제공대가</t>
  </si>
  <si>
    <t>불러오기 전 리스트</t>
  </si>
  <si>
    <t>1. 리스트 데이터 확인</t>
  </si>
  <si>
    <t>1. 불러오기 리스트가 제공되지 않음
 - 문구 : 내역이 없습니다.</t>
  </si>
  <si>
    <t>제출자 사업자등록번호</t>
  </si>
  <si>
    <t>1. 사업자등록번호 : 입력 X</t>
  </si>
  <si>
    <t>1. 제출자 사업자등록번호 확인</t>
  </si>
  <si>
    <t>1. null 값으로 제공됨</t>
  </si>
  <si>
    <t>1. 사업자등록번호 : 입력 O</t>
  </si>
  <si>
    <t>1. 입력한 사업자 등록번호가 제공됨</t>
  </si>
  <si>
    <t>1. 제출자 상호 : 입력 X</t>
  </si>
  <si>
    <t>1. 제출자 상호 확인</t>
  </si>
  <si>
    <t>1. 제출자 상호 : 입력 O</t>
  </si>
  <si>
    <t>1. 입력한 제출자 상호가 제공됨</t>
  </si>
  <si>
    <t>제출의무자 사업자 등록번호</t>
  </si>
  <si>
    <t>1. 제출의무자 사업자 등록번호 확인</t>
  </si>
  <si>
    <t>제출의무자 상호</t>
  </si>
  <si>
    <t>1. 제출의무자 상호 확인</t>
  </si>
  <si>
    <t>귀속연도 &amp; 귀속월</t>
  </si>
  <si>
    <t>1. 귀속연월 : 입력 O</t>
  </si>
  <si>
    <t>1. 귀속연도 확인
2. 귀속월 확인</t>
  </si>
  <si>
    <t>1. 입력한 귀속연도와 귀속월이 제공됨</t>
  </si>
  <si>
    <t>주민등록번호(용역제공자)</t>
  </si>
  <si>
    <t>1. 주민등록번호(용역제공자) 확인</t>
  </si>
  <si>
    <t>1. 주민등록번호 항목은 null 값으로 제공됨
 - 개인정보법으로 인해 노출 불가</t>
  </si>
  <si>
    <t>1. 성명 확인</t>
  </si>
  <si>
    <t>1. 캐디명이 제공됨</t>
  </si>
  <si>
    <t>1. 용역구분코드 : 입력 X</t>
  </si>
  <si>
    <t>1. 용역구분코드 확인</t>
  </si>
  <si>
    <t>1. 용역구분코드 : 입력 O</t>
  </si>
  <si>
    <t>1. 입력한 용역구분코드가 제공됨</t>
  </si>
  <si>
    <t>용역제공기간 게시일 &amp; 종료일</t>
  </si>
  <si>
    <t>1. 용역제공기간 게시일 확인
2. 용역제공기간 종료일 확인</t>
  </si>
  <si>
    <t>1. 입력한 귀속연월의 시작일과 종료일이 제공됨
 - ex) 귀속연월 : 2024년 08월
  a. 게시일 : 20240801
  b. 종료일 : 20240831</t>
  </si>
  <si>
    <t>용역제공일수</t>
  </si>
  <si>
    <t>1. 라운드 기록 : O
 - 하루에 2 라운드</t>
  </si>
  <si>
    <t>1. 용역제공일수 확인</t>
  </si>
  <si>
    <t>1. 용역제공일수가 제공됨
 - 사전조건 기준 : 1 카운트
 * 캐디가 라운드 진행한 일수 카운트</t>
  </si>
  <si>
    <t>1. 라운드 기록 : O
 - 하루에 2 라운드
 - 다른날 1 라운드</t>
  </si>
  <si>
    <t>1. 용역제공일수가 제공됨
 - 사전조건 기준 : 2 카운트
 * 캐디가 라운드 진행한 일수 카운트</t>
  </si>
  <si>
    <t>용역제공횟수</t>
  </si>
  <si>
    <t>1. 용역제공횟수 확인</t>
  </si>
  <si>
    <t>1. 용역제공일수가 제공됨
 - 사전조건 기준 : 3 카운트
 * 캐디가 라운드 진행한 일수 카운트</t>
  </si>
  <si>
    <t>[캐디 조건]
1. 결제 내역 : X</t>
  </si>
  <si>
    <t>1. 월 보수액 확인</t>
  </si>
  <si>
    <t>1. 결제 내역이 없는 캐디 정보도 리스트에 제공됨</t>
  </si>
  <si>
    <t>[캐디 조건]
1. 결제 구분 : 감사팁</t>
  </si>
  <si>
    <t>1. 용역제공대가 확인</t>
  </si>
  <si>
    <t>1. 감사팁 결제 내역은 용역제공대가에 포함되지 않음</t>
  </si>
  <si>
    <t>[캐디 조건]
1. 결제 구분 : 캐디피 + 감사팁
2. 결제 수단 : 현금 외</t>
  </si>
  <si>
    <t>1. 캐디피 결제 내역만 용역제공대가에 제공됨</t>
  </si>
  <si>
    <t>[캐디 조건]
1. 결제 구분 : 캐디피
2. 결제 수단 : 현금 외</t>
  </si>
  <si>
    <t>1. 캐디피 결제 내역은 용역제공대가에 포함되어 제공됨</t>
  </si>
  <si>
    <t>[캐디 조건]
1. 결제 구분 : 캐디피
2. 결제 수단 : 현금
[불러오기 조건]
3. 현금 제외 : 체크 해제</t>
  </si>
  <si>
    <t>1. 현금 내역은 용역제공대가에 제공되지 않음</t>
  </si>
  <si>
    <t>[캐디 조건]
1. 결제 구분 : 캐디피
2. 결제 수단 : 현금
[불러오기 조건]
3. 현금 제외 : 체크</t>
  </si>
  <si>
    <t>1. 현금 내역이 용역제공대가에 제공됨</t>
  </si>
  <si>
    <t>1. 리스트 : 20건 이하</t>
  </si>
  <si>
    <t>1. 리스트 : 20건 초과</t>
  </si>
  <si>
    <t>산재보험 월보수액신고서</t>
  </si>
  <si>
    <t>1. 캐디피 관리 &gt; 캐디 자료 / 신고서 진입
2. 산재보험 월보수액신고서 탭 선택
3. 제공 정보 확인</t>
  </si>
  <si>
    <r>
      <rPr>
        <rFont val="Arial"/>
        <color theme="1"/>
      </rPr>
      <t xml:space="preserve">1. 산재보험 월보수액신고서 페이지 제공됨
 - 검색 필터 영역
 - [불러오기] / [초기화] 버튼
 - [엑셀 다운] 버튼
 - 리스트 영역
</t>
    </r>
    <r>
      <rPr>
        <rFont val="Arial"/>
        <b/>
        <color theme="1"/>
      </rPr>
      <t xml:space="preserve"> * 디폴트 값으로 미검색 상태의 페이지 제공됨</t>
    </r>
  </si>
  <si>
    <t>보험구분</t>
  </si>
  <si>
    <t>1. 보험구분 영역 확인
2. 보험구분 입력</t>
  </si>
  <si>
    <t>1. 보험구분 영역이 제공됨
 - Default : 1
2. 보험구분 입력 가능함
 - 정수만 입력 가능</t>
  </si>
  <si>
    <t>직종부호</t>
  </si>
  <si>
    <t>1. 직종부호 영역 확인
2. 직종부호 입력</t>
  </si>
  <si>
    <t>1. 직종부호 영역 제공됨
 - Default : 959
2. 직종부호 입력 가능함
 - 숫자만 입력 가능</t>
  </si>
  <si>
    <t>경비제공율</t>
  </si>
  <si>
    <t>1. 경비제공율 영역 확인
2. 경비제공율 입력</t>
  </si>
  <si>
    <t>1. 용역제공대가 영역이 제공됨
 - Default : 16.00
2. 경비제공율 입력 가능함
 - 소수점, 숫자 입력 가능</t>
  </si>
  <si>
    <t>월 보수액</t>
  </si>
  <si>
    <t>1. 월 보수액 영역 확인
2. 월 보수액 체크 동작 확인</t>
  </si>
  <si>
    <t>1. 월 보수액 영역이 제공됨
 - Default : 체크해제
2. 체크/체크해제 동작 가능함</t>
  </si>
  <si>
    <t>1. 보험구분 : 미입력
2. 직종부호 : 미입력
3. 경비제공율 : 미입력
4. 월 보수액 : 미선택
5. 귀속연월 : 연/월 미선택</t>
  </si>
  <si>
    <t>1. 보험구분 : 미입력
2. 사업자등록번호 : 미입력
3. 경비제공율 : 미입력
4. 월 보수액 : 미선택
5. 귀속연월 : 연도 미선택</t>
  </si>
  <si>
    <t>1. 보험구분 : 미입력
2. 사업자등록번호 : 미입력
3. 경비제공율 : 미입력
4. 월 보수액 : 미선택
5. 귀속연월 : 월 미선택</t>
  </si>
  <si>
    <t>1. 보험구분 : 미입력
2. 사업자등록번호 : 미입력
3. 경비제공율 : 미입력
4. 월 보수액 : 미선택
5. 귀속연월 : 연/월 선택</t>
  </si>
  <si>
    <t>1. 보험구분 : 입력
2. 사업자등록번호 : 입력
3. 경비제공율 : 입력
4. 월 보수액 : 선택
5. 귀속연월 : 연/월 선택</t>
  </si>
  <si>
    <t>1. 리스트 영역이 제공됨
 - 보험구분 / 성명 / 주민(외국인)등록번호 / 직종부호 / 자격취득일 / 월 보수액</t>
  </si>
  <si>
    <t>1. 보험구분 : 입력 X</t>
  </si>
  <si>
    <t>1. 보험구분 확인</t>
  </si>
  <si>
    <t>1. 보험구분 : 입력 O</t>
  </si>
  <si>
    <t>1. 입력한 보험구분이 제공됨</t>
  </si>
  <si>
    <t>주민등록번호(외국인)등록번호</t>
  </si>
  <si>
    <t>1. 주민등록번호(외국인)등록번호 확인</t>
  </si>
  <si>
    <t>1. 직종부호 : 입력 X</t>
  </si>
  <si>
    <t>1. 직종부호 확인</t>
  </si>
  <si>
    <t>1. 직종부호 : 입력 O</t>
  </si>
  <si>
    <t>1. 입력한 직종부호가 제공됨</t>
  </si>
  <si>
    <t>1. 귀속연월 : 2024년 11월
2. 자격취득일 : 2024년 12월</t>
  </si>
  <si>
    <t>1. 자격취득일 확인</t>
  </si>
  <si>
    <t>1. 캐디 등록 시 입력한 자격취득일 숫자 8자리 제공됨
 - 전체 캐디 리스트를 불러오므로 자격취득일과 관련 없음</t>
  </si>
  <si>
    <t>1. 귀속연월 : 2024년 11월
2. 자격취득일 : 2024년 11월</t>
  </si>
  <si>
    <t>1. 캐디 등록 시 입력한 자격취득일 숫자 8자리 제공됨</t>
  </si>
  <si>
    <t>1. 감사팁 결제 내역은 월 보수액에 포함되지 않음</t>
  </si>
  <si>
    <t>1. 캐디피 결제 내역만 월 보수액에 제공됨</t>
  </si>
  <si>
    <t>1. 캐디피 결제 내역은 월 보수액에 포함되어 제공됨</t>
  </si>
  <si>
    <t>1. 현금 내역은 월 보수액에 제공되지 않음</t>
  </si>
  <si>
    <t>1. 현금 내역이 월 보수액에 제공됨</t>
  </si>
  <si>
    <t>[캐디 조건]
1. 결제 구분 : 캐디피
2. 결제 수단 : 현금+현금 외
[불러오기 조건]
3. 현금 제외 : 체크</t>
  </si>
  <si>
    <t>1. 현금+현금외 모든 결제 내역이 월 보수액에 제공됨</t>
  </si>
  <si>
    <t>[캐디 조건]
1. 결제 구분 : 캐디피
2. 결제 수단 : 현금+현금 외
[불러오기 조건]
3. 현금 제외 : 체크 해제</t>
  </si>
  <si>
    <t>1. 현금 내역이 월 보수액에 제공됨
 - 수단이 현금 외 내역만 제공됨</t>
  </si>
  <si>
    <t>월 보수액_경비제공율 적용</t>
  </si>
  <si>
    <t>1. 경비제공율 : 입력 X</t>
  </si>
  <si>
    <t>1. 경비제공율 수식이 반영되지 않은 원금이 월 보수액에 제공됨</t>
  </si>
  <si>
    <t>1. 경비제공율 : 입력 O
 - 입력 : 20.99</t>
  </si>
  <si>
    <r>
      <rPr>
        <rFont val="Arial"/>
        <color theme="1"/>
      </rPr>
      <t xml:space="preserve">1. 경비제공율 수식이 반영된 금액으로 월 보수액에 제공됨
 </t>
    </r>
    <r>
      <rPr>
        <rFont val="Arial"/>
        <b/>
        <color theme="1"/>
      </rPr>
      <t>*수식 : 결제금액 - (결제금액*경비공제율)</t>
    </r>
  </si>
  <si>
    <t>1. 경비제공율 : 입력 O
 - 입력 : .99</t>
  </si>
  <si>
    <r>
      <rPr>
        <rFont val="Arial"/>
        <color theme="1"/>
      </rPr>
      <t xml:space="preserve">1. 경비제공율 수식이 반영된 금액으로 월 보수액에 제공됨
 - 소수점이 맨 앞에 있을 경우 0.nn으로 간주
 - 사전조건 기준 : 0.99
</t>
    </r>
    <r>
      <rPr>
        <rFont val="Arial"/>
        <b/>
        <color theme="1"/>
      </rPr>
      <t xml:space="preserve"> *수식 : 결제금액 - (결제금액*경비공제율)</t>
    </r>
  </si>
  <si>
    <t>고용보험 입직신고서</t>
  </si>
  <si>
    <t>1. 캐디피 관리 &gt; 캐디 자료 / 신고서 진입
2. 고용보험 입직신고서 탭 선택
3. 제공 정보 확인</t>
  </si>
  <si>
    <r>
      <rPr>
        <rFont val="Arial"/>
        <color theme="1"/>
      </rPr>
      <t xml:space="preserve">1. 고용보험 입직신고서 페이지 제공됨
 - 검색 필터 영역
 - [불러오기] / [초기화] 버튼
 - [엑셀 다운] 버튼
 - 리스트 영역
</t>
    </r>
    <r>
      <rPr>
        <rFont val="Arial"/>
        <b/>
        <color theme="1"/>
      </rPr>
      <t xml:space="preserve"> * 디폴트 값으로 미검색 상태의 페이지 제공됨</t>
    </r>
  </si>
  <si>
    <t>1. 보험구분 영역이 제공됨
 - Default : 3
2. 보험구분 입력 가능함
 - 정수만 입력 가능</t>
  </si>
  <si>
    <t>1. 직종부호 영역 제공됨
 - Default : 959
2. 직종부호 입력 가능함
 - 숫자만 입력 가능
 - 최대 5자리 입력 가능</t>
  </si>
  <si>
    <t>월평균보수</t>
  </si>
  <si>
    <t>1. 월평균보수 영역 확인
2. 월평균보수 입력</t>
  </si>
  <si>
    <t>1. 월평균보수 영역이 제공됨
 - Default : 2699994
2. 월평균보수 입력 가능함
 - 정수만 입력 가능</t>
  </si>
  <si>
    <t>캐디 선택</t>
  </si>
  <si>
    <t>1. 캐디 선택 영역 확인
2. 캐디 입력</t>
  </si>
  <si>
    <t>1. 캐디 선택 영역이 제공됨
2. 캐디 입력이 가능함</t>
  </si>
  <si>
    <t>1. 동명이인 : X
2. 캐디명 : 박경선</t>
  </si>
  <si>
    <t>1. 캐디명 입력 : 박경
2. Enter</t>
  </si>
  <si>
    <r>
      <rPr>
        <rFont val="Arial"/>
        <color theme="1"/>
      </rPr>
      <t xml:space="preserve">1. 캐디 검색 </t>
    </r>
    <r>
      <rPr>
        <rFont val="Arial"/>
        <strike/>
        <color theme="1"/>
      </rPr>
      <t>불가 함</t>
    </r>
    <r>
      <rPr>
        <rFont val="Arial"/>
        <color theme="1"/>
      </rPr>
      <t xml:space="preserve"> 가능함 (부분 검색 가능)
</t>
    </r>
    <r>
      <rPr>
        <rFont val="Arial"/>
        <strike/>
        <color theme="1"/>
      </rPr>
      <t xml:space="preserve"> - 캐디 리스트에 등록된 캐디명과 일치해야 검색 가능</t>
    </r>
  </si>
  <si>
    <t>1. 캐디명 입력 : 박경선
2. Enter</t>
  </si>
  <si>
    <t>1. 캐디 검색되어 인풋 박스에 뱃지로 제공됨
 - 박경선[X]</t>
  </si>
  <si>
    <t>1. 보험구분 : 미입력
2. 직종부호 : 미입력
3. 월평균보수 : 미입력
4. 캐디선택 : 미선택</t>
  </si>
  <si>
    <t>1. 불러오기 불가하며 얼럿 노출 됨
 - 문구 : 캐디를 1명 이상 선택해주세요.</t>
  </si>
  <si>
    <t>1. 보험구분 : 미입력
2. 직종부호 : 미입력
3. 월평균보수 : 입력
4. 캐디선택 : 미선택</t>
  </si>
  <si>
    <t>1. 보험구분 : 미입력
2. 직종부호 : 미입력
3. 월평균보수 : 미입력
4. 캐디선택 : 선택</t>
  </si>
  <si>
    <t>1. 불러오기 불가하며 얼럿 노출 됨
 - 문구 : 월평균보수를 입력해주세요.</t>
  </si>
  <si>
    <t>1. 보험구분 : 미입력
2. 직종부호 : 미입력
3. 월평균보수 : 입력
4. 캐디선택 : 선택</t>
  </si>
  <si>
    <t>1. 불러오기 가능하며, 리스트 제공됨
 * 필수 입력 값 : 월평균보수, 캐디 선택</t>
  </si>
  <si>
    <t>1. 보험구분 : 입력
2. 직종부호 : 입력
3. 월평균보수 : 입력
4. 캐디선택 : 선택</t>
  </si>
  <si>
    <t>1. [엑셀 다운] 버튼 활성화로 제공됨
2. 정상적으로 엑셀 다운로드 됨
3. 파일 확인 시 동일한 컬럼 값으로 제공됨</t>
  </si>
  <si>
    <t>1. 리스트 영역이 제공됨
 - 보험구분(0:전체/1:산재/3:고용) / 주민(외국인)등록번호 / 성명 / 월평균 보수 / 취득일 / 직종부호</t>
  </si>
  <si>
    <t>1. 선택된 캐디명이 제공됨</t>
  </si>
  <si>
    <t>월평균 보수</t>
  </si>
  <si>
    <t>1. 월평균보수 입력된 상태</t>
  </si>
  <si>
    <t>1. 월평균 보수</t>
  </si>
  <si>
    <t>1. 입력한 월평균보수가 제공됨</t>
  </si>
  <si>
    <t>1. 취득일 확인</t>
  </si>
  <si>
    <t>1. 캐디 등록 시 입력한 자격취득일 숫자 8자리 제공됨
 - ex) 1234-56-78</t>
  </si>
  <si>
    <t>?</t>
  </si>
  <si>
    <t>QA-13163</t>
  </si>
  <si>
    <t>기획 변경 : 페이지네이션 X
구현되는거 보고 체크</t>
  </si>
  <si>
    <t>기획 변경 : 페이지네이션 X</t>
  </si>
  <si>
    <t>1. 배토 관리
2. 배토 기록 조회 선택 후 확인</t>
  </si>
  <si>
    <t>1. 배토 기록 조회 페이지 제공
 - 설명 영역
 - 검색조건 영역
 - 검색기능 영역
 - 기록조회 테이블</t>
  </si>
  <si>
    <t>설명 영역</t>
  </si>
  <si>
    <t>타이틀</t>
  </si>
  <si>
    <t>1. 타이틀 확인</t>
  </si>
  <si>
    <t>1. 타이틀 제공
 - 타이틀 : 배토 기록 조회</t>
  </si>
  <si>
    <t>배토기록조회_1</t>
  </si>
  <si>
    <t>1. 안내 문구 제공
 - 문구 : 캐디들이 태블릿 앱으로 배토모드를 통해 입력한 배토기록을 조회할 수 있습니다.</t>
  </si>
  <si>
    <t>검색조건 영역</t>
  </si>
  <si>
    <t>1. 검색조건 영역 확인</t>
  </si>
  <si>
    <t>1. 검색조건 영역 제공
 - 조회기간
 - [초기화] | [적용] 버튼</t>
  </si>
  <si>
    <t>배토기록조회_2</t>
  </si>
  <si>
    <t>1. 조회 기간 확인</t>
  </si>
  <si>
    <t>1. 조회 기간 제공
 - 기본값 : 30일 전 ~ 현재일</t>
  </si>
  <si>
    <t>배토기록조회_2-1</t>
  </si>
  <si>
    <t>1. 조회 기간 1년 초과로 변경 후 확인</t>
  </si>
  <si>
    <t>1. 토스트 팝업 발생 됨
 - 문구 : 1년 이상의 기간은 검색되지 않습니다.
2. 조회 기간은 최대 365일까지만 제한 됨</t>
  </si>
  <si>
    <t>1. 검색 조건 변경한 상태</t>
  </si>
  <si>
    <t>1. 검색 조건 기본 값으로 변경 됨</t>
  </si>
  <si>
    <t>1. [초기화] 버튼 선택
2. [적용] 버튼 선택</t>
  </si>
  <si>
    <t>1. 배토 기록 조회 테이블 기본값으로 제공 됨</t>
  </si>
  <si>
    <t>1. 배토 기록 조회 테이블에 제공 됨</t>
  </si>
  <si>
    <t>검색기능 영역</t>
  </si>
  <si>
    <t>1. 검색 기능 영역 확인</t>
  </si>
  <si>
    <t>1. 검색 기능 영역 제공
 - 작업자 선택 [캐디선택] 드롭다운</t>
  </si>
  <si>
    <t>배토기록조회_3</t>
  </si>
  <si>
    <t>작업자 선택</t>
  </si>
  <si>
    <t>1. 비활성화 상태의 캐디 있음</t>
  </si>
  <si>
    <t>1. 작업자 선택 확인 및 선택
2. 옵션 확인</t>
  </si>
  <si>
    <t>1. 작업자 선택 기본값 : "전체" 로 제공
2. 등록된 캐디 옵션으로 제공 됨
3. 옵션에 활성화된 캐디만 제공 됨 
4. 비활성화 캐디 비제공 됨</t>
  </si>
  <si>
    <t>1. 활성화된 캐디 있음</t>
  </si>
  <si>
    <t>1. 작업자 선택
2. 옵션에서 캐디 선택</t>
  </si>
  <si>
    <t>1. 선택된 캐디명 제공
2. 배토 기록 조회 테이블에 반영되어 적용</t>
  </si>
  <si>
    <t>기록조회 테이블 영역</t>
  </si>
  <si>
    <t>1. 배토기록조회 테이블 확인</t>
  </si>
  <si>
    <t>1. 배토기록조회 테이블 제공
 - 총 n건
 - No.
 - 캐디
 - 시작시간
 - 종료시간
 - 작업 경로
 * No. 컬럼: 내림차순 번호 부여</t>
  </si>
  <si>
    <t>배토기록조회_4</t>
  </si>
  <si>
    <t>no result</t>
  </si>
  <si>
    <t>1. 안내 문구 제공
 - 문구 : 배토 기록이 없습니다.</t>
  </si>
  <si>
    <t>총 건수</t>
  </si>
  <si>
    <t>1. 총 건수 확인</t>
  </si>
  <si>
    <t>1. 총 건수 제공
 - 총 n건</t>
  </si>
  <si>
    <t>정렬</t>
  </si>
  <si>
    <t>1. 테이블 정렬 확인</t>
  </si>
  <si>
    <t>1. 시작시간 내림차순으로 조회되어 제공</t>
  </si>
  <si>
    <t>보기</t>
  </si>
  <si>
    <t>1. 작업 경로 컬럼 &gt; [보기] 선택</t>
  </si>
  <si>
    <t>1. '작업경로 보기' 팝업 발생 됨</t>
  </si>
  <si>
    <t>작업경로 보기 팝업</t>
  </si>
  <si>
    <t>1. 작업경로 보기 팝업 확인</t>
  </si>
  <si>
    <t>1. 작업경로 보기 팝업 제공
 - 타이틀 | 작업자 : $캐디명$ | [닫기]
 - 좌측 작업 정보
 - 우측 코스 맵</t>
  </si>
  <si>
    <t>1. 작업경로 보기 팝업 닫힘</t>
  </si>
  <si>
    <t>1. 타이틀 확인
 - 타이틀 : 작업경로 보기</t>
  </si>
  <si>
    <t>작업 정보</t>
  </si>
  <si>
    <t>1. 좌측 작업 정보 확인</t>
  </si>
  <si>
    <t>1. '작업자 명' 레이블 하단: $캐디명$
2. '작업시간' 레이블 하단: HH:MM:SS
3. '이동거리' 레이블 하단: km 단위
4. '상태' 레이블 하단: $작업 상태$</t>
  </si>
  <si>
    <t>작업 정보_상태</t>
  </si>
  <si>
    <t>1. 좌측 작업 정보 &gt; 상태 확인</t>
  </si>
  <si>
    <t>1. 상태 제공 ??</t>
  </si>
  <si>
    <t>코스 맵</t>
  </si>
  <si>
    <t>1. 우측 코스 맵 확인</t>
  </si>
  <si>
    <t>1. 골프 코스 맵 이미지 정상 제공
2. 코스명 레이블 노출
 - e. g. WEST 코스, EAST 코스
3. 작업 경로 코스맵 위에 오버레이 노출</t>
  </si>
  <si>
    <t>1. 테이블 리스트 10건 초과</t>
  </si>
  <si>
    <t>1. 페이지네이션 처리되어 리스트 제공 됨
 - 리스트 20개까지 노출
 - [이전][1][2][다음]</t>
  </si>
  <si>
    <t>1. 페이지 번호 선택</t>
  </si>
  <si>
    <t>1. 페이지 이동되어 리스트 노출 됨</t>
  </si>
  <si>
    <t xml:space="preserve"> 배토 통계</t>
  </si>
  <si>
    <t>1. 배토 관리
2. 배토 통계 선택 후 확인</t>
  </si>
  <si>
    <t>1. 배토 통계 페이지 제공
 - 설명 영역
 - 검색조건 영역
 - 카드 요약 영역
 - 작업자 통계 그래프
 - 작어자 통계 표</t>
  </si>
  <si>
    <t>1. 타이틀 제공
 - 타이틀 : 배토 통계</t>
  </si>
  <si>
    <t>배토 통계_1</t>
  </si>
  <si>
    <t>1. 안내 문구 제공
 - 문구 : 배토 작업자 수, 작업 시간과 관련된 통계를 확인할 수 있습니다. 일별 또는 월별 기준으로 표와 그래프를 함께 확인할 수 있으며, 엑셀 변환도 가능합니다.</t>
  </si>
  <si>
    <t>검색 조건 영역</t>
  </si>
  <si>
    <t>1. 검색조건 영역 제공
 - 조회기간
 - 필터 버튼
 - [초기화] | [적용] 버튼</t>
  </si>
  <si>
    <t>배토 통계_2</t>
  </si>
  <si>
    <t>1. 조회 기간 제공
 - 기본값 : 전월 1일 ~ 전월 말일</t>
  </si>
  <si>
    <t>배토 통계_2-1</t>
  </si>
  <si>
    <t>1. 오류 팝업 발생 됨??
2. 조회 기간은 최대 ?</t>
  </si>
  <si>
    <t>1. 필터 버튼 확인</t>
  </si>
  <si>
    <t xml:space="preserve">1. 필터 버튼 제공
 - [작업자] (기본값) | [작업시간]
 - [일별] (기본값) | [월별] </t>
  </si>
  <si>
    <t>1. 버튼 선택</t>
  </si>
  <si>
    <t>1. 선택 버튼 눌림처리되어 제공 됨</t>
  </si>
  <si>
    <t>배토 통계_2-2</t>
  </si>
  <si>
    <t>1. 카드요약, 통계그래프, 표에 모두 기본값으로 제공 됨</t>
  </si>
  <si>
    <t>1. 검색 조건에 따른 결과가 카드요약, 통계그래프, 표에 반영되어 제공</t>
  </si>
  <si>
    <t>카드 요약 영역</t>
  </si>
  <si>
    <t>1. 카드 요약 영역 확인</t>
  </si>
  <si>
    <t>1. 카드 요약 영역 제공
 - 일별 총 작업자 수
 - 일별 평균 작업자 수
 - 최대 작업자 수
 - 최소 작업자 수</t>
  </si>
  <si>
    <t>배토 통계_3</t>
  </si>
  <si>
    <t>1. 검색 결과 없음</t>
  </si>
  <si>
    <t>1. 각 카드별 작업자 수 '0' 으로 제공 됨</t>
  </si>
  <si>
    <t>1. 검색조건
 - 작업자, 일별 탭 선택</t>
  </si>
  <si>
    <t>1. 카드 요약 확인</t>
  </si>
  <si>
    <t>1. 작업자, 일별 인 경우 카드 정보 제공
 * 일별 총 작업자 수
 - 조회기간동안의 일별 총 작업자수 합계
 - 조회기간 기준 누적 표시
 * 일별 평균 작업자 수
 - 조회기간 동안의 일별 평균 작업자 수
 - 소수점 1자리까지 반올림
 * 최대 작업자 수
 - 조회 기간 내에 최대 작업자 수 표시
 - 최대 작업자 수였던 날짜 표시
 * 최소 작업자 수
 - 조회 기간 내에 최소 작업자 수 표시
 - 최소 작업자 수였던 날짜 표시</t>
  </si>
  <si>
    <t>1. 검색조건
 - 작업자, 월별 탭 선택</t>
  </si>
  <si>
    <t>1. 작업자, 월별 인 경우 카드 정보 제공</t>
  </si>
  <si>
    <t>1. 검색조건
 - 작업시간, 일별 탭 선택</t>
  </si>
  <si>
    <t>1. 작업시간, 일별 인 경우 카드 정보 제공</t>
  </si>
  <si>
    <t>1. 검색조건
 - 작업시간, 월별 탭 선택</t>
  </si>
  <si>
    <t>1. 작업시간, 월별 인 경우 카드 정보 제공</t>
  </si>
  <si>
    <t>작업자 통계 그래프 영역</t>
  </si>
  <si>
    <t>1. 작업자 통계 그래프 영역 확인</t>
  </si>
  <si>
    <t>1. 작업자 통계 그래프 영역 제공
 - 타이틀: 작업자 통계 그래프
 - 안내 문구 : $일/월$별 기준 작업자 수 추이입니다.
 - 우측 상단 레이블 제공
 - 그래프 제공</t>
  </si>
  <si>
    <t>배토 통계_4</t>
  </si>
  <si>
    <t>1. 안내 문구 제공 됨
 - 문구 : 통계 데이터가 없습니다.</t>
  </si>
  <si>
    <t>통계 그래프</t>
  </si>
  <si>
    <t>1. 우측 상단 레이블 확인
2. 그래프 영역 &gt; 정보 확인</t>
  </si>
  <si>
    <t>1. 우측 상단 레이블 제공
 - 기준 : 일별
 - 항목 : 작업자 수
2. 작업자, 일별 인 경우 그래프 제공</t>
  </si>
  <si>
    <t>1. 우측 상단 레이블 제공
 - 기준 : 월별
 - 항목 : 작업자 수
2. 작업자, 월별 인 경우 그래프 제공</t>
  </si>
  <si>
    <t>1. 우측 상단 레이블 제공
 - 기준 : 일별
 - 항목 : 작업시간
2. 작업자, 일별 인 경우 그래프 제공</t>
  </si>
  <si>
    <t>1. 우측 상단 레이블 제공
 - 기준 : 월별
 - 항목 : 작업시간
2. 작업자, 월별 인 경우 그래프 제공</t>
  </si>
  <si>
    <t>작업자 통계
표 영역</t>
  </si>
  <si>
    <t>1. 작업자 통계 표 영역 확인</t>
  </si>
  <si>
    <t>1. 작업자 통계 표 영역 제공
 - 타이틀 : 작업자 통계 표
 - 안내 문구 : $일/월$별 기준 상세 데이터입니다.
 - [내보내기] 버튼
 - 표 제공</t>
  </si>
  <si>
    <t>배토 통계_5</t>
  </si>
  <si>
    <t>1. 검색 결과 있음</t>
  </si>
  <si>
    <t>1. 현재 통계 표에 조회된 결과 기준 엑셀 파일 다운로드 됨</t>
  </si>
  <si>
    <t>통계 표</t>
  </si>
  <si>
    <t>1. 통계 표 확인</t>
  </si>
  <si>
    <t>1. 통계 표 제공
 - No
 - 일자
 - 작업자 수
 - 작업시간 합계
 - 평균 작업시간</t>
  </si>
  <si>
    <t>1. 통계 정보 확인</t>
  </si>
  <si>
    <t>1. 작업자, 일별 인 경우의 통계 표 제공
2. 작업시간, 평균 작업시간 컬럼 소수점 한 자리까지 반올림하여 제공</t>
  </si>
  <si>
    <t>1. 작업자, 월별 인 경우의 통계 표 제공
2. 작업시간, 평균 작업시간 컬럼 소수점 한 자리까지 반올림하여 제공</t>
  </si>
  <si>
    <t>1. 작업시간, 일별 인 경우의 통계 표 제공
2. 작업시간, 평균 작업시간 컬럼 소수점 한 자리까지 반올림하여 제공</t>
  </si>
  <si>
    <t>1. 작업시간, 월별 인 경우의 통계 표 제공
2. 작업시간, 평균 작업시간 컬럼 소수점 한 자리까지 반올림하여 제공</t>
  </si>
  <si>
    <t>업데이트</t>
  </si>
  <si>
    <t>1. 통계표 업데이트 확인</t>
  </si>
  <si>
    <t>1. 실시간 업데이트 되어 제공</t>
  </si>
  <si>
    <t>1. 식음 관리
2. 버전 업데이트 선택 후 확인</t>
  </si>
  <si>
    <t>1. 버전 업데이트 페이지 제공
 - 설명 영역
 - F&amp;B 데이트 연동
 - POS 연동</t>
  </si>
  <si>
    <t>1. 타이틀 제공
 - 타이틀 : 버전 업데이트</t>
  </si>
  <si>
    <t>1. 안내 문구 제공
 - 문구 : 식음관리(F&amp;B) 변경사항과 POS 연동 정보를 태블릿에 반영할 수 있습니다. </t>
  </si>
  <si>
    <t>F&amp;B 데이터 연동 영역</t>
  </si>
  <si>
    <t>1. F&amp;B 데이트 연동 영역 확인</t>
  </si>
  <si>
    <t>1. F&amp;B 데이트 연동 영역 제공
 - 타이틀 : 식음관리(F&amp;B) 데이터 연동
 - 서브타이틀 : 식당 관리, 상품 등록/관리 등 식음관리 화면에서 변경한 정보를 태블릿 메뉴에 반영합니다.
 - 안내 박스
 - 현재버전
 - [F&amp;B 데이터 동기화] 버튼</t>
  </si>
  <si>
    <t>안내 박스</t>
  </si>
  <si>
    <t>1. 안내 박스 확인</t>
  </si>
  <si>
    <t>1. 안내 박스 영역 문구 제공
 - 1. 식당 정보, 메뉴 구성, 상품 기본 정보 변경사항을 반영합니다.
 - 2. 태블릿에서 노출되는 식음 메뉴 구성을 최신 상태로 맞춥니다.</t>
  </si>
  <si>
    <t>현재버전</t>
  </si>
  <si>
    <t>1. 현재버전 확인</t>
  </si>
  <si>
    <t>1. 현재 반영된 버전 제공
 - 현재버전 : $nnn$▲1</t>
  </si>
  <si>
    <t>F&amp;B 데이터 동기화</t>
  </si>
  <si>
    <t>1. 식당관리, 상품등록 관리에서 메뉴 업데이트한 상태</t>
  </si>
  <si>
    <t>1. [F&amp;B 데이터 동기화] 버튼 선택</t>
  </si>
  <si>
    <t>1. 데이터 동기화 되어 제공
 * 태블릿 F&amp;B 에서 확인 가능</t>
  </si>
  <si>
    <t>POS 연동 영역</t>
  </si>
  <si>
    <t>1. POS 연동 영역 확인</t>
  </si>
  <si>
    <t>1. POS 연동 영역 제공
 - 타이틀 : POS 메뉴 동기화
 - 서브타이틀 : 스마트스코어 ERP에서 관제어드민의 품목을 연동한 내용을 업데이트합니다.
 - 안내 박스
 - [POS 메뉴 동기화] 버튼</t>
  </si>
  <si>
    <t>1. 안내 박스 영역 문구 제공
 - 1. ERP 품목과 관제어드민 품목 간 연동 변경사항을 다시 불러옵니다.
 - 2. ERP 연동 변경사항이 있는 경우 실행합니다.</t>
  </si>
  <si>
    <t>POS 메뉴 동기화</t>
  </si>
  <si>
    <t>1. ERP 에서 메뉴 업데이트한 상태</t>
  </si>
  <si>
    <t>1. [POS 메뉴 동기화] 버튼 선택</t>
  </si>
  <si>
    <t>1. 데이터 동기화 되어 제공
 * 태블릿 F&amp;B(TOS) 에서 확인 가능</t>
  </si>
  <si>
    <t>1. 식음 관리
2. 그늘집 및 TOS 관리 선택 후 확인</t>
  </si>
  <si>
    <t>1. 그늘집 및 TOS 관리 페이지 확인
 - 설명 영역
 - 코스별 기본 그늘집 설정
 - TOS 테이블 종료 시간 설정</t>
  </si>
  <si>
    <t>1. 타이틀 제공
 - 타이틀 : 그늘집 및 TOS 관리</t>
  </si>
  <si>
    <t>1. 안내 문구 제공
 - 문구 : 코스별로 기본 그늘집을 설정해주세요. 태블릿에서 음식 주문 시, 설정된 그늘집이 먼저 보여집니다.</t>
  </si>
  <si>
    <t>코스별 기본 그늘집 설정</t>
  </si>
  <si>
    <t>1. 코스별 기본 그늘집 설정 확인</t>
  </si>
  <si>
    <t>1. 코스별 기본 그늘집 설정 제공
 - $코스$ | [셀렉트박스]
2. 셀렉트 박스 기본값 : 선택안함</t>
  </si>
  <si>
    <t>1. 식당관리 &gt; 식당 추가 상태</t>
  </si>
  <si>
    <t>1. 셀렉트 박스 선택
2. 옵션 선택</t>
  </si>
  <si>
    <t>1. 추가된 식당명 옵션으로 제공
2. 선택한 옵션으로 제공</t>
  </si>
  <si>
    <t>TOS 테이블 종료 시간 설정</t>
  </si>
  <si>
    <t>1. TOS 테이블 종료 시간 설정 확인</t>
  </si>
  <si>
    <t xml:space="preserve">1. TOS 테이블 종료 시간 설정 제공
 - 안내 문구
 - $식당명$ | [셀렉트박스] </t>
  </si>
  <si>
    <t>안내문구</t>
  </si>
  <si>
    <t>1. 안내 문구 제공
 - 문구 : 주문 후 (설정 한 시간) 이 지나면 테이블을 자동 종료합니다. (설정 한 시간) 이후 주문 시 라운드 정보를 다시 선택합니다.</t>
  </si>
  <si>
    <t>1. 기본값 : 선택안함 으로 제공
2. 10 분 단위로 옵션 제공
3. 선택한 옵션으로 제공</t>
  </si>
  <si>
    <t>1. 식음 관리
2. 식당 관리 선택 후 확인</t>
  </si>
  <si>
    <t>1. 식당 관리 페이지 제공
 - 설명 영역
 - 좌측 식당 리스트
 - 우측 메뉴 리스트</t>
  </si>
  <si>
    <t>1. 타이틀 제공
 - 타이틀 : 식당 관리</t>
  </si>
  <si>
    <t>1. 안내 문구 제공
 - 문구 : 운영 중인 식당을 생성 및 관리할 수 있습니다.
식당을 선택하여 판매할 메뉴를 관리할 수 있습니다.</t>
  </si>
  <si>
    <t>식당 리스트 영역</t>
  </si>
  <si>
    <t>1. 좌측 식당 리스트 영역 확인</t>
  </si>
  <si>
    <t>1. 식당 리스트 제공
 - [+식당 추가]
 - 아이콘 설명
 - 리스트</t>
  </si>
  <si>
    <t>식당 추가</t>
  </si>
  <si>
    <t>1. [식당 추가+] 버튼 선택</t>
  </si>
  <si>
    <t>1. 식당 추가 팝업 발생 됨</t>
  </si>
  <si>
    <t>식당 추가 팝업</t>
  </si>
  <si>
    <t>1. 식당 타입 미선택 상태</t>
  </si>
  <si>
    <t>1. 식당 추가 팝업 확인</t>
  </si>
  <si>
    <t>1. 식당 추가 팝업 제공
 - 타이틀: 식당 추가
 - 식당명 * (필수)
 - 식당타입 * 
 - 하단 버튼: [취소] [등록]
2. 식당타입 항목 아래로 Dim처리로 제공
 - 문구 : 테이블오더(TOS) 타입의 경우 입력 할 수 있습니다.</t>
  </si>
  <si>
    <t>식당명</t>
  </si>
  <si>
    <t>1. 한/영, 숫자, 특수문자, 공백</t>
  </si>
  <si>
    <t>1. 식당명 확인 및 입력</t>
  </si>
  <si>
    <t xml:space="preserve">1. 식당명 필수값으로 제공
2. placeholder : 식당명을 입력하세요.
3. 텍스트 입력하면 플레이스홀더 제거 됨
4. 입력된 내용으로 노출 됨
 * 기존에 공백으로도 저장 됨.. </t>
  </si>
  <si>
    <t>식당타입</t>
  </si>
  <si>
    <t>1. 식당타입 확인 및 선택</t>
  </si>
  <si>
    <t xml:space="preserve">1. 식당타입 필수값으로 제공
2. 옵션 제공 됨
 - 체크박스: 테이블오더 / 그늘집
3. 다중 선택 제공 </t>
  </si>
  <si>
    <t>1. 식당타입 다중 선택</t>
  </si>
  <si>
    <t>1. 아래 항목 모두 활성화되어 제공</t>
  </si>
  <si>
    <t>운영시간</t>
  </si>
  <si>
    <t>1. 식당타입 : 그늘집 선택</t>
  </si>
  <si>
    <t>1. 운영시간 확인 및 선택</t>
  </si>
  <si>
    <t>1. 운영시간 필수값으로 제공
 - 옵션 : 항상(기본값), 시간설정
 - 라디오 버튼으로 제공
2. 테이블 번호 영역: 비활성
 - 그늘집 단독 선택 시 테이블오더 미선택</t>
  </si>
  <si>
    <t>1. 운영시간 &gt; 시간설정 선택</t>
  </si>
  <si>
    <t>1. 안내 문구 제공
 - 문구 : ※ 설정된 시간에만 캐디앱에 노출됩니다.
2. 운영시간 입력 필드 노출 됨
 - 오전 | 오후</t>
  </si>
  <si>
    <t>1. 운영시간 &gt; 시간설정 선택
2. 시간 설정 변경</t>
  </si>
  <si>
    <t>1. 설정된 시간으로 노출 됨
 * 태블릿에서 해당 운영시간에만 제공되는지 확인 필요</t>
  </si>
  <si>
    <t>1. 운영시간 &gt; 항상 선택</t>
  </si>
  <si>
    <t>1. 시간 설정 입력 영역 미노출</t>
  </si>
  <si>
    <t>관리자코드</t>
  </si>
  <si>
    <t>1. 식당타입 : 테이블오더 선택
2. 한/영, 숫자, 특수문자, 공백</t>
  </si>
  <si>
    <t>1. 관리자코드 확인 및 입력</t>
  </si>
  <si>
    <t xml:space="preserve">1. 관리자코드 필수값으로 제공
2. placeholder : 숫자 6자리를 입력하세요.
3. 텍스트 입력하면 플레이스홀더 제거 됨
4. 숫자만 입력 됨
5. 안내 문구 제공 됨
 - • 태블릿의 관리자모드 진입코드를 생성하세요.
 * 기존에 공백으로도 저장 됨.. </t>
  </si>
  <si>
    <t>1. 관리자코드 6자리 초과 입력</t>
  </si>
  <si>
    <t>1. 최대 6자리까지만 입력 됨</t>
  </si>
  <si>
    <t>그늘집 대기호출</t>
  </si>
  <si>
    <t>1. 식당타입 : 테이블오더 선택</t>
  </si>
  <si>
    <t>1. 그늘집 대기호출 확인 및 선택</t>
  </si>
  <si>
    <t>1. 그늘집 대기호출 영역 필수값으로 제공
2. 옵션 : 사용, 사용안함(기본값)
3. 라디오 버튼으로 제공
 * 사용함으로 하면.. 어케 될까??</t>
  </si>
  <si>
    <t>1. 그늘집 대기호출 &gt; 사용 으로 변경</t>
  </si>
  <si>
    <t>1. 태블릿에서 어케 나올까?</t>
  </si>
  <si>
    <t>테이블 번호</t>
  </si>
  <si>
    <t>1. 테이블 번호 확인</t>
  </si>
  <si>
    <t>1. 테이블번호 필수값으로 제공
2. 테이블 번호 영역: '총 0개' 표시
3. [추가 +] 버튼 노출
4. 테이블 번호 목록: 비어 있음</t>
  </si>
  <si>
    <t>1. 테이블 번호 &gt; [추가+] 선택</t>
  </si>
  <si>
    <t>1. 테이블 번호 영역: '총 n개' 표시
2. 테이블 번호 입력필드 제공
3. placeholder : 테이블명 (예:1번)
4. [-] 버튼 제공</t>
  </si>
  <si>
    <t>1. 100개 초과하여 추가</t>
  </si>
  <si>
    <t>1. 최대 100개까지만 추가되어 제공</t>
  </si>
  <si>
    <t>메타모스트 요건 변경</t>
  </si>
  <si>
    <t>1. 테이블명 입력
2. [-] 버튼 선택</t>
  </si>
  <si>
    <t>1. 숫자만 입력되어 제공
2. 입력필드 제거 됨</t>
  </si>
  <si>
    <t>취소</t>
  </si>
  <si>
    <t>1. [취소] 선택</t>
  </si>
  <si>
    <t>1. 식당 추가 팝업 닫힘</t>
  </si>
  <si>
    <t>등록</t>
  </si>
  <si>
    <t>1. 식당타입 : 그늘집으로 선택</t>
  </si>
  <si>
    <t>1. [등록] 선택</t>
  </si>
  <si>
    <t>1. 식당 리스트 영역에 추가되어 제공
 * 태블릿 &gt; 음식주문 에서 확인 가능</t>
  </si>
  <si>
    <t>1. 식당타입 : 테이블 오더로 선택</t>
  </si>
  <si>
    <t>1. 식당 리스트 영역에 추가되어 제공
2. 아이콘 미표시 (식당명만 노출)
 * TOS 에서 확인 가능</t>
  </si>
  <si>
    <t>1. 식당타입 : 둘다 선택</t>
  </si>
  <si>
    <t>1. 식당 리스트 영역에 추가되어 제공
 * 태블릿, TOS 에서 확인 가능</t>
  </si>
  <si>
    <t>아이콘 설명</t>
  </si>
  <si>
    <t>1. 아이콘 설명 확인
2. 마우스 오버 후 확인</t>
  </si>
  <si>
    <t>1. 아이콘 설명 제공
 - 문구 : ⓘ 그늘집 식당 아이콘 설명
2. 툴팁 제공
 - 툴팁 문구 : 식당리스트에 제공되는 아이콘 설명입니다.
 - [X] 아이콘 없업, 테이블오더만 주문가능 식당
 - [카트] 캐디앱만 주문가능 식당
 - [식당] 테이블오더 및 캐디앱 주문가능 식당</t>
  </si>
  <si>
    <t>리스트_no data</t>
  </si>
  <si>
    <t>1. 등록된 식당 없음</t>
  </si>
  <si>
    <t>1. 리스트 확인</t>
  </si>
  <si>
    <t>1. 안내 문구 제공
 - 문구 : 등록된 식당이 없습니다. ??</t>
  </si>
  <si>
    <t>리스트</t>
  </si>
  <si>
    <t>1. 등록된 식당 있음</t>
  </si>
  <si>
    <t>1. 등록된 식당 리스트 제공
 - $식당명$ | [관리] 버튼</t>
  </si>
  <si>
    <t>1. 리스트 &gt; [관리] 버튼 선택</t>
  </si>
  <si>
    <t>1. 식당 보기/편집 팝업 발생 됨</t>
  </si>
  <si>
    <t>식당 보기/편집 팝업</t>
  </si>
  <si>
    <t>1. 설정된 정보로 팝업 정보 제공
 - [삭제] 버튼 제공
 - 하단 버튼: [취소] [수정]</t>
  </si>
  <si>
    <t>1. 식당 정보 변경 &gt; [취소] 선택</t>
  </si>
  <si>
    <t>1. 변경한 정보 취소 됨
2. 기존 정보 유지 됨</t>
  </si>
  <si>
    <t>1. 식당 정보 변경 &gt; [수정] 선택</t>
  </si>
  <si>
    <t>1. 변경된 정보로 저장되어 제공</t>
  </si>
  <si>
    <t>1. 식당 정보 변경 &gt; [삭제] 선택</t>
  </si>
  <si>
    <t>1. 삭제 컨펌 팝업 발생
 - $식당명$ 을(를) 삭제하시겠습니까?
$식당명$에 등록된 모든 내용이 삭제됩니다.
그래도 삭제하시겠습니까?
 - [취소] | [삭제]</t>
  </si>
  <si>
    <t>1. 삭제 컨펌 팝업 &gt; [취소] 선택</t>
  </si>
  <si>
    <t>1. 삭제 컨펌 팝업 닫힘</t>
  </si>
  <si>
    <t>1. 삭제 컨펌 팝업 &gt; [삭제] 선택</t>
  </si>
  <si>
    <t>1. 식당 삭제 됨
2. 리스트에서 비제공 됨</t>
  </si>
  <si>
    <t>메뉴 리스트 영역</t>
  </si>
  <si>
    <t>1. 식당 미선택 상태</t>
  </si>
  <si>
    <t>1. 메뉴 리스트 영역 확인</t>
  </si>
  <si>
    <t>1. 안내 문구 제공
 - 문구 : 리스트에서 식당을 선택해 주세요.</t>
  </si>
  <si>
    <t>1. 식당 선택 상태</t>
  </si>
  <si>
    <t>1. $식당명$ 노출
2. 검색 영역 제공
3. [상품 등록] [직원호출 메뉴] [선택삭제] 버튼
 - 선택삭제 버튼 비활성화로 제공
4. 안내 문구 제공
  - 상품을 선택하여 상태 및 추천 태그를 관리합니다.
  - 상품을 drag &amp; drop하여 순서를 이동할 수있습니다.
5. 등록된 메뉴 제공</t>
  </si>
  <si>
    <t>1. 식당 선택 상태
 - 등록된 메뉴 없음</t>
  </si>
  <si>
    <t>1. 안내 문구 제공
 - 문구 : 등록된 상품이 없습니다.
상품을 등록하세요.</t>
  </si>
  <si>
    <t>1. 상품 검색 필드 및 [검색] 버튼 노출</t>
  </si>
  <si>
    <t>1. 검색어 입력
2. [검색] 버튼 선택</t>
  </si>
  <si>
    <t>1. 입력한 상품명과 일치하는 상품만 표시
2. 미일치 상품 미노출</t>
  </si>
  <si>
    <t>1. 검색결과 없는 검색어 입력
2. [검색] 버튼 선택</t>
  </si>
  <si>
    <t>상품등록</t>
  </si>
  <si>
    <t>1. [상품등록] 버튼 선택</t>
  </si>
  <si>
    <t>1. 상품 등록 팝업 제공</t>
  </si>
  <si>
    <t>상품 등록 팝업</t>
  </si>
  <si>
    <t>1. 상품 등록 팝업 확인</t>
  </si>
  <si>
    <t>1. 상품 등록 팝업 제공
 - 타이틀 : 상품 등록 | [X] 버튼
 - 검색 영역
 - 등록된 상품 리스트
 - [취소] | [등록] 버튼</t>
  </si>
  <si>
    <t>1. 검색 영역 제공
 - [전체 카테고리] 셀렉트박스
 - 상품명 검색 필드
 - [상품 검색] 버튼</t>
  </si>
  <si>
    <t>1. [전체 카테고리] 셀렉트박스 선택
2. 옵션 선택</t>
  </si>
  <si>
    <t>1. 등록된 카테고리 옵션으로 제공
2. 선택한 옵션으로 제공</t>
  </si>
  <si>
    <t>1. 상품명 확인
2. 상품명 입력</t>
  </si>
  <si>
    <t>1. 상품명 입력필드 제공
2. placeholder : 상품명을 입력하세요.
3. 입력한 상품명으로 제공</t>
  </si>
  <si>
    <t>1. [상품검색] 버튼 선택</t>
  </si>
  <si>
    <t>1. 상품 검색되어 리스트에 제공</t>
  </si>
  <si>
    <t>1. 검색결과 없음</t>
  </si>
  <si>
    <t>1. 안내 문구 제공
 - 문구 : 등록된 상품이 없습니다.</t>
  </si>
  <si>
    <t>1. 등록된 상품 리스트 제공
 - 체크박스
 - No 
 - 썸네일 
 - 카테고리
 - 상품명
 - 가격
 - 조리시간(분)
 - 운영시간</t>
  </si>
  <si>
    <t>1. 이미 식당에 추가된 상품 있음</t>
  </si>
  <si>
    <t>1. 상품 행 비활성화 처리되어 제공</t>
  </si>
  <si>
    <t>취소 / [X]</t>
  </si>
  <si>
    <t>1. [취소] / [X] 버튼 선택</t>
  </si>
  <si>
    <t>1. 상품 등록 팝업 닫힘</t>
  </si>
  <si>
    <t>1. 리트스에서 체크박스 미선택</t>
  </si>
  <si>
    <t>1. 버튼 비활성화로 제공</t>
  </si>
  <si>
    <t>1. 리트스에서 체크박스 선택</t>
  </si>
  <si>
    <t>1. 컨펌 팝업 발생 됨
2. 선택 상품 메뉴 리스트에 추가되어 제공</t>
  </si>
  <si>
    <t>직원호출 메뉴</t>
  </si>
  <si>
    <t>1. [직원호출 메뉴] 버튼 확인</t>
  </si>
  <si>
    <t>1. 버튼 비제공 됨</t>
  </si>
  <si>
    <t>1. 식당타입 : 테이블오더 선택 / 둘다 선택</t>
  </si>
  <si>
    <t>1. [직원호출 메뉴] 버튼 확인 및 선택</t>
  </si>
  <si>
    <t>1. 버튼 제공 됨
2. 직원호출 메뉴 팝업 제공</t>
  </si>
  <si>
    <t>1. [직원호출 메뉴] 버튼 선택</t>
  </si>
  <si>
    <t>1. 직원호출 메뉴 팝업 제공</t>
  </si>
  <si>
    <t>직원호출 메뉴 팝업</t>
  </si>
  <si>
    <t>1. 직원호출 메뉴 팝업 확인</t>
  </si>
  <si>
    <t>1. 직원호출 메뉴 팝업 제공
 - [메뉴추가+] 버튼
 - 안내 문구 : 메뉴를 추가하세요
 - [취소] | [등록] 버튼</t>
  </si>
  <si>
    <t>메뉴추가</t>
  </si>
  <si>
    <t>1. [메뉴추가+] 버튼 선택</t>
  </si>
  <si>
    <t>1. 메뉴명 입력필드 제공
 - placeholder : 메뉴 입력
2. [-] 버튼, 순서 변경 버튼 제공</t>
  </si>
  <si>
    <t>1. 메뉴명 입력
2. [-] 버튼 선택</t>
  </si>
  <si>
    <t>1. 입력한 메뉴명으로 제공
2. 입력한 메뉴 삭제되어 비제공</t>
  </si>
  <si>
    <t>1. 메뉴 2개 이상 추가된 상태</t>
  </si>
  <si>
    <t>1. 순서 버튼 확인
2. 순서 버튼 선택</t>
  </si>
  <si>
    <t>1. 순서버튼 활성화되어 제공
 - 상단은 [▼] 활성 [△] 비활성
 - 두번째는 [▲] 활성 [▽] 비활성 
2. 순성 변경되어 제공</t>
  </si>
  <si>
    <t>1. 직원호출 메뉴 팝업 닫힘</t>
  </si>
  <si>
    <t>1. 등록처리 됨
 * 태블릿으로 가나..??</t>
  </si>
  <si>
    <t>선택삭제</t>
  </si>
  <si>
    <t>1. 메뉴 미선택 상태</t>
  </si>
  <si>
    <t>1. [선택삭제] 버튼 선택</t>
  </si>
  <si>
    <t>1. 메뉴 선택 상태</t>
  </si>
  <si>
    <t>1. 버튼 활성화로 제공
2. 삭제 컨펌 팝업 발생 됨
 - 문구 : 선택한 상품을 삭제하시겠습니까?
 - [취소] | [삭제] 버튼</t>
  </si>
  <si>
    <t>1. 메뉴 삭제 됨
2. 메뉴 리스트에서 비제공 됨</t>
  </si>
  <si>
    <t>등록된 메뉴</t>
  </si>
  <si>
    <t>1. 상품등록 팝업에서 메뉴 등록한 상태</t>
  </si>
  <si>
    <t>1. 등록된 메뉴 확인</t>
  </si>
  <si>
    <t>1. 등록된 메뉴 정보 제공
 - $카테고리명$
 - 체크박스, 이미지 썸네일
 - $메뉴명$
 - n,nnn</t>
  </si>
  <si>
    <t>1. 등록된 메뉴 &gt; 체크박스 선택</t>
  </si>
  <si>
    <t>1. 상태/추천태그 관리 팝업 발생 됨</t>
  </si>
  <si>
    <t>상태/추천태그 관리 팝업</t>
  </si>
  <si>
    <t>1. 상태/추천태그 관리 팝업 확인</t>
  </si>
  <si>
    <t>1. 상태/추천태그 관리 팝업 정보 제공
 - 상품명 비활성화로 제공
 - 추천태그
 - 상태
 - [취소] | [저장] 버튼</t>
  </si>
  <si>
    <t>추천태그</t>
  </si>
  <si>
    <t>1. 상태/추천태그 관리 팝업
2. 추천태그 항목 확인</t>
  </si>
  <si>
    <t>1. 셀렉트 박스로 제공
 - [선택](기본값) | [선택]</t>
  </si>
  <si>
    <t>1. 추천태그 선택</t>
  </si>
  <si>
    <t>1. 등록된 태그 옵션으로 제공
2. 선택한 옵션으로 태그 노출 됨</t>
  </si>
  <si>
    <t>1. 상태/추천태그 관리 팝업
2. 상태 항목 확인</t>
  </si>
  <si>
    <t>1. 상태 항목 라디오 버튼으로 제공
 - 가능, 준비중, 품절, 숨김</t>
  </si>
  <si>
    <t>1. 옵션 선택</t>
  </si>
  <si>
    <t>1. 단일 선택만 가능 함
2. 선택한 옵션으로 제공</t>
  </si>
  <si>
    <t>1. 상태/추천태그 관리 팝업 닫힘</t>
  </si>
  <si>
    <t>1. 추천태그 미선택</t>
  </si>
  <si>
    <t>1. 상태 및 태그 저장되어 제공
 * 선택한 옵션으로 태블릿에 제공</t>
  </si>
  <si>
    <t>1. 식음 관리
2. 상품 등록 관리 선택 후 확인</t>
  </si>
  <si>
    <t>1. 상품 등록 관리 페이지 제공
 - 설명 영역
 - 검색 영역
 - 버튼 영역
 - 등록된 상품 리스트</t>
  </si>
  <si>
    <t>1. 타이틀 제공
 - 타이틀 : 상품 등록 관리</t>
  </si>
  <si>
    <t>1. 안내 문구 제공
 - 문구 : 식당에서 판매할 메뉴의 등록 및 관리를 할 수 있습니다.
메뉴 별 이미지, 가격 등을 설정할 수 있습니다.</t>
  </si>
  <si>
    <t>1. 검색 영역 제공
 - 상품명 검색 필드
 - [검색] 버튼</t>
  </si>
  <si>
    <t>버튼 영역</t>
  </si>
  <si>
    <t>1. 버튼 확인</t>
  </si>
  <si>
    <t>1. 검색 영역 우측에 버튼 제공
 - [선택 삭제] : 비활성화로 제공
 - [원산지 관리]
 - [카테고리 관리]
 - [상품 등록]</t>
  </si>
  <si>
    <t>원산지 관리</t>
  </si>
  <si>
    <t>1. [원산지 관리] 선택</t>
  </si>
  <si>
    <t>1. 원산지 관리 팝업 제공</t>
  </si>
  <si>
    <t>원산지 관리 팝업</t>
  </si>
  <si>
    <t>1. 원산지 관리 팝업 확인</t>
  </si>
  <si>
    <t>1. 원산지 관리 팝업 제공
 - [추가+] 버튼
 - 안내 문구 : 없음
 - [취소] | [등록] 버튼</t>
  </si>
  <si>
    <t>추가</t>
  </si>
  <si>
    <t>1. [추가+] 버튼 선택</t>
  </si>
  <si>
    <t>1. 메뉴명 입력필드 제공
 - placeholder : 원산지 입력
2. [-] 버튼, 순서 변경 버튼 제공</t>
  </si>
  <si>
    <t>1. 원산지 입력
2. [-] 버튼 선택</t>
  </si>
  <si>
    <t>1. 입력한 내용으로 제공
2. 입력한 항목 삭제되어 비제공</t>
  </si>
  <si>
    <t>1. 항목 2개 이상 추가된 상태</t>
  </si>
  <si>
    <t>1. 원산지 관리 팝업 닫힘</t>
  </si>
  <si>
    <t>1. 원산지 미입력</t>
  </si>
  <si>
    <t>1. 원산지 입력</t>
  </si>
  <si>
    <t>1. '등록되었습니다.' 팝업 발생 됨
2. 등록처리되어 팝업 리스트에 제공 됨</t>
  </si>
  <si>
    <t>카테고리 관리</t>
  </si>
  <si>
    <t>1. [카테고리 관리] 선택</t>
  </si>
  <si>
    <t>1. 카테고리 관리 팝업 제공</t>
  </si>
  <si>
    <t>카테고리 관리 팝업</t>
  </si>
  <si>
    <t>1. 카테고리 관리 팝업 확인</t>
  </si>
  <si>
    <t>1. 카테고리 관리 팝업 제공
 - [카테고리 추가+] 버튼
 - 안내 문구 : 없음
 - [취소] | [등록] 버튼</t>
  </si>
  <si>
    <t>카테고리 추가</t>
  </si>
  <si>
    <t>1. [카테고리 추가+] 버튼 선택</t>
  </si>
  <si>
    <t>1. 메뉴명 입력필드 제공
 - placeholder : 메뉴 카테고리 입력
2. [-] 버튼, 순서 변경 버튼 제공</t>
  </si>
  <si>
    <t>1. 카테고리 입력
2. [-] 버튼 선택</t>
  </si>
  <si>
    <t>1. 카테고리 관리 팝업 닫힘</t>
  </si>
  <si>
    <t>1. 카테고리 미입력</t>
  </si>
  <si>
    <t>1. 카테고리 입력</t>
  </si>
  <si>
    <t>상품 등록</t>
  </si>
  <si>
    <t>1. [상품 등록] 선택</t>
  </si>
  <si>
    <t>1. 상품 등록 팝업 제공
 - 타이틀: 상품 등록
 - 메뉴 카테고리 선택 * (드롭다운, 필수)
 - 상품명 * (텍스트 필드, 필수)
 - 사진등록 * (파일 업로드, 필수)
 - 가격 * (숫자 입력, 필수)
 - 조리시간(분) * (드롭다운, 필수)
 - 운영시간 * (라디오버튼, 필수)
 - 설명 (텍스트에리어, 선택)
 - 노출 * (라디오버튼, 필수)
 - 하단 버튼: [취소] [등록]</t>
  </si>
  <si>
    <t>QA-14904</t>
  </si>
  <si>
    <t>메뉴 카테고리 선택</t>
  </si>
  <si>
    <t>1. [메뉴 카테고리 선택] 확인</t>
  </si>
  <si>
    <t>1. [메뉴 카테고리 선택] 필수값으로 제공
 - placeholder : 메뉴 카테고리 선택</t>
  </si>
  <si>
    <t>1. 카테고리 관리에서 등록 완료</t>
  </si>
  <si>
    <t>1. [메뉴 카테고리 선택] 선택
2. 옵션 선택</t>
  </si>
  <si>
    <t>1. 등록된 카테고리명 목록 노출
2. 미등록 카테고리는 미노출
3. 선택한 옵션으로 제공</t>
  </si>
  <si>
    <t>상품명</t>
  </si>
  <si>
    <t>사진등록</t>
  </si>
  <si>
    <t>1. 사진 등록 확인</t>
  </si>
  <si>
    <t>1. 사진등록 항목 필수값으로 제공 
2. [사진선택] [사진 미리보기] 버튼 제공
3. 안내 문구 제공
 - 문구 :  ※ 파일 규격 (760*570픽셀, 1MB 이하 JPG, PNG 파일로 저장)</t>
  </si>
  <si>
    <t>파일 규격 상관없이 등록 됨</t>
  </si>
  <si>
    <t>1. [사진선택] 버튼 선택</t>
  </si>
  <si>
    <t>1. 브라우저 파일 탐색기 팝업 오픈
2. 파일 형식 필터: JPG, PNG 파일만 선택 가능</t>
  </si>
  <si>
    <t>1. 760*570픽셀, 1MB 이하 JPG, PNG 외 파일 선택</t>
  </si>
  <si>
    <t>1. [사진선택] 버튼 선택
2. 파일 탐색기 &gt; 사진 선택</t>
  </si>
  <si>
    <t>1. 등록 불가 팝업 제공
 * 현재는 그냥 등록 됨//</t>
  </si>
  <si>
    <t>1. 760*570픽셀, 1MB 이하 JPG, PNG 파일 선택</t>
  </si>
  <si>
    <t>1. 파일명 또는 선택된 파일 정보 표시
2. [사진 미리보기] 버튼 활성화</t>
  </si>
  <si>
    <t>1. [사진 미리보기] 버튼 선택</t>
  </si>
  <si>
    <t>1. 선택한 이미지 미리보기 팝업 노출
 - 이미지</t>
  </si>
  <si>
    <t>1. 미리보기 팝업
2. 이미지 외 영역 선택</t>
  </si>
  <si>
    <t>1. 이미지 닫힘</t>
  </si>
  <si>
    <t>가격</t>
  </si>
  <si>
    <t>1. 가격 확인
2. 가격 입력</t>
  </si>
  <si>
    <r>
      <rPr>
        <rFont val="Arial"/>
        <color theme="1"/>
      </rPr>
      <t xml:space="preserve">1. 가격항목 필수값으로 제공 
2. 가격 입력필드 제공
 - placeholder : 숫자로 입력하세요.
</t>
    </r>
    <r>
      <rPr>
        <rFont val="Arial"/>
        <strike/>
        <color theme="1"/>
      </rPr>
      <t>3. 숫자만 입력 가능 함</t>
    </r>
    <r>
      <rPr>
        <rFont val="Arial"/>
        <color theme="1"/>
      </rPr>
      <t xml:space="preserve">
4. 입력한 금액으로 제공</t>
    </r>
  </si>
  <si>
    <t>조리시간</t>
  </si>
  <si>
    <t>1. [시간선택] 확인</t>
  </si>
  <si>
    <t>1. [시간선택] 필수값으로 제공
 - placeholder : 시간 선택</t>
  </si>
  <si>
    <t>1. [시간선택] 선택
2. 옵션 선택</t>
  </si>
  <si>
    <t>1. 옵션 리스트 제공
2. 선택한 시간으로 노출 됨</t>
  </si>
  <si>
    <t>1. 운영시간 필수값으로 제공
 - 옵션 : 항상(기본값), 시간설정
 - 라디오 버튼으로 제공</t>
  </si>
  <si>
    <t>1. 운영시간 입력 필드 노출 됨
 - 오전 | 오후</t>
  </si>
  <si>
    <t>설명</t>
  </si>
  <si>
    <t>1. 설명 확인
2. 설명 입력</t>
  </si>
  <si>
    <t>1. 설명 입력필드 제공
2. placeholder : 내용을 입력하세요
3. 입력한 내용으로 제공</t>
  </si>
  <si>
    <t>노출</t>
  </si>
  <si>
    <t>1. 노출 확인 및 선택</t>
  </si>
  <si>
    <t>1. 노출 필수값으로 제공
 - 옵션 : 노출(기본값), 미노출
 - 라디오 버튼으로 제공</t>
  </si>
  <si>
    <t>1. 옵션 &gt; 미노출로 설정</t>
  </si>
  <si>
    <t>1. 상품 미노출로 제공
 * 상품관리 &gt; 상품등록에 메뉴 비제공 됨</t>
  </si>
  <si>
    <t>1. 옵션 &gt; 노출로 설정</t>
  </si>
  <si>
    <t>1. 상품 노출로 제공
 * 상품관리 &gt; 상품등록에 메뉴 제공 됨</t>
  </si>
  <si>
    <t>1. 상품등록 팝업 닫힘</t>
  </si>
  <si>
    <t>1. 필수값 미입력</t>
  </si>
  <si>
    <t>1. 필수값 입력</t>
  </si>
  <si>
    <t>1. 상품 등록되어 리스트에 제공
2. 리스트 최신 항목으로 추가 됨</t>
  </si>
  <si>
    <t>1. 리스트에서 상품 미선택 상태</t>
  </si>
  <si>
    <t>1. 리스트에서 상품 선택 상태</t>
  </si>
  <si>
    <t>1. [선택삭제] 버튼 확인</t>
  </si>
  <si>
    <t>1. 버튼 활성화 되어 제공</t>
  </si>
  <si>
    <t>1. 삭제 컨펌 팝업 발생
 - 문구 : 총 n개 선택한 상품을 삭제하시겠습니까?
레스토랑에 연결된 상품도 모두 삭제됩니다.
 - [취소] | [삭제]</t>
  </si>
  <si>
    <t>1. 상품 삭제되지 않고 유지 됨</t>
  </si>
  <si>
    <t>1. 상품 삭제되어 리스트에서 비노출 됨
 * 태블릿에서도 비제공 됨</t>
  </si>
  <si>
    <t>등록된 상품 리스트</t>
  </si>
  <si>
    <t>1. 등록된 상품 리스트 확인</t>
  </si>
  <si>
    <t>1. 등록된 상품 리스트 제공
 - 체크박스
 - No 
 - 카테고리
 - 가격
 - 조리시간(분)
 - 운영시간
 - 노출</t>
  </si>
  <si>
    <t>상품 선택</t>
  </si>
  <si>
    <t>1. 등록된 상품 리스트
2. 상품 선택</t>
  </si>
  <si>
    <t>1. 상품 등록/관리 팝업 발생</t>
  </si>
  <si>
    <t>상품 등록/관리 팝업</t>
  </si>
  <si>
    <t>1. 상품 등록/관리 팝업 확인</t>
  </si>
  <si>
    <t>1. 기 등록된 상품 정보가 동일하게 제공
2. [삭제] 버튼 제공
3. 하단 [취소] | [수정] 버튼 제공</t>
  </si>
  <si>
    <t>1. 변경된 내역 없음</t>
  </si>
  <si>
    <t>1. [수정] 선택</t>
  </si>
  <si>
    <t>1. 버튼 비활성화 로 제공</t>
  </si>
  <si>
    <t>1. 변경된 내역 있음</t>
  </si>
  <si>
    <t>1. 버튼 활성화 로 제공
2. 변경내역 저장되어 리스트에 제공</t>
  </si>
  <si>
    <t>1. 삭제 컨펌 팝업 발생
 - 문구 : 선택한 상품을 삭제하시겠습니까?
레스토랑에 연결된 상품도 모두 삭제됩니다.
 - [취소] | [삭제]</t>
  </si>
  <si>
    <t>주문내역 관리</t>
  </si>
  <si>
    <t>1. 식음 관리
2. 주문내역 관리 선택 후 확인</t>
  </si>
  <si>
    <t>1. 주문내역 관리 페이지 제공
 - 설명 영역
 - 검색 영역
 - 카드 영역
 - 주문금액 영역
 - 주문랭킹 표
 - 주문 상세 내역 표
 - 하단 버튼 영역</t>
  </si>
  <si>
    <t>1. 타이틀 제공
 - 타이틀 : 주문내역 관리</t>
  </si>
  <si>
    <t>주문내역 관리_1</t>
  </si>
  <si>
    <t>1. 안내 문구 제공
 - 문구 : 주문내역을 관리할 수 있습니다.
식당 별, 기간 별 주문 현황에 대하여 확인 및 엑셀 다운로드가 가능합니다.</t>
  </si>
  <si>
    <t>1. 검색 조건 영역 확인</t>
  </si>
  <si>
    <t>1. 검색 조건 영역 제공
 - 기간 탭 ([일] [주] [월])
 - 조회기간 (From ~ To)
 - 캐디 선택 드롭다운 (기본값: 전체 캐디)
 - 식당 선택 드롭다운 (기본값: 전체 식당)
 - [초기화] [적용] 버튼</t>
  </si>
  <si>
    <t>주문내역 관리_2</t>
  </si>
  <si>
    <t>기간</t>
  </si>
  <si>
    <t>1. 기간 탭 확인
2. 기간 탭 선택</t>
  </si>
  <si>
    <t>1. 선택한 기간에 맞춰 조회기간에 제공
 - 일 : 조회기간이 금일로 셋팅
 - 주 : 조회기간이 금주 일요일~금주토요일까지 셋팅
 - 월 :  조회기간이 금월1일~금월말일로 셋팅</t>
  </si>
  <si>
    <t>주문내역 관리_2-1</t>
  </si>
  <si>
    <t>1. 조회기간 확인
2. 조회기간 선택 후 일자 변경</t>
  </si>
  <si>
    <t>1. 조회기간 제공
 - 기본값 : 30일 전 ~ 현재
 - YYYY-MM-DD ~ YYYY-MM-DD 형식
2. 달력 UI 제공되고 변경된 일자로 제공</t>
  </si>
  <si>
    <t>주문내역 관리_2-2</t>
  </si>
  <si>
    <t>캐디선택</t>
  </si>
  <si>
    <t>1. 캐디 선택 드롭다운 확인
2. 드롭다운 선택 후 확인</t>
  </si>
  <si>
    <t>1. 기본값: 전체 캐디 선택 상태로 제공
2. 옵션 : 전체 캐디 리스트
 * 비활성화 캐디 확인 ??</t>
  </si>
  <si>
    <t>주문내역 관리_2-3</t>
  </si>
  <si>
    <t>1. 옵션에서 캐디 선택</t>
  </si>
  <si>
    <t>1. 선택한 캐디로 노출 됨</t>
  </si>
  <si>
    <t>식당 선택</t>
  </si>
  <si>
    <t>1. 식당 선택 드롭다운 확인
2. 드롭다운 선택 후 확인</t>
  </si>
  <si>
    <t>1. 기본값: '전체 식당' 선택 상태로 제공
2. 옵션: 등록된 식당 목록 노출</t>
  </si>
  <si>
    <t>주문내역 관리_2-4</t>
  </si>
  <si>
    <t>1. 옵션에서 식당 선택</t>
  </si>
  <si>
    <t>1. 선택한 식당명으로 노출 됨</t>
  </si>
  <si>
    <t>1. 변경 내역 있는 경우</t>
  </si>
  <si>
    <t>1. 모든 검색 조건 기본값으로 제공</t>
  </si>
  <si>
    <t>1. 조회기간
 - 1년 초과로 설정한 상태</t>
  </si>
  <si>
    <t>1. 조회 불가 팝업 발생
 - 문구 : 기간 선택은 최대 12개월 이내로 설정하세요.</t>
  </si>
  <si>
    <t>1. 조회기간만 변경 상태</t>
  </si>
  <si>
    <t>1. 설정한 조회기간 기준으로 통계영역에 반영되어 제공
 - 카드 요약 4개 갱신
 - 주문금액 추이 그래프 갱신
 - 캐디별 주문금액 차트 갱신
 - 식당 주문 비중 차트 갱신
 - 주문 랭킹 테이블 갱신
 - 주문 상세 내역 테이블 갱신</t>
  </si>
  <si>
    <t>주문내역 관리_2_부연설명</t>
  </si>
  <si>
    <t>1. 캐디 변경한 상태</t>
  </si>
  <si>
    <t>1. 캐디 기준으로 통계영역에 반영되어 제공
 - 총 주문금액
 - 총 주문건수
 - 평균 주문금액
 - 주문금액 추이
 - 주문상세내역</t>
  </si>
  <si>
    <t>1. 식당 변경한 상태</t>
  </si>
  <si>
    <t>1. 식당 기준으로 통계영역에 반영되어 제공
 - 카드 요약 4개 갱신
 - 주문금액 추이
 - 주문상세내역</t>
  </si>
  <si>
    <t>1. 검색 조건 모두 변경한 상태</t>
  </si>
  <si>
    <t>1. 조건 기준으로 통계영역에 반영되어 제공</t>
  </si>
  <si>
    <t>카드 영역</t>
  </si>
  <si>
    <t>1. 카드형식으로 순서대로 제공 
 - 총 주문금액
 - 총 주문건수
 - 평균 주문금액
 - 주문 TOP 캐디</t>
  </si>
  <si>
    <t>주문내역 관리_3</t>
  </si>
  <si>
    <t>총 주문금액</t>
  </si>
  <si>
    <t>1. 총 주문금액 확인</t>
  </si>
  <si>
    <t>1. 조회기간 내 총 주문금액 합산되어 제공
 - 총 주문금액
 - nn,nnn원
 - 조회기간 동안의 총 주문금액</t>
  </si>
  <si>
    <t>주문내역 관리_3-1</t>
  </si>
  <si>
    <t>총 주문건수</t>
  </si>
  <si>
    <t>1. 총 주문건수 확인</t>
  </si>
  <si>
    <t>1. 조회기간 내 총 주문건수 / 일평균 건수
 - 총 주문건수
 - nn,nnn건
 - 일평균 nn.n건
 * 총 주문건수 = 주문한 음식의 갯수
 * 일평균 &gt; 소수첨 첫째자리까지 표시</t>
  </si>
  <si>
    <t>주문내역 관리_3-2</t>
  </si>
  <si>
    <t>평균 주문금액</t>
  </si>
  <si>
    <t>1. 평균 주문금액 확인</t>
  </si>
  <si>
    <t>1. 건당 평균 결제금액 제공
 - 평균 주문금액
 - nn,nnn건
 - 건 당 평균 결제금액
 * 권한 이슈??</t>
  </si>
  <si>
    <t>주문내역 관리_3-3</t>
  </si>
  <si>
    <t>주문 TOP 캐디</t>
  </si>
  <si>
    <t>1. 주문 TOP 캐디 확인</t>
  </si>
  <si>
    <t>1. 최다 주문금액 캐디명 및 건수/금액 제공
 - 주문 TOP 캐디
 - $캐디명$
 - nn건 / nn,nnn원 ??</t>
  </si>
  <si>
    <t>주문내역 관리_3-4</t>
  </si>
  <si>
    <t>주문금액 영역</t>
  </si>
  <si>
    <t>주문금액 추이</t>
  </si>
  <si>
    <t>1. 주문금액 추이 그래프 확인</t>
  </si>
  <si>
    <t>1. 타이틀 : 주문금액 추이
2. 안내 문구: 조회 기간 내 일자별 주문금액 흐름
3. 범례 : ● 주문금액 ● 주문건수
4. 꺾은선 그래프 2개 (주문금액 / 주문건수)
5. X축 : 조회기간 내 날짜 표시
6. Y축 : 각각 주문금액 / 주문건수 로 표시</t>
  </si>
  <si>
    <t>주문내역 관리_4-1</t>
  </si>
  <si>
    <t>1. 마우스 오버 후 확인</t>
  </si>
  <si>
    <t>1. 상세 정보 제공 됨</t>
  </si>
  <si>
    <t>캐디별 주문금액</t>
  </si>
  <si>
    <t>1. 캐디별 주문금액 그래프 확인</t>
  </si>
  <si>
    <t>1. 타이틀 : 캐디별 주문금액
2. 안내 문구 : 상위 캐디 기준 금액 비교
3. 캐디별 가로 막대 차트 노출
4. 우측 금액 표시 (N천 단위)</t>
  </si>
  <si>
    <t>주문내역 관리_4-2</t>
  </si>
  <si>
    <t>1. 동점인 캐디 있음</t>
  </si>
  <si>
    <t>1. DB 기준으로 5명만 표시 됨</t>
  </si>
  <si>
    <t>식당 주문 비중</t>
  </si>
  <si>
    <t>1. 식당 주문 비중 그래프 확인</t>
  </si>
  <si>
    <t>1. 타이틀 : 식당 주문 비중
2. 안내 문구 : 식당 별 주문금액 구성 비율
3. 도넛 차트 중앙 : 총 주문건수 표시 (nnn / 총 주문건수)
4. 우측 범례: 식당명 + 비율 % 표시</t>
  </si>
  <si>
    <t>주문내역 관리_4-4</t>
  </si>
  <si>
    <t>1. 3위를 초과한 식당 있음</t>
  </si>
  <si>
    <t>1. 범례 확인</t>
  </si>
  <si>
    <t>1. 상위 3위까지의 식당 순위 제공 됨
2. 4위부터는 '기타' 로 묶어 표시 됨</t>
  </si>
  <si>
    <t>주문 랭킹 영역</t>
  </si>
  <si>
    <t>1. 주문 랭킹 표 확인</t>
  </si>
  <si>
    <t>1. 타이틀 : 주문 랭킹
2. 안매 문구 : 캐디별 주문 실적 랭킹과 금액 요약
3. 랭킹 표 제공</t>
  </si>
  <si>
    <t>주문내역 관리_5</t>
  </si>
  <si>
    <t>랭킹 표</t>
  </si>
  <si>
    <t>1. 랭킹 표 정보 확인</t>
  </si>
  <si>
    <t>1. 랭킹 표 정보 제공
 - 순위
 - 캐디명
 - 캐디별명
 - 그늘집명
 - 주문건수
 - 공급가
 - VAT
 - 주문금액
 - 평균주문금액</t>
  </si>
  <si>
    <t>1. 랭킹 표 순위 정렬 확인</t>
  </si>
  <si>
    <t>1. 캐디 순위 별 5위까지 제공</t>
  </si>
  <si>
    <t>주문 상세 내역</t>
  </si>
  <si>
    <t>1. 주문 상세 내역 표 확인</t>
  </si>
  <si>
    <t>1. 타이틀 : 주문 상세 내역
2. 안내 문구 : 개별 주문 건별 상세 정보 조회
2. 상단 우측 집계
 - 총 주문금액 : n원 | 총 주문건수 : n건
3. [내보내기] 버튼
4. 주문 상세 표</t>
  </si>
  <si>
    <t>주문내역 관리_6</t>
  </si>
  <si>
    <t>1. 표 우측 상단에 '총 주문금액' 확인</t>
  </si>
  <si>
    <t>1. 조회 기간 동안의 총 주문금액 제공
 - 총 주문금액 : n원
2. 상단 카드 영역에 '총 주문 금액' 과 일치</t>
  </si>
  <si>
    <t>주문내역 관리_6-1</t>
  </si>
  <si>
    <t>1. 표 우측 상단에 '총 주문건수' 확인</t>
  </si>
  <si>
    <t>1. 조회 기간 동안의 총 주문금액 제공
 - 총 주문건수 : n건
2. 상단 카드 영역에 '총 주문 건수' 와 일치</t>
  </si>
  <si>
    <t>주문내역 관리_6-2</t>
  </si>
  <si>
    <t>주문 상세 표</t>
  </si>
  <si>
    <t>1. 주문 상세 표 정보 확인</t>
  </si>
  <si>
    <t>1. 주문 상세 표 정보 제공
 - No : 내림차순 번호 부여
 - 캐디 : 해당 주문 캐디명
 - 식당 : 주문한 식당명
 - 주문메뉴 : '메뉴명 * 수량' 형식
 - 수량 : 총 주문 수량
 - 주문금액 : 천단위 콤마 숫자
 - 주문일시 : YYYY-MM-DD HH:MM 형식
 - 상태 : 상태 배지 표시</t>
  </si>
  <si>
    <t>1. 주문 상세 표 순위 정렬 확인</t>
  </si>
  <si>
    <t>1. 주문일시 내림차순 으로 정렬
 * 실시간으로 내역상세 제공</t>
  </si>
  <si>
    <t>1. 주문 완료된 상태</t>
  </si>
  <si>
    <t>1. 상태 걸럼 제공
 - 주문완료
 ??</t>
  </si>
  <si>
    <t>1. 페이지네이션 처리되어 리스트 제공 됨
 - 리스트 10개까지 노출
 - [처음][이전][1][2][다음][끝]</t>
  </si>
  <si>
    <t>하단 버튼 영역</t>
  </si>
  <si>
    <t>캐디주문실적</t>
  </si>
  <si>
    <t>1. [캐디주문실적] 버튼 선택</t>
  </si>
  <si>
    <t>1. 캐디주문실적 레이어 팝업 노출</t>
  </si>
  <si>
    <t>주문내역 관리_7-1</t>
  </si>
  <si>
    <t>그늘집 주문내역</t>
  </si>
  <si>
    <t>1. [그늘집 주문내역] 버튼 선택</t>
  </si>
  <si>
    <t>1. 그늘집 주문내역 레이어 팝업 노출</t>
  </si>
  <si>
    <t>주문내역 관리_7-2</t>
  </si>
  <si>
    <t>캐디주문실적 팝업</t>
  </si>
  <si>
    <t>정보 제공</t>
  </si>
  <si>
    <t>1. 캐디주문실적 팝업 확인</t>
  </si>
  <si>
    <t>1. 캐디주문실적 팝업 제공
 - 타이틀 : 캐디주문실적
 - 안내 문구
 - 검색 영역 | [엑셀 다운로드] 버튼
 - 주문 랭킹 카드 영역
 - 요약 카드
 - 상세 테이블
 - [닫기] 버튼</t>
  </si>
  <si>
    <t>주문내역 관리_8</t>
  </si>
  <si>
    <t>1. 안내 문구 빨간색 으로 제공
 - 문구 :  : 이 기능은 2026년 12월 31일까지만 제공 됩니다.</t>
  </si>
  <si>
    <t>1. 검색 영역 제공
 - From~To / [검색] [초기화]</t>
  </si>
  <si>
    <t>1. 조회기간 기본값 확인</t>
  </si>
  <si>
    <t>1. 조회 기간 동안의 날짜가 노출 됨
 - YYYY-MM-DD ~ YYYY-MM-DD</t>
  </si>
  <si>
    <t>1. 조회기간 변경 후 [초기화] 버튼 선택</t>
  </si>
  <si>
    <t>1. 조회기간 기본값으로 변경되어 제공</t>
  </si>
  <si>
    <t>1. 조회기간 변경 후 [검색] 버튼 선택</t>
  </si>
  <si>
    <t>1. 조회기간으로 아래 실적 반영되어 제공</t>
  </si>
  <si>
    <t>1. [엑셀 다운로드] 버튼 선택</t>
  </si>
  <si>
    <t>1. 현재 캐디주문실적 조회 결과 엑셀 파일 다운로드 됨</t>
  </si>
  <si>
    <t>QA-14828</t>
  </si>
  <si>
    <t>문구 통일 필요</t>
  </si>
  <si>
    <t>주문 랭킹 카드</t>
  </si>
  <si>
    <t>1. 주문 랭킹 카드 영역 확인</t>
  </si>
  <si>
    <t>1. 주문 랭킹 3위까지 카드 형식으로 노출
 - $캐디명$ / 주문캐디왕 / n건
 - $캐디명$ / 주문금액 / nn,nnn
 - $캐디명$ / 주문금액 / nn,nnn</t>
  </si>
  <si>
    <t>요약 카드</t>
  </si>
  <si>
    <t>1. 요약 카드 영역 확인</t>
  </si>
  <si>
    <t>1. 요약내역 카드 형식으로 노출
 -  주문금액 / n,nnn
 - 주문건수 / nn
 - VAT / n,nnn
 - 공급가 / n,nnn
 * 주문금액 : 조회기간 총 주문금액
 * 주문건수 : 조회기간 총 주문건수
 * VAT : 총 VAT 합산
 * 공급가 : 총 공급가 합산</t>
  </si>
  <si>
    <t>상세 테이블</t>
  </si>
  <si>
    <t>1. 상세 테이블 확인</t>
  </si>
  <si>
    <t>1. 상세 테이블 정보 제공
 - 순위
 - 캐디명
 - 캐디별명
 - 그늘집
 - 주문건수
 - 공급가
 - VAT
 - 주문금액</t>
  </si>
  <si>
    <t>1. 캐디주문실적 팝업 닫힘</t>
  </si>
  <si>
    <t>그늘집 주문내역 팝업</t>
  </si>
  <si>
    <t>1. 그늘집 주문내역 팝업 확인</t>
  </si>
  <si>
    <t>1. 그늘집 주문내역 팝업 제공
 - 타이틀 : 그늘집주문내역
 - 안내 문구
 - 검색 영역
 - 총 건수 표시 | [엑셀 다운로드] 버튼
 - 주문 목록 테이블
 - [닫기] 버튼</t>
  </si>
  <si>
    <t>주문내역 관리_9</t>
  </si>
  <si>
    <t>1. 기본값: '캐디 선택' 상태로 제공
2. 옵션 : 전체 캐디 리스트
 * 비활성화 캐디 확인 ??</t>
  </si>
  <si>
    <t>1. 그늘집 선택 드롭다운 확인
2. 드롭다운 선택 후 확인</t>
  </si>
  <si>
    <t>1. 기본값: '그늘집 선택' 선택 상태로 제공
2. 옵션: 등록된 그늘집 목록 노출</t>
  </si>
  <si>
    <t>1. 옵션에서 그늘집 선택</t>
  </si>
  <si>
    <t>1. 선택한 그늘집명으로 노출 됨</t>
  </si>
  <si>
    <t>1. 현재 그늘집 주문내역 조회 결과 엑셀 파일 다운로드</t>
  </si>
  <si>
    <t>1. 초기화 상태인 경우</t>
  </si>
  <si>
    <t>1. 기본값에 대한 총 건수로 제공
 - 총 nn건</t>
  </si>
  <si>
    <t>1. 검색 조건 변경한 경우</t>
  </si>
  <si>
    <t>1. 검색 결과에 따른 총 건수 제공</t>
  </si>
  <si>
    <t>주문 목록 테이블</t>
  </si>
  <si>
    <t>1. 주문 목록 테이블 확인</t>
  </si>
  <si>
    <t>1. 주문 목록 테이블 정보 제공
 - 순위
 - 캐디
 - 그늘집
 - 주문메뉴
 - 주문금액
 - 주문일시 [정렬아이콘]</t>
  </si>
  <si>
    <t>1. 데이터 없는 경우</t>
  </si>
  <si>
    <t>1. 안내 문구 제공
 - 문구 : 주문 기록이 없습니다.</t>
  </si>
  <si>
    <t>1. 주문 목록 테이블
2. 주문일시 컬럼 &gt; [정렬] 아이콘 선택</t>
  </si>
  <si>
    <t>1. 오름차순으로 데이터 정렬되어 제공
 - 기준 : 주문일시</t>
  </si>
  <si>
    <t>1. 주문 목록 테이블
2. 주문일시 컬럼 &gt; [정렬] 아이콘 재선택</t>
  </si>
  <si>
    <t>1. 내림차순으로 데이터 정렬되어 제공
 - 기준 : 주문일시</t>
  </si>
  <si>
    <t>1. 늘집 주문내역 팝업 닫힘</t>
  </si>
  <si>
    <t>1. 고객 평가 관리
2. 캐디 평가 선택 후 확인</t>
  </si>
  <si>
    <t>1. 캐디 평가 페이지 제공
 - 설명 영역
 - 검색영역
 - 카드 요약 영역
 - 캐디평가 현황 영역</t>
  </si>
  <si>
    <t>1. 타이틀 제공
 - 타이틀 : 캐디 평가</t>
  </si>
  <si>
    <t>캐디평가_1</t>
  </si>
  <si>
    <t>QA-14850</t>
  </si>
  <si>
    <t>띄어 쓰기 없음</t>
  </si>
  <si>
    <t>1. 안내 문구 제공
 - 문구 : 캐디에 대한 고객들의 평가를 확인할 수 있습니다.
캐디 평가는 고객이 키오스크에서 스코어카드 출력 시, 평가가 가능합니다.</t>
  </si>
  <si>
    <t>1. 검색조건 영역 제공
 - 월별 검색
 - 조회기간
 - [초기화] | [적용] 버튼</t>
  </si>
  <si>
    <t>캐디평가_2</t>
  </si>
  <si>
    <t>월별 검색</t>
  </si>
  <si>
    <t>1. 월별 검색 드롭다운 확인</t>
  </si>
  <si>
    <r>
      <rPr>
        <rFont val="Arial"/>
        <color theme="1"/>
      </rPr>
      <t xml:space="preserve">1. 월별 검색 드롭다운으로 제공
 - </t>
    </r>
    <r>
      <rPr>
        <rFont val="Arial"/>
        <color rgb="FF000000"/>
      </rPr>
      <t>YYYY.MM</t>
    </r>
  </si>
  <si>
    <t>캐디평가_2-1</t>
  </si>
  <si>
    <t>1. 월별 검색 드롭다운 선택
2. 옵션에서 특정 월 선택</t>
  </si>
  <si>
    <t>1. 선택한 월로 드롭다운 값 변경 됨</t>
  </si>
  <si>
    <t>1. 조회 기간 제공
 - 기본값 : 당월 1일 ~ 현재일</t>
  </si>
  <si>
    <t>캐디평가_2-2</t>
  </si>
  <si>
    <t>1. 조회 기간 3년 초과로 변경 후 확인</t>
  </si>
  <si>
    <t>1. 오류 팝업 발생 됨
 - 문구 : 최대 조회 가능 기간은 3년입니다.
2. 조회 기간은 최대 3년까지로 제한 됨</t>
  </si>
  <si>
    <t>QA-14847</t>
  </si>
  <si>
    <t>3년 초과 됨</t>
  </si>
  <si>
    <t>1. 아래 통계 영역 기본값으로 제공 됨</t>
  </si>
  <si>
    <t>1. 아래 통계 영역 조건으로 반영 제공 됨</t>
  </si>
  <si>
    <t>1. 카드형식으로 순서대로 제공 
 - 총 평가수
 - 평균 평점
 - 평가팀수
 - 최고 평점 캐디</t>
  </si>
  <si>
    <t>캐디평가_3</t>
  </si>
  <si>
    <t>총 평가수</t>
  </si>
  <si>
    <t>1. 총 평가수 확인</t>
  </si>
  <si>
    <t>1. 조회기간 내 평가 수 제공
 - 레이블 : 총 평가수
 - 값 : nn
 - 문구 : 조회기간 내 고객 평가 기준</t>
  </si>
  <si>
    <t>캐디평가_3-1</t>
  </si>
  <si>
    <t>평균 평점</t>
  </si>
  <si>
    <t>1. 평균 평점 확인</t>
  </si>
  <si>
    <t>1. 조회기간 내 전체 캐디 평균 평점 제공
 - 레이블 : 평균 평점
 - 값 : 소수점 1자리까지 표시
 - 문구 : 전체 캐디 평균 평점</t>
  </si>
  <si>
    <t>캐디평가_3-2</t>
  </si>
  <si>
    <t>소수점 두 자리까지 표시 됨</t>
  </si>
  <si>
    <t>평가팀수</t>
  </si>
  <si>
    <t>1. 평가팀수 확인</t>
  </si>
  <si>
    <t>1. 조회기간 내 평가팀수 기준 수 제공
  - 레이블 : '평가 팀수'
 - 값 : nn
 - 문구 : '평가 참여 팀 기준'</t>
  </si>
  <si>
    <t>캐디평가_3-3</t>
  </si>
  <si>
    <t>최고 평점 캐디</t>
  </si>
  <si>
    <t>1. 최고 평점 캐디 확인</t>
  </si>
  <si>
    <t>1. 조회기간 내 최고평점 캐디 제공
 - 레이블: '최고 평점 캐디'
 - 값 : $캐디명$
 - 문구: 평균 n.n / 총 $평가수$건</t>
  </si>
  <si>
    <t>캐디평가_3-4</t>
  </si>
  <si>
    <t>1. 캐디평가 동점인 캐디 있음</t>
  </si>
  <si>
    <t>1. 랜덤으로 DB 에서 조회한 순서대로 제공</t>
  </si>
  <si>
    <t>캐디평가 현황 영역</t>
  </si>
  <si>
    <t>1. 캐디평가 현황 영역 확인</t>
  </si>
  <si>
    <t>1. 타이틀 : 캐디평가 현황
2. 문구 : 월별 및 기간별 캐디 평가 점수와 누적 통계를 확인인 할 수 있습니다.
3. [내보내기] 버튼 제공
4. 테이블 제공</t>
  </si>
  <si>
    <t>캐디평가_4</t>
  </si>
  <si>
    <t>1. 현재 조회된 캐디평가 현황 기준 엑셀 파일 다운로드 됨</t>
  </si>
  <si>
    <t>알림 팝업 발생 됨</t>
  </si>
  <si>
    <t>테이블 정보</t>
  </si>
  <si>
    <t>1. 안내 문구 제공
 - 문구 : 평가내역이 없습니다.</t>
  </si>
  <si>
    <t>1. 테이블 정보 제공
 - 순위
 - 태블릿(번호)
 - 캐디명
 - 평가점수 1 ~ 평가점수 5
 - 평균점수
 - 총점
 - 총 평가수
 - 평가 팀수
2. Total 표시 됨</t>
  </si>
  <si>
    <t>1. 테이블 &gt; Total 확인</t>
  </si>
  <si>
    <t>1. 평가점수1~평가점수5 까지 합계를 표시
2. 평균평점은 [평균] 을 표시
 - 소수 한자리까지 반올림
3. 총점은 합계에 비제공
 - 하이픈(-) 처리 됨
4. 총 평가 수 : 
 - 총 평가수 합계 / 총 라운드 수 표시
5. 평가 팀수 : 합계 표시</t>
  </si>
  <si>
    <t>캐디평가_4-1</t>
  </si>
  <si>
    <t>1. 테이블 &gt; 정렬 확인</t>
  </si>
  <si>
    <t>1. 평균평점 내림차순 정렬되어 제공</t>
  </si>
  <si>
    <t>1. 평균평점 동점인 캐디 있음</t>
  </si>
  <si>
    <t>1.  골프장 평가항목
 - 식음/코스/그린/페어웨이/
  - 서비스/직원 중에 한 개라도 없는 경우</t>
  </si>
  <si>
    <t>1. 고객 평가 관리
2. 고객 평가 메뉴 확인</t>
  </si>
  <si>
    <t>1. 메뉴 비노출 됨</t>
  </si>
  <si>
    <t>db 에서 노출/비노출 처리 함</t>
  </si>
  <si>
    <t>1.  골프장 평가항목
 - 식음/코스/그린/페어웨이/
  - 서비스/직원 중에 한 개라도 있는 경우</t>
  </si>
  <si>
    <t>1. 고객 평가 관리
2. 고객 평가 선택 후 확인</t>
  </si>
  <si>
    <t>1. 고객 평가 페이지 제공
 - 설명 영역
 - 검색영역
 - $코스$ 평가 현황 영역</t>
  </si>
  <si>
    <t>1. 타이틀 제공
 - 타이틀 : 고객 평가</t>
  </si>
  <si>
    <t>고객 평가_1</t>
  </si>
  <si>
    <t>1. 안내 문구 제공
 - 문구 : 식음, 그린, 페이웨이 등 항목별 고객 평가 현황을 확인할 수 있습니다.</t>
  </si>
  <si>
    <t>1. 검색조건 영역 제공
 - 카테고리
 - 월별 검색
 - 조회기간
 - [초기화] | [적용] 버튼</t>
  </si>
  <si>
    <t>고객 평가_2</t>
  </si>
  <si>
    <t>카테고리</t>
  </si>
  <si>
    <t>1. 카테고리 드롭다운 확인</t>
  </si>
  <si>
    <t>1. 카테고리 옵션 목록 제공
 - 기본값 : COURSE
 - 옵션: 식음 / 그린 / 페어웨이 / COURSE 등
 * 옵션은 골프장 별 상이 함</t>
  </si>
  <si>
    <t>고객 평가_2-0</t>
  </si>
  <si>
    <t>1. 카테고리 드롭다운 선택
2. 옵션에서 항목 변경</t>
  </si>
  <si>
    <t>1. 선택한 옵션으로 드롭다운 값 변경 됨</t>
  </si>
  <si>
    <r>
      <rPr>
        <rFont val="Arial"/>
        <color theme="1"/>
      </rPr>
      <t xml:space="preserve">1. 월별 검색 드롭다운으로 제공
 - </t>
    </r>
    <r>
      <rPr>
        <rFont val="Arial"/>
        <color rgb="FF000000"/>
      </rPr>
      <t>YYYY.MM</t>
    </r>
  </si>
  <si>
    <t>고객 평가_2-1</t>
  </si>
  <si>
    <t>QA-14857</t>
  </si>
  <si>
    <t>UI 이슈</t>
  </si>
  <si>
    <t>고객 평가_2-2</t>
  </si>
  <si>
    <t>1. 오류 팝업 발생 됨??
2. 조회 기간은 최대 3년까지로 제한 됨</t>
  </si>
  <si>
    <t>QA-14864</t>
  </si>
  <si>
    <t>3년 초과해서 검색 됨</t>
  </si>
  <si>
    <t>1. 아래 통계 영역 기본값으로 제공</t>
  </si>
  <si>
    <t>1. 아래 통계 영역 조건으로 반영 제공
2. 카테고리 값에 따라 타이틀 변경되어 제공</t>
  </si>
  <si>
    <t>현황 영역</t>
  </si>
  <si>
    <t>1. 검색조건에서 카테고리 선택 완료 후 검색 적용한 상태</t>
  </si>
  <si>
    <t>1. 현황 테이블 확인</t>
  </si>
  <si>
    <t>1. 타이틀 : $카테고리$ 현황
2. 문구 : 월별 및 기간별 코스 평가 점수와 누적 통계를 확인할 수 있습니다.
3. [내보내기] 버튼 제공
4. 테이블 제공</t>
  </si>
  <si>
    <t>고객 평가_3</t>
  </si>
  <si>
    <t>1. 현재 조회된 $카테고리$ 현황 기준 엑셀 파일 다운로드 됨</t>
  </si>
  <si>
    <t>알림 팝업 발생 함</t>
  </si>
  <si>
    <t>고객 평가_3-1</t>
  </si>
  <si>
    <t>QA-14893</t>
  </si>
  <si>
    <t>1. 고객 평가 관리
2. 후기리스트 선택 후 확인</t>
  </si>
  <si>
    <t>1. 후기 리스트 페이지 제공
 - 설명 영역
 - 검색영역
 - 카드 요약 영역
 - 후기 목록</t>
  </si>
  <si>
    <t>1. 타이틀 제공
 - 타이틀 : 후기 리스트</t>
  </si>
  <si>
    <t>후기 리스트_1</t>
  </si>
  <si>
    <t>1. 안내 문구 제공
 - 문구 : 라운드를 마친 고객이 스마트스코어앱에 등록한 후기를 관리할 수 있습니다.
후기에 대한 답변을 등록할 수 있고 숨기고자 하는 후기를 숨길 수 있습니다.</t>
  </si>
  <si>
    <t>1. 검색 조건 영역 제공
 - 조회기간 From~To 날짜 피커
 - 기간
 - 답변상태 드롭다운
 - [초기화] [적용] 버튼</t>
  </si>
  <si>
    <t>후기 리스트_2</t>
  </si>
  <si>
    <t>1. 검색 조건 &gt; 조회 기간 확인</t>
  </si>
  <si>
    <t>후기 리스트_2-1</t>
  </si>
  <si>
    <t>1. 오류 팝업 발생 됨
 - 문구 : 조회기간은 최대 3년까지 선택할 수 있습니다.
2. 조회 기간은 최대 3년까지로 제한 됨</t>
  </si>
  <si>
    <t>1. 검색 조건 &gt; 기간 확인
2. [기간] 버튼 선택</t>
  </si>
  <si>
    <t>1. 기간 버튼으로 제공
 - [1주일] [1개월] [3개월] [6개월]
2. 선택한 기간으로 조회기간 일자 설정되어 제공</t>
  </si>
  <si>
    <t>후기 리스트_2-2</t>
  </si>
  <si>
    <t>답변상태</t>
  </si>
  <si>
    <t>1. 검색 조건 &gt; 답변상태 확인
2. 드롭다운 선택</t>
  </si>
  <si>
    <t>1. 기본값 : '전체' 선택 상태
2. 옵션 목록 제공
 - 전체
 - 답변완료
 - 답변대기</t>
  </si>
  <si>
    <t>후기 리스트_2-3</t>
  </si>
  <si>
    <t>1. 선택한 옵션으로 노출 됨</t>
  </si>
  <si>
    <t>1. 카드 요약, 후기 목록 영역 검색 조건으로 반영 제공</t>
  </si>
  <si>
    <t>1. 카드형식으로 순서대로 제공 
 - 전체 후기 수
 - 평균 전체평점
 - 답변완료
 - 숨김대상</t>
  </si>
  <si>
    <t>후기 리스트_3</t>
  </si>
  <si>
    <t>전체 후기 수</t>
  </si>
  <si>
    <t>1. 전체 후기 수 확인</t>
  </si>
  <si>
    <t>1. 조회기간 내 전체 후기 수 제공
 - 레이블 : 전체 후기 수
 - 값 : nn
 - 문구 : 조회기간 내 등록 후기</t>
  </si>
  <si>
    <t>후기 리스트_3-1</t>
  </si>
  <si>
    <t>평균 전체평점</t>
  </si>
  <si>
    <t>1. 평균 전체평점 확인</t>
  </si>
  <si>
    <t>1. 조회기간 내 후기 평점 평균 제공
 - 레이블 : 평균 전체 평점
 - 값 : 소수점 1자리까지 표시
 - 문구 : 고객 후기 평균 기준</t>
  </si>
  <si>
    <t>후기 리스트_3-2</t>
  </si>
  <si>
    <t>답변완료</t>
  </si>
  <si>
    <t>1. 답변완료 건 수 확인</t>
  </si>
  <si>
    <t>1. 조회기간 내 답변완료 수 제공
  - 레이블 : '답변완료'
 - 값 : nn</t>
  </si>
  <si>
    <t>후기 리스트_3-3</t>
  </si>
  <si>
    <t>숨김대상</t>
  </si>
  <si>
    <t>1. 후기 목록에서 숨김된 내역 있음</t>
  </si>
  <si>
    <t>1. 숨김대상 건 수 확인</t>
  </si>
  <si>
    <t>1. 조회기간 내 후기목록에서 숨김처리한 수 제공
 - 레이블: 숨김대상
 - 값 : nn건</t>
  </si>
  <si>
    <t>후기 리스트_3-4</t>
  </si>
  <si>
    <t>QA-14873</t>
  </si>
  <si>
    <t>문구 상이함</t>
  </si>
  <si>
    <t>후기 목록 영역</t>
  </si>
  <si>
    <t>1. 후기 목록 영역 확인</t>
  </si>
  <si>
    <t>1. 타이틀 : 후기 목록
2. 문구 : 후기 내용, 반응, 답변 상태를 확인하고 답변 등록 또는 숨김 처리를 할 수 있습니다.
3. [숨김처리] 버튼
4. [내보내기] 버튼
5. 목록 리스트</t>
  </si>
  <si>
    <t>후기 리스트_4</t>
  </si>
  <si>
    <t>숨김처리</t>
  </si>
  <si>
    <t>1. 체크박스 미선택 상태</t>
  </si>
  <si>
    <t>1. [숨김처리] 선택</t>
  </si>
  <si>
    <t>1. 버튼 비활성화 처리 됨</t>
  </si>
  <si>
    <t>QA-14874</t>
  </si>
  <si>
    <t>UI 수정 요청</t>
  </si>
  <si>
    <t>1. 체크박스 선택 상태</t>
  </si>
  <si>
    <t>1. 숨김 처리 확인 팝업 제공
2. 처리 완료 후 목록에서 비제공
3. 숨김 대상 카드 건수 증가 됨
 * 앱에서도 해당 후기 숨김 안내 됨</t>
  </si>
  <si>
    <t>후기 리스트_4-1</t>
  </si>
  <si>
    <t>1. 현재 조회된 후기 목록 기준 엑셀 파일 다운로드 됨</t>
  </si>
  <si>
    <t>후기 리스트_4-2</t>
  </si>
  <si>
    <t>1. 앱에서 등록한 후기 있음</t>
  </si>
  <si>
    <t>1. 후기 리스트 제공 정보 확인</t>
  </si>
  <si>
    <t>1. 앱에서 등록한 후기 목록 제공
 - 체크박스
 - 일시
 - 내용
 - 작성자
 - 전체평점
 - 공감
 - 비공감
 - 답변상태</t>
  </si>
  <si>
    <t>1. 목록 리스트 &gt; 내용 선택</t>
  </si>
  <si>
    <t>1. 골프장 의견 등록 팝업 발생 됨</t>
  </si>
  <si>
    <t>후기 리스트_4-5</t>
  </si>
  <si>
    <t>1. 페이지네이션 처리되어 리스트 제공 됨
 - 리스트 10개까지 노출
 - [이전][1][2][다음]</t>
  </si>
  <si>
    <t>골프장 의견 등록 팝업</t>
  </si>
  <si>
    <t>1. 골프장 의견 등록 팝업 확인</t>
  </si>
  <si>
    <t>1. 골프장 의견 등록 팝업 정보 제공
 - 좌측 상단 : 타이틀
 - 안내 문구 제공
 - 좌측 영역 : 후기 정보
 - 우측 영역 : 골프장 의견 작성
 - 하단 버튼 : [취소] [의견 등록]</t>
  </si>
  <si>
    <t>골프장 의견 등록</t>
  </si>
  <si>
    <t>1. 1. 골프장 의견 등록 팝업 닫힘</t>
  </si>
  <si>
    <t>타이틀 / 
안내 문구</t>
  </si>
  <si>
    <t>1. 타이틀 및 안내 문구 확인</t>
  </si>
  <si>
    <t>1. 타이틀 : 골프장 의견 등록
2. 안내 문구 : 플레이어가 등록한 후기와 사진을 확인한 뒤 골프장 의견을 작성할 수 있습니다.</t>
  </si>
  <si>
    <t>QA-14872</t>
  </si>
  <si>
    <t>문구 오타</t>
  </si>
  <si>
    <t>골프장 의견 등록 팝업 &gt; 좌측 후기 정보</t>
  </si>
  <si>
    <t>1. 좌측 후기 정보 확인</t>
  </si>
  <si>
    <t>1. 좌측 영역에 등록된 후기 정보 제공
 - 타이틀 : 후기 정보
 - 부가 문구 : 플레이어가 남긴 후기와 평가 내용을 확인합니다.
2. 상세 정보 제공
 - 작성자
 - 작성일시
 - 후기 내용
 - 평점
 - 플레이어 첨부 사진
 - 상태 요약 칩</t>
  </si>
  <si>
    <t>평점</t>
  </si>
  <si>
    <t>1. 평점 확인</t>
  </si>
  <si>
    <t>1. 테이블 구조로 제공
 - 전체 
 - 코스
 - 그린
 - 서비스
 - 진행
 - 식음료</t>
  </si>
  <si>
    <t>플레이어 첨부 사진</t>
  </si>
  <si>
    <t>1. 등록된 첨부 사진 없음</t>
  </si>
  <si>
    <t>1. 플레이어 첨부 사진 영역 확인</t>
  </si>
  <si>
    <t>1. 안내 문구 제공
 - 문구 : 첨부된 사진이 없습니다.</t>
  </si>
  <si>
    <t>1. 등록된 첨부 사진 있음</t>
  </si>
  <si>
    <t>1. 사진 썸네일 가로 슬라이드 형식 노출
 - 3장 기본 노출
2. 좌/우 사진 이동 됨</t>
  </si>
  <si>
    <t>상태 요약 칩</t>
  </si>
  <si>
    <t>1. 상태 요약 칩 확인</t>
  </si>
  <si>
    <t>1. 상태 요약 칩 제공
 - 리뷰 상태 : $답변대기$, $답변완료$
 - 노출여부 : $공개$
 - 평점 평균 : $nn$</t>
  </si>
  <si>
    <t>QA-14897</t>
  </si>
  <si>
    <t>상태값 변경 안 됨</t>
  </si>
  <si>
    <t>골프장 의견 등록 팝업 &gt; 우측 골프장 의견 작성</t>
  </si>
  <si>
    <t>1. 우측 골프장 의견 작성 정보 확인</t>
  </si>
  <si>
    <t>1. 타이틀 : 골프장 의견 작성
2. 안내 문구 : 운영자가 확인 후 답변 또는 의견을 등록합니다.
 각각의 후기에 답변을 등록하시면 스마트스코어 어플 상의 골프장후기/평점에 노출됩니다.</t>
  </si>
  <si>
    <t>골프장 의견</t>
  </si>
  <si>
    <t>1. 골프장 의견 확인</t>
  </si>
  <si>
    <t>1. 하목 필수값으로 제공 됨
2. 항목명 : 골프장 의견
3. placeholder : 플레이어 후기에 대한 골프장 의견을 입력해 주세요</t>
  </si>
  <si>
    <t>항목명 없음</t>
  </si>
  <si>
    <t>1. 골프장 의견 입력</t>
  </si>
  <si>
    <t>1. 입력 텍스트 노출 됨
2. placeholder 사라짐</t>
  </si>
  <si>
    <t>1. 골프장 의견 600자 초과하여 입력</t>
  </si>
  <si>
    <t>1. 최대 600자까지만 입력 제공</t>
  </si>
  <si>
    <t>골프장 의견 등록_5-7</t>
  </si>
  <si>
    <t>반응 정보</t>
  </si>
  <si>
    <t>1. 반응 정보 확인</t>
  </si>
  <si>
    <t>1. 항목명 : 반응 정보
2. 의견 공감수 = n 
3. 의견 비공감수 = n
4. 하단 안내 문구 제공</t>
  </si>
  <si>
    <t>업데이트 안됨</t>
  </si>
  <si>
    <t>1. 안내 문구 제공
 - 문구 : 플레이어가 작성한 후기와 첨부 사진은 참고용으로 조회만 가능하며,
 이 팝업에서는 골프장 의견만 등록할 수 있습니다.</t>
  </si>
  <si>
    <t>의견 등록</t>
  </si>
  <si>
    <t>1. [의견등록] 선택</t>
  </si>
  <si>
    <t>1. 유효성 팝업 발생 됨</t>
  </si>
  <si>
    <t>문구 변경 요청</t>
  </si>
  <si>
    <t>1. 의견 등록 완료 됨
2. 후기 목록에서 답변상태 '답변완료'로 변경되어 제공
 * 앱에서 의견 노출 됨</t>
  </si>
  <si>
    <t>골프장 의견 등록_5-9</t>
  </si>
  <si>
    <t>QA-14889</t>
  </si>
  <si>
    <t>답변내용 입력하라는 토스트 발생 됨</t>
  </si>
  <si>
    <t>1. 답변 완료 후 재진입 상태</t>
  </si>
  <si>
    <t>1. 기 등록된 답변완료 내용으로 제공</t>
  </si>
  <si>
    <t>1. 의견 공감수/ 비공감수 등록된 상태</t>
  </si>
  <si>
    <t>1. 의견 공감 수 확인</t>
  </si>
  <si>
    <t>1. 의견 공감 수 업데이트 되어 제공</t>
  </si>
  <si>
    <t>1. 골프장 의견 수정
2. [의견등록] 선택</t>
  </si>
  <si>
    <t>1. 의견 수정되어 제공
 * 앱에서 수정된 의견 노출 됨</t>
  </si>
  <si>
    <t>앱은 별도 jira로 진행</t>
  </si>
  <si>
    <t>1. 고객 평가 관리
2. 후기 통계 선택 후 확인</t>
  </si>
  <si>
    <t>1. 후기 통계 페이지 제공
 - 설명 영역
 - 검색영역
 - 그래프
 - 후기 목록</t>
  </si>
  <si>
    <t>후기통계</t>
  </si>
  <si>
    <t>1. 타이틀 제공
 - 타이틀 : 후기 통계</t>
  </si>
  <si>
    <t>QA-14899</t>
  </si>
  <si>
    <t>띄어 쓰기 안되어 있음</t>
  </si>
  <si>
    <t>1. 안내 문구 제공
 - 문구 : 스마트스코어 앱에서 고객들이 평가한 후기 통계를 통하여 개선사항 파악 및 고객 만족도를 향상 시킬 수 있습니다.
기간 별 조회 및 엑셀 다운로드가 가능합니다.</t>
  </si>
  <si>
    <t>1. 검색 조건 영역 제공
 - 일별검색
 - 월별검색
 - [확인] [취소] 버튼</t>
  </si>
  <si>
    <t>일별검색</t>
  </si>
  <si>
    <t>1. 일별검색 조건 확인</t>
  </si>
  <si>
    <t>1. 일별검색 조건 제공
 - 조회 기간
 - 기간 버튼</t>
  </si>
  <si>
    <t>1. 조회 기간 제공
 - 기본값 : 당월 7일 전  ~ 현재일</t>
  </si>
  <si>
    <t>1. 제한 없이 조회 가능 함</t>
  </si>
  <si>
    <t>기획 확인</t>
  </si>
  <si>
    <t>1. 기간 확인
2. [기간] 버튼 선택</t>
  </si>
  <si>
    <t>1. 기간 버튼으로 제공
 - [일주일] [15일] [1달]
2. 선택한 기간으로 조회기간 일자 설정되어 제공</t>
  </si>
  <si>
    <t>월별검색</t>
  </si>
  <si>
    <t>1. 월별검색 조건 확인</t>
  </si>
  <si>
    <t>1. 월별검색 조건 제공
 - 조회 기간
 - 기간 버튼</t>
  </si>
  <si>
    <t>1. 조회 기간 제공
 - 기본값 : 당월  ~ 당월</t>
  </si>
  <si>
    <t>기획서는 없지만 넘어감</t>
  </si>
  <si>
    <t>1. 기간 버튼으로 제공
 - [3개월] [6개월] [1년]
2. 선택한 기간으로 조회기간 일자 설정되어 제공</t>
  </si>
  <si>
    <t>확인</t>
  </si>
  <si>
    <t>1. 일별검색 선택 상태</t>
  </si>
  <si>
    <t>1. 아래 통계에 검색 조건으로 반영 제공</t>
  </si>
  <si>
    <t>1. 월별검색 선택 상태</t>
  </si>
  <si>
    <t>1. 그래프 영역 닫힌 상태로 제공
 - 그래프 옵션 드롭다운
 - 펼치기/접기(기본값)</t>
  </si>
  <si>
    <t>펼치기</t>
  </si>
  <si>
    <t>1. 펼지치 버튼 선택</t>
  </si>
  <si>
    <t>1. 그래프 영역 펼쳐져 제공</t>
  </si>
  <si>
    <t>옵션 드롭다운</t>
  </si>
  <si>
    <t>1. 옵션 드롭다운 확인</t>
  </si>
  <si>
    <t>1. 그래프 옵션 리스트 제공
 - 후기수
 - 평균평점
  - 평균전체
  - 코스
  - 그린
  - 서비스
  - 진행
  - 식음료
 - 공감수
 - 비공감수
 - 골프장의견 수</t>
  </si>
  <si>
    <t>1. 옵션 드롭다운 선택</t>
  </si>
  <si>
    <t>1. 선택한 옵션으로 그래프 제공 됨</t>
  </si>
  <si>
    <t>그래프</t>
  </si>
  <si>
    <t>1. 그래프 확인</t>
  </si>
  <si>
    <t>1. 그래프 제공
 - X축 : 월/날짜
 - Y축 : 지수</t>
  </si>
  <si>
    <t>1. 후기 목록 제공
 - 표
 - 총 nn건
 - [엑셀 다운로드]
 - [목록보기]</t>
  </si>
  <si>
    <t>목록 표</t>
  </si>
  <si>
    <t>1. 후기 목록 &gt; 표 확인</t>
  </si>
  <si>
    <t>1. 컬럼 정보 제공
 - Total
 - 순서
 - 날짜
 - 등록후기 수
 - 전체
 - 코스
 - 그린
 - 서비스
 - 진행
 - 식음료
 - 공감수
 - 비공감수
 - 골프장의견수</t>
  </si>
  <si>
    <t>1. 후기 목록 &gt; 표
2. Total 확인</t>
  </si>
  <si>
    <t>1. 각 컬럼의 합이 제공 됨
 * 전체 ~ 식음료까지는 평균데이터</t>
  </si>
  <si>
    <t>1. 후기 목록 &gt; 표
2. 정렬 확인</t>
  </si>
  <si>
    <t>1. 날짜 최근순으로 정렬</t>
  </si>
  <si>
    <t>목록보기</t>
  </si>
  <si>
    <t>1. [목록보기] 확인 및 선택</t>
  </si>
  <si>
    <t>1. 기본값 : 리스트50개 로 제공 됨
2. 옵션 리스트 제공
 - 리스트100개
 - 리스트20개</t>
  </si>
  <si>
    <t>1. [목록보기] 선택
2. 옵션 선택</t>
  </si>
  <si>
    <t>1. 선택한 옵션으로 리스트 수량 제한되어 제공</t>
  </si>
  <si>
    <t>1. 계정 관리
2. 계정 리스트 선택 후 확인</t>
  </si>
  <si>
    <t>1. 계정 리스트 조회 페이지 제공
 - 설명 영역
 - 검색 조건 영역
 - 카드 요약 영역
 - 계정목록</t>
  </si>
  <si>
    <t>계정리스트</t>
  </si>
  <si>
    <t>1. 타이틀 제공
 - 타이틀 : 계정리스트</t>
  </si>
  <si>
    <t>계정리스트_1</t>
  </si>
  <si>
    <t>QA-14832</t>
  </si>
  <si>
    <t>타이틀 기획과 상이</t>
  </si>
  <si>
    <t>1. 안내 문구 제공
 - 문구 : 골프장에 등록된 계정들을 관리할 수 있습니다.
 계정의 활성/중지, 패스워드 변경, 로그아웃 등 계정 상태에 대한 변경이 가능합니다.</t>
  </si>
  <si>
    <t>1. 검색 영역 제공
 - 계정 상태 드롭다운
 - 권한 그룹 드롭다운
 - 이름 검색 입력 필드
 - [적용] 버튼</t>
  </si>
  <si>
    <t>계정리스트_2</t>
  </si>
  <si>
    <t>버튼명 기획과 상이</t>
  </si>
  <si>
    <t>계정 상태</t>
  </si>
  <si>
    <t>1. 계정 상태 드롭다운 클릭
2. 옵션 목록 확인</t>
  </si>
  <si>
    <t>1. 기본값 : '전체' 선택 상태로 제공
2. 옵션 목록 제공 :
 - 전체
 - 사용중 (활성)
 - 승인대기
 - 사용중지</t>
  </si>
  <si>
    <t>계정리스트_2-1</t>
  </si>
  <si>
    <t>옵션명 기획과 상이</t>
  </si>
  <si>
    <t>1. 옵션 목록에서 옵션 선택</t>
  </si>
  <si>
    <t>권한 그룹</t>
  </si>
  <si>
    <t>1. 권한 그룹 드롭다운 클릭
2. 옵션 목록 확인</t>
  </si>
  <si>
    <t>1. 기본값 : '전체' 선택 상태로 제공
2. 옵션 목록 제공 :
 - 전체
 - 관리자 관리
 - 프론트 그룹
 - 예약실 그룹
 - 마스터관리 그룹 등</t>
  </si>
  <si>
    <t>계정리스트_2-2</t>
  </si>
  <si>
    <t>권한 미설정' 도 포함해서 확인</t>
  </si>
  <si>
    <t>이름 검색</t>
  </si>
  <si>
    <t>1. 이름 검색 확인
2. 이름 검색 필드에 내용 입력</t>
  </si>
  <si>
    <t>1. 이름 검색 입력필드 제공
2. placeholder : 이름을 입력하세요.
3. 입력한 이름으로 노출</t>
  </si>
  <si>
    <t>계정리스트_2-3</t>
  </si>
  <si>
    <t>placeholder 기획과 상이</t>
  </si>
  <si>
    <t>1. 이름 검색 필드 &gt; 50자 초과하여 입력</t>
  </si>
  <si>
    <t>1. 최대 50자까지만 입력 됨</t>
  </si>
  <si>
    <t>50자 초과 함</t>
  </si>
  <si>
    <t>1. 선택한 권한 그룹 계정만 목록 제공</t>
  </si>
  <si>
    <t>1. 카드형식으로 순서대로 제공 
 - 전체 계정 수
 - 활성 계정
 - 비활성 계정
 - 권한 그룹 수</t>
  </si>
  <si>
    <t>계정리스트_3</t>
  </si>
  <si>
    <t>전체 계정 수</t>
  </si>
  <si>
    <t>1. 전체 계정 수 확인</t>
  </si>
  <si>
    <t>1. 모든 계정 수 제공
 - 레이블 : 전체 계정 수
 - 값 : nn
 - 문구 : 등록된 전체 사용자 계정</t>
  </si>
  <si>
    <t>계정리스트_3-1</t>
  </si>
  <si>
    <t>QA-14839</t>
  </si>
  <si>
    <t>검색 시 반영 안 됨</t>
  </si>
  <si>
    <t>활성 계정</t>
  </si>
  <si>
    <t>1. 활성 계정 확인</t>
  </si>
  <si>
    <t>1. 계정상태가 활성화된 계정 수 제공
 - 레이블 : 활성 계정
 - 값 : nn
 - 문구 : 현재 사용 가능한 계정</t>
  </si>
  <si>
    <t>계정리스트_3-2</t>
  </si>
  <si>
    <t>비활성 계정</t>
  </si>
  <si>
    <t>1. 비활성 계정 확인</t>
  </si>
  <si>
    <t>1. 계정상태가 비활성화된 계정 수 제공
 - 레이블 : 비활성 계정
 - 값 : nn
 - 문구 : 사용 중지 또는 승인대기인 계정</t>
  </si>
  <si>
    <t>계정리스트_3-3</t>
  </si>
  <si>
    <t>권한 그룹 수</t>
  </si>
  <si>
    <t>1. 계정관리 리스트 메뉴 &gt; 
 등록된 그룹 있음</t>
  </si>
  <si>
    <t>1. 권한 그룹 수 확인</t>
  </si>
  <si>
    <t>1. 계정관리 리스트 메뉴에 등록된 권한 그룹 수 제공
 - 레이블 : 권한 그룹 수
 - 값 : nn
 - 문구 : 현재 운영 중인 권한 그룹</t>
  </si>
  <si>
    <t>계정리스트_3-4</t>
  </si>
  <si>
    <t>계정목록 영역</t>
  </si>
  <si>
    <t>1. 계정 목록 확인</t>
  </si>
  <si>
    <t>1. 타이틀 : 계정 목록
2. 부가 문구 : 선택한 계정에 대해 권한 변경, 상태 변경, 비밀번호 재설정, 로그아웃 처리를 할 수 있습니다.
3. [권한변경] 버튼 제공
4. 테이블 제공</t>
  </si>
  <si>
    <t>계정리스트_4</t>
  </si>
  <si>
    <t>1. 안내 문구 제공
 - 문구 : 내역이 없습니다.</t>
  </si>
  <si>
    <t>1. 테이블 정보 제공
 -  체크박스
 - No.
 - 계정 상태
 - 부서
 - 이름
 - ID
 - 연락처
 - 계정상태변경
 - 권한(그룹)
 - 패스워드 변경
 - 로그아웃
2. 계정상태 컬럼 비제공</t>
  </si>
  <si>
    <t>1. 테이블 정보
2. 패스워드 변경 컬럼 &gt; [변경] 버튼 선택</t>
  </si>
  <si>
    <t>1. 사용자 계정 패스워드 변경 팝업 노출
 - 사용자 : $이름$
 - 새 패스워드
 - 새 패스워드 확인
 - 문구 : 영무자, 숫자, 특수문자 조합자리
 - [변경] | [취소]</t>
  </si>
  <si>
    <t>1. 사용자 계정 패스워드 변경 팝업 닫힘</t>
  </si>
  <si>
    <t>1. 패스워드 변경 됨
 * 재 로그인 시, 반영 됨</t>
  </si>
  <si>
    <t>로그아웃</t>
  </si>
  <si>
    <t>1. 로그인된 계정 있음</t>
  </si>
  <si>
    <t>1. [로그아웃] 버튼 선택</t>
  </si>
  <si>
    <t>1. 해당 계정 로그아웃 처리 됨
 * 새로고침 시, 로그아웃 처리 됨</t>
  </si>
  <si>
    <t>QA-14837</t>
  </si>
  <si>
    <t>권한변경</t>
  </si>
  <si>
    <t>1. 테이블에서 체크박스 미선택</t>
  </si>
  <si>
    <t>1. [권한변경] 버튼 선택</t>
  </si>
  <si>
    <t>1. 얼럿 제공
 - 문구 : 권한변경할 계정을 선택해주세요
 - [확인] 버튼</t>
  </si>
  <si>
    <t>1. 테이블에서 체크박스 선택</t>
  </si>
  <si>
    <t>1. 사용자 계정 권한 변경 팝업 노출</t>
  </si>
  <si>
    <t>계정리스트_5</t>
  </si>
  <si>
    <t>사용자 계정 권한 변경 팝업</t>
  </si>
  <si>
    <t>1. 사용자 계정 권한 변경 팝업 확인</t>
  </si>
  <si>
    <t>1. 사용자 계정 권한 변경 팝업 정보 제공
 - 타이틀 : 사용자 계정 권한 변경
 - 부가 문구 : 선택한 계정들의 권한 그룹을 한 번에 변경할 수 있습니다.
 - 변경 대상 계정
 - 권한그룹 선택 드롭다운
 - [취소] | [등록] 버튼</t>
  </si>
  <si>
    <t>변경 대상 계정</t>
  </si>
  <si>
    <t>1. 테이블
 - 변경대상 계정 선택 1명</t>
  </si>
  <si>
    <t>1. 변경 대상 계정 확인</t>
  </si>
  <si>
    <t>1. 칩 형태로 제공
 - 총 n건 선택
 - 이름(계정)[X]</t>
  </si>
  <si>
    <t>1. 테이블
 - 변경대상 계정 선택 4명 초과</t>
  </si>
  <si>
    <t>1. 최대 4개까지 칩 형태로 제공
2. 그 외는 '외n명' 으로 표시 됨</t>
  </si>
  <si>
    <t>1. 계정 &gt; [X] 선택</t>
  </si>
  <si>
    <t>1. 계정 삭제 됨</t>
  </si>
  <si>
    <t>권한그룹 선택</t>
  </si>
  <si>
    <t>1. 권한그룹 선택 드롭다운 확인</t>
  </si>
  <si>
    <t>1. 권한그룹 선택 드롭다운 제공
2. placeholder : 권한 그룹을 선택해주세요</t>
  </si>
  <si>
    <t>1. 등록된 권한 그룹 있음</t>
  </si>
  <si>
    <t>1. 권한그룹 선택 드롭다운 선택
2. 옵션 확인</t>
  </si>
  <si>
    <t>1. 등록된 권한그룹 옵션으로 제공</t>
  </si>
  <si>
    <t>1. 권한그룹 선택 드롭다운 선택
2. 옵션 선택</t>
  </si>
  <si>
    <t>1. 선택한 그룹으로 노출 됨</t>
  </si>
  <si>
    <t>취소 / 닫기</t>
  </si>
  <si>
    <t>사용자 계정 권한 변경 팝업 닫힘</t>
  </si>
  <si>
    <t>1. 권한 그룹 설정한 상태</t>
  </si>
  <si>
    <t>1. 설정한 권한으로 등록 됨
2. 테이블 권한 컬럼에 변경된 그룹으로 노출 됨</t>
  </si>
  <si>
    <t>1. 계정 관리
2. 계정 권한 관리 선택 후 확인</t>
  </si>
  <si>
    <t>1. 계정 권한 관리 페이지 제공
 - 설명 영역
 - 버튼 영역
 - 좌측 권한그룹 영역
 - 우측 [권한적용] 버튼
 - 우측 접근 서비스 영역</t>
  </si>
  <si>
    <t>1. 타이틀 제공
 - 타이틀 : 계정 권한 관리</t>
  </si>
  <si>
    <t>1. 안내 문구 제공
 - 문구 : 등록된 계정에 부여할 권한을 세부적으로 설정할 수 있습니다.
 권한 그룹을 추가하여 그룹을 생성할 수 있고, 권한 그룹을 선택하여
 관리자 페이지에 노출시킬 항목을 설정할 수 있습니다.</t>
  </si>
  <si>
    <t>1. 버튼 제공 됨
 - [권한그룹추가] | [권한그룹복사]</t>
  </si>
  <si>
    <t>권한 그룹 추가</t>
  </si>
  <si>
    <t>1. [권한그룹추가] 버튼 선택</t>
  </si>
  <si>
    <t>1. 권한 그룹 추가 팝업 노출</t>
  </si>
  <si>
    <t>권한 그룹 추가 팝업</t>
  </si>
  <si>
    <t>1. 권한 그룹 추가 팝업 확인</t>
  </si>
  <si>
    <t>1. 권한 그룹 추가 팝업 제공 됨
 - 타이틀 : 권한 그룹 추가
 - 권한 그룹명 [입력필드]
 - [추가] | [취소] 버튼 제공</t>
  </si>
  <si>
    <t>권한 그룹명</t>
  </si>
  <si>
    <t>1. 권한 그룹명 입력</t>
  </si>
  <si>
    <t>1. 입력한 내용으로 제공</t>
  </si>
  <si>
    <t>1. 권한 그룹명 입력 필드
2. 20자 초과하여 입력</t>
  </si>
  <si>
    <t>1. 최대 20까지만 입력 됨</t>
  </si>
  <si>
    <t>1. 권한 그룹 추가 팝업 닫힘</t>
  </si>
  <si>
    <t>1. 권한 그룹 영역에 추가된 그룹 노출 됨</t>
  </si>
  <si>
    <t>권한 그룹 복사</t>
  </si>
  <si>
    <t>1. 권한 그룹 미선택</t>
  </si>
  <si>
    <t>1. [권한그룹복사] 버튼 선택</t>
  </si>
  <si>
    <t>1. 얼럿 제공
 - 문구 : 우선 복사할 권한 그룹을 선택해주세요.</t>
  </si>
  <si>
    <t>1. 권한 그룹 선택</t>
  </si>
  <si>
    <t>1. 얼럿 제공
 - 문구 : 권한 그룹이 복사되었습니다.
 - [확인] 버튼</t>
  </si>
  <si>
    <t>1. 얼럿 &gt; [확인] 버튼 선택</t>
  </si>
  <si>
    <t>1. 권한 그룹 하단에 복사된 권한 그룹 노출 됨
 - 문구 : Copy_$복사한 권한그룹$</t>
  </si>
  <si>
    <t>권한그룹 영역</t>
  </si>
  <si>
    <t>1. 권한그룹 테이블 확인</t>
  </si>
  <si>
    <t>1. 권한 그룹 테이블 제공
 - 타이틀 : 권한그룹
2. 컬럼 제공
 - 권한 명칭
 - 수정
 - 삭제</t>
  </si>
  <si>
    <t>권한 명칭</t>
  </si>
  <si>
    <t>1. 권한그룹 테이블
2. 권한 명칭 선택</t>
  </si>
  <si>
    <t>1. 접근 서비스에 상세 권한 설정 패널 제공 됨</t>
  </si>
  <si>
    <t>1. 권한그룹 테이블
2. [수정] 버튼 선택</t>
  </si>
  <si>
    <t>1. 권한 그룹 편집 팝업 노출
 - 권한 그룹명
 - [수정] | [취소]</t>
  </si>
  <si>
    <t>권한 그룹 편집 팝업</t>
  </si>
  <si>
    <t>1. 권한 그룹 편집 팝업
2. 권한 그룹명 수정
3. [취소] 선택</t>
  </si>
  <si>
    <t>1. 그룹 편집되지 않고 팝업 닫힌</t>
  </si>
  <si>
    <t>1. 권한 그룹 편집 팝업
2. 권한 그룹명 수정
3. [수정] 선택</t>
  </si>
  <si>
    <t>1. 그룹 명칭 수정 됨
2. 권한 그룹 리스트에 바로 반영되어 제공</t>
  </si>
  <si>
    <t>최대 20자까지 입력 확인</t>
  </si>
  <si>
    <t>1. 권한그룹 테이블
2. [삭제] 버튼 선택</t>
  </si>
  <si>
    <r>
      <rPr>
        <rFont val="Arial"/>
        <color theme="1"/>
      </rPr>
      <t xml:space="preserve">1. 관리 그룹 삭제 컨펌 팝업 노출
 - 문구 : [Copy_$삭제할 권한 그룹$] 권한 그룹을 삭제 하시겠습니까? </t>
    </r>
    <r>
      <rPr>
        <rFont val="Arial"/>
        <strike/>
        <color theme="1"/>
      </rPr>
      <t>한번 삭제된 요청은 복구가 불가능 합니다.</t>
    </r>
    <r>
      <rPr>
        <rFont val="Arial"/>
        <color theme="1"/>
      </rPr>
      <t xml:space="preserve"> 해당 권한에 연결된 모든 계정의 권한이 사라지며 복구가 불가능 합니다.
 - [삭제] | [취소]</t>
    </r>
  </si>
  <si>
    <t>관리 그룹 삭제 컨펌 팝업</t>
  </si>
  <si>
    <t>1. 관리 그룹 삭제 컨펌 팝업
2. [취소] 선택</t>
  </si>
  <si>
    <t>1. 그룹 삭제되지 않고 팝업 닫힘</t>
  </si>
  <si>
    <t>1. 관리 그룹 삭제 컨펌 팝업
2. [삭제] 선택</t>
  </si>
  <si>
    <t>1. 그룹 삭제 처리 됨
2. 권한 그룹 리스트에서 제외 됨</t>
  </si>
  <si>
    <t>접근 서비스 영역</t>
  </si>
  <si>
    <t>1. 권한 그룹 &gt; 권한 명칭 미선택</t>
  </si>
  <si>
    <t>1. 접근 서비스 영역 확인</t>
  </si>
  <si>
    <t>1. 안내 문구 제공
 - 문구 : 권한그룹을 선택해주세요</t>
  </si>
  <si>
    <t>1. 권한 그룹 &gt; 권한 명칭 선택</t>
  </si>
  <si>
    <t>1. 접근 서비스 테이블 제공
 - 타이틀 : 접근 서비스
2. 컬럼 제공
 - 기능 명칭
 - 선택</t>
  </si>
  <si>
    <t>메뉴</t>
  </si>
  <si>
    <t>1. 접근 서비스 영역
2. 메뉴 확인</t>
  </si>
  <si>
    <t>1. 대메뉴 아래 하위 메뉴 제공 됨
2. 대메뉴 선택컬럼에 [하위전체] 버튼 제공</t>
  </si>
  <si>
    <t>체크 박스 선택</t>
  </si>
  <si>
    <t>1. 하위메뉴 체크박스 해제된 상태</t>
  </si>
  <si>
    <t>1. [하위전체] 선택</t>
  </si>
  <si>
    <t>1. 하위 메뉴 체크박스 전체 선택 됨</t>
  </si>
  <si>
    <t>버튼명 [전체] 로 확인</t>
  </si>
  <si>
    <t>1. 하위메뉴 체크박스 선택된 상태</t>
  </si>
  <si>
    <t>1. 접근 서비스 영역
2. 하위메뉴 &gt; 체크박스 해제</t>
  </si>
  <si>
    <t>1. 하위메뉴 체크 박스 해제 됨</t>
  </si>
  <si>
    <t>권한적용</t>
  </si>
  <si>
    <t>1. [권한적용] 버튼 선택</t>
  </si>
  <si>
    <r>
      <rPr>
        <rFont val="Arial"/>
        <strike/>
        <color theme="1"/>
      </rPr>
      <t>1. 얼럿 발생
 - 문구 : 그룹을 선택하여 접근 가능 권한을 편집해 주세요</t>
    </r>
    <r>
      <rPr>
        <rFont val="Arial"/>
        <color theme="1"/>
      </rPr>
      <t xml:space="preserve">
1. 버튼 비활성화로 제공</t>
    </r>
  </si>
  <si>
    <t>1. 권한 그룹 &gt; 권한 명칭 선택
2. 변경된 권한 그룹 있음</t>
  </si>
  <si>
    <t>1. 권한 적용 팝업 노출
 - 문구 : [Copy_$권한 그룹명$] 그룹 권한을 적용하시겠습니까? 해당 그룹에 연결된 모든 계정의 권한이 일괄 적용 됩니다.
 - [적용] | [취소]</t>
  </si>
  <si>
    <t>권한 적용 팝업</t>
  </si>
  <si>
    <t>1. 권한 적용 팝업
2. [취소] 선택</t>
  </si>
  <si>
    <t>1. 권한 미적용되고 닫힘</t>
  </si>
  <si>
    <t>1. 권한 적용 팝업
2. [적용] 선택</t>
  </si>
  <si>
    <t>1. 권한 변경적용되어 제공 됨</t>
  </si>
  <si>
    <t>기능 명칭</t>
  </si>
  <si>
    <t>권한그룹</t>
  </si>
  <si>
    <t>최고관리자그룹</t>
  </si>
  <si>
    <t>QA_지연</t>
  </si>
  <si>
    <t>QA_경선</t>
  </si>
  <si>
    <t>QA_영신</t>
  </si>
  <si>
    <t>경기과 그룹</t>
  </si>
  <si>
    <t>변경 유형</t>
  </si>
  <si>
    <t>하위전체</t>
  </si>
  <si>
    <t>유지</t>
  </si>
  <si>
    <t xml:space="preserve">    개인 및 단체 스코어카드 편집/삭제</t>
  </si>
  <si>
    <t>✔</t>
  </si>
  <si>
    <t>□</t>
  </si>
  <si>
    <t>명칭변경 (계정 관리)</t>
  </si>
  <si>
    <t xml:space="preserve">    전체 사용자 계정 페이지</t>
  </si>
  <si>
    <t>명칭변경 (계정 리스트)</t>
  </si>
  <si>
    <t xml:space="preserve">    전체 권한 그룹 페이지</t>
  </si>
  <si>
    <t>명칭변경 (계정 권한 관리)</t>
  </si>
  <si>
    <t>하위메뉴 삭제</t>
  </si>
  <si>
    <t xml:space="preserve">    FAQ 페이지</t>
  </si>
  <si>
    <t>삭제 (사용률 저조)</t>
  </si>
  <si>
    <t xml:space="preserve">    Q&amp;A 페이지</t>
  </si>
  <si>
    <t xml:space="preserve">    태블릿 버전관리 페이지</t>
  </si>
  <si>
    <t>명칭변경 (캐디관리)</t>
  </si>
  <si>
    <t xml:space="preserve">    전체 캐디 페이지</t>
  </si>
  <si>
    <t>명칭변경 (캐디 리스트)</t>
  </si>
  <si>
    <t xml:space="preserve">    캐디 현재버전/관제적용 처리</t>
  </si>
  <si>
    <t xml:space="preserve">    캐디 등록/해지 페이지</t>
  </si>
  <si>
    <t>명칭변경 (캐디 등록 관리)</t>
  </si>
  <si>
    <t xml:space="preserve">    캐디 실적 페이지</t>
  </si>
  <si>
    <t>명칭변경 (캐디 실적)</t>
  </si>
  <si>
    <t xml:space="preserve">    캐디 평가 페이지</t>
  </si>
  <si>
    <t>이동 (고객 평가 관리로 이동)</t>
  </si>
  <si>
    <t xml:space="preserve">    캐디주문실적</t>
  </si>
  <si>
    <t>명칭변경 (주문 내역 관리)</t>
  </si>
  <si>
    <t>QA-14822</t>
  </si>
  <si>
    <t>권한 설정 이슈</t>
  </si>
  <si>
    <t xml:space="preserve">    그늘집주문내역</t>
  </si>
  <si>
    <t>명칭변경 (주문 내역 관리 통합)</t>
  </si>
  <si>
    <t xml:space="preserve">    캐디 이벤트 페이지</t>
  </si>
  <si>
    <t xml:space="preserve">    캐디피 설정</t>
  </si>
  <si>
    <t xml:space="preserve">    캐디피 통계</t>
  </si>
  <si>
    <t xml:space="preserve">    캐디피 결제내역</t>
  </si>
  <si>
    <t xml:space="preserve">    캐디 자료/신고서</t>
  </si>
  <si>
    <t>라운딩 관리</t>
  </si>
  <si>
    <t>명칭변경 (라운드 관리)</t>
  </si>
  <si>
    <t xml:space="preserve">    내장 현황</t>
  </si>
  <si>
    <t>신규 생성 / 기존 홈화면 항목</t>
  </si>
  <si>
    <t xml:space="preserve">    카트 관리</t>
  </si>
  <si>
    <t>이동 (기존 카트관리에서 이동)</t>
  </si>
  <si>
    <t xml:space="preserve">    홀별 정산 관리</t>
  </si>
  <si>
    <t>이동 (기존 라이브 관리에서 이동)</t>
  </si>
  <si>
    <t xml:space="preserve">    전체 라운딩 페이지</t>
  </si>
  <si>
    <t>명칭변경 (전체 라운드)</t>
  </si>
  <si>
    <t xml:space="preserve">    진행시간/내장객/캐디/단체명 수정</t>
  </si>
  <si>
    <t xml:space="preserve">    단체 라운딩 페이지</t>
  </si>
  <si>
    <t>명칭변경 (단체 라운드)</t>
  </si>
  <si>
    <t xml:space="preserve">    총팀수 변경/신패리오 적용</t>
  </si>
  <si>
    <t xml:space="preserve">    라운딩 코스관리 페이지 =&gt; 라운드 설정</t>
  </si>
  <si>
    <t>명칭변경 (라운드 설정)</t>
  </si>
  <si>
    <t xml:space="preserve">    라운딩코스 Nearest check 홀 적용</t>
  </si>
  <si>
    <t xml:space="preserve">    출력 확인 페이지</t>
  </si>
  <si>
    <t xml:space="preserve">    라운딩 이벤트관리 페이지</t>
  </si>
  <si>
    <t xml:space="preserve">    라운딩 이벤트 편집 저장</t>
  </si>
  <si>
    <t xml:space="preserve">    태블릿 설정</t>
  </si>
  <si>
    <t xml:space="preserve">    배토기록조회</t>
  </si>
  <si>
    <t>삭제 (배토 관리로 이동)</t>
  </si>
  <si>
    <t xml:space="preserve">    배토 통계</t>
  </si>
  <si>
    <t xml:space="preserve">    내장 통계</t>
  </si>
  <si>
    <t>내장객 관리</t>
  </si>
  <si>
    <t>하위메뉴 삭제 (데이터 마케팅 이관)</t>
  </si>
  <si>
    <t xml:space="preserve">    내장객 관리 페이지</t>
  </si>
  <si>
    <t>삭제 (데이터 마케팅 이관)</t>
  </si>
  <si>
    <t xml:space="preserve">    문자전송</t>
  </si>
  <si>
    <t xml:space="preserve">    클럽멤버 여부 수정</t>
  </si>
  <si>
    <t xml:space="preserve">    내장객 이벤트 적용</t>
  </si>
  <si>
    <t xml:space="preserve"> </t>
  </si>
  <si>
    <t xml:space="preserve">    SMS 발송 페이지</t>
  </si>
  <si>
    <t xml:space="preserve">    문자발송 내역 페이지</t>
  </si>
  <si>
    <t>라이브 관리 =&gt; 태블릿 운영 관리</t>
  </si>
  <si>
    <t>신규 생성 (기존 라이브 관리에서 분리)</t>
  </si>
  <si>
    <t xml:space="preserve">    메시지 관리</t>
  </si>
  <si>
    <t>이동 (기존 라이브 관리에서)</t>
  </si>
  <si>
    <t xml:space="preserve">    태블릿 기능 설정</t>
  </si>
  <si>
    <t xml:space="preserve">    광고 관리</t>
  </si>
  <si>
    <t xml:space="preserve">    그늘집 메뉴관리 페이지</t>
  </si>
  <si>
    <t xml:space="preserve">    그늘집 현재버전 증가 처리</t>
  </si>
  <si>
    <t xml:space="preserve">    메시지 관리 페이지</t>
  </si>
  <si>
    <t xml:space="preserve">    관제 메시지 현재버전 증가 처리</t>
  </si>
  <si>
    <t xml:space="preserve">    홀 이벤트 관리 페이지</t>
  </si>
  <si>
    <t xml:space="preserve">    홀 이벤트 현재버전 증가 처리</t>
  </si>
  <si>
    <t xml:space="preserve">    홀 이벤트/아이템 편집</t>
  </si>
  <si>
    <t xml:space="preserve">    쿠폰관리 페이지</t>
  </si>
  <si>
    <t xml:space="preserve">    경기진행관리 =&gt; 태블릿 기능 설정</t>
  </si>
  <si>
    <t xml:space="preserve">    홀별정산관리</t>
  </si>
  <si>
    <t>삭제 (라운드 관리로 이동)</t>
  </si>
  <si>
    <t xml:space="preserve">    아이콘 관리</t>
  </si>
  <si>
    <t>삭제 (태블릿 운영 관리로 이동)</t>
  </si>
  <si>
    <t xml:space="preserve">    핀 거리 관리</t>
  </si>
  <si>
    <t xml:space="preserve">    블랙박스 관리</t>
  </si>
  <si>
    <t>삭제 (클라우드 개별 분화)</t>
  </si>
  <si>
    <t xml:space="preserve">    카트 이동경로 확인</t>
  </si>
  <si>
    <t>내장객 분석</t>
  </si>
  <si>
    <t xml:space="preserve">    내장객 분석 페이지</t>
  </si>
  <si>
    <t>코스 분석 =&gt; 코스 운영 관리</t>
  </si>
  <si>
    <t>명칭변경 (코스 운영 관리)</t>
  </si>
  <si>
    <t xml:space="preserve">    코스 분석 페이지</t>
  </si>
  <si>
    <t>이동 (기존 관제 관리에서)</t>
  </si>
  <si>
    <t xml:space="preserve">    핀포지션 분석 페이지</t>
  </si>
  <si>
    <t xml:space="preserve">    핀포지션 변경이력 페이지</t>
  </si>
  <si>
    <t xml:space="preserve">    핀 포지션 관리</t>
  </si>
  <si>
    <t xml:space="preserve">    골프장 소식</t>
  </si>
  <si>
    <t>이동 (기존 웰컴 메시지에서)</t>
  </si>
  <si>
    <t xml:space="preserve">    그린 스피드</t>
  </si>
  <si>
    <t>멤버 관리</t>
  </si>
  <si>
    <t xml:space="preserve">    전체 멤버 페이지</t>
  </si>
  <si>
    <t xml:space="preserve">    스코어 다운로드 페이지</t>
  </si>
  <si>
    <t xml:space="preserve">    회원 페이지</t>
  </si>
  <si>
    <t xml:space="preserve">    관제팝업 페이지</t>
  </si>
  <si>
    <t>명칭변경 (관제 팝업)</t>
  </si>
  <si>
    <t xml:space="preserve">    관제팝업 채팅창</t>
  </si>
  <si>
    <t xml:space="preserve">    관제팝업 내장객정보</t>
  </si>
  <si>
    <t xml:space="preserve">    진행시간 표준설정 페이지</t>
  </si>
  <si>
    <t xml:space="preserve">    진행시간 모니터 페이지</t>
  </si>
  <si>
    <t xml:space="preserve">    공지사항 페이지</t>
  </si>
  <si>
    <t xml:space="preserve">    공지사항 편집</t>
  </si>
  <si>
    <t xml:space="preserve">    관제 단독 페이지</t>
  </si>
  <si>
    <t xml:space="preserve">    핀포지션관리 페이지</t>
  </si>
  <si>
    <t>삭제 (코스 운영 관리로 이동)</t>
  </si>
  <si>
    <t xml:space="preserve">    홀맵 구역 관리</t>
  </si>
  <si>
    <t xml:space="preserve">    메시지 기록 관리</t>
  </si>
  <si>
    <t xml:space="preserve">    라이브채팅 공지 조회</t>
  </si>
  <si>
    <t>Club App</t>
  </si>
  <si>
    <t xml:space="preserve">    Club App 페이지</t>
  </si>
  <si>
    <t xml:space="preserve">    지도보기/코스보기 페이지</t>
  </si>
  <si>
    <t xml:space="preserve">    내장객정보</t>
  </si>
  <si>
    <t xml:space="preserve">    핀위치 페이지</t>
  </si>
  <si>
    <t xml:space="preserve">    핀위치 수정</t>
  </si>
  <si>
    <t>고객평가 관리</t>
  </si>
  <si>
    <t>유지 (하위메뉴 포함)</t>
  </si>
  <si>
    <t xml:space="preserve">    캐디 평가</t>
  </si>
  <si>
    <t>이동 (기존 캐디 관리에서)</t>
  </si>
  <si>
    <t xml:space="preserve">    코스, 식음료 등 (키오스크 평가 항목)</t>
  </si>
  <si>
    <t xml:space="preserve">    후기 리스트</t>
  </si>
  <si>
    <t>이동 (기존 골프장 후기에서)</t>
  </si>
  <si>
    <t xml:space="preserve">    후기 통계</t>
  </si>
  <si>
    <t xml:space="preserve">    고객 평가 관리 페이지</t>
  </si>
  <si>
    <t>삭제 (미사용)</t>
  </si>
  <si>
    <t>복지물</t>
  </si>
  <si>
    <t>하위메뉴 삭제 (미사용)</t>
  </si>
  <si>
    <t xml:space="preserve">    복지물회원관리 페이지</t>
  </si>
  <si>
    <t xml:space="preserve">    전체 카트 페이지</t>
  </si>
  <si>
    <t>클라우드 개별 분화</t>
  </si>
  <si>
    <t xml:space="preserve">    사용설정</t>
  </si>
  <si>
    <t xml:space="preserve">    PG 결제리스트</t>
  </si>
  <si>
    <t>상위메뉴 삭제 (코스 운영 관리로 이동)</t>
  </si>
  <si>
    <t xml:space="preserve">    골프장소식</t>
  </si>
  <si>
    <t xml:space="preserve">    그린스피드</t>
  </si>
  <si>
    <t>대기모니터</t>
  </si>
  <si>
    <t>삭제 (태블릿 운영 관리로 통합)</t>
  </si>
  <si>
    <t xml:space="preserve">    대기모니터 관리</t>
  </si>
  <si>
    <t xml:space="preserve">    대기모니터 뷰어</t>
  </si>
  <si>
    <t>드라이빙캐디</t>
  </si>
  <si>
    <t xml:space="preserve">    캘린더</t>
  </si>
  <si>
    <t xml:space="preserve">    채용/공고 관리</t>
  </si>
  <si>
    <t xml:space="preserve">    근태/근무평가 관리</t>
  </si>
  <si>
    <t xml:space="preserve">    클럽정보관리</t>
  </si>
  <si>
    <t>상위메뉴 삭제 (고객 평가 관리로 이동)</t>
  </si>
  <si>
    <t>삭제 (고객 평가 관리로 이동)</t>
  </si>
  <si>
    <t>명칭변경 (식음 관리)</t>
  </si>
  <si>
    <t xml:space="preserve">    그늘집 및 TOS 관리</t>
  </si>
  <si>
    <t xml:space="preserve">    식당 관리</t>
  </si>
  <si>
    <t xml:space="preserve">    상품 등록/관리</t>
  </si>
  <si>
    <t xml:space="preserve">    주문 통계 =&gt; 주문 내역 관리</t>
  </si>
  <si>
    <t>명칭변경 (주문 통계 =&gt; 주문 내역 관리)</t>
  </si>
  <si>
    <t xml:space="preserve">    버전 업데이트</t>
  </si>
  <si>
    <t xml:space="preserve">    매칭 관리</t>
  </si>
  <si>
    <t xml:space="preserve">    캐디관리</t>
  </si>
  <si>
    <t xml:space="preserve">    클럽 정보 관리</t>
  </si>
  <si>
    <t>신규 생성</t>
  </si>
  <si>
    <t xml:space="preserve">    배토 기록 조회</t>
  </si>
  <si>
    <t>이동 (기존 라운딩 관리에서)</t>
  </si>
  <si>
    <t xml:space="preserve">    진행시간 표준 설정</t>
  </si>
  <si>
    <t xml:space="preserve">    진행시간 실시간</t>
  </si>
  <si>
    <t xml:space="preserve">    진행시간 조회</t>
  </si>
  <si>
    <t xml:space="preserve">    진행시간 통계</t>
  </si>
  <si>
    <t>홈앱 관리</t>
  </si>
  <si>
    <t xml:space="preserve">    홈앱 구역 설정</t>
  </si>
  <si>
    <t>이동 (기존 관제 관리에서 분리)</t>
  </si>
  <si>
    <t xml:space="preserve">    안전 구역 설정</t>
  </si>
  <si>
    <t>이동 (기존 라이브 관리에서 분리)</t>
  </si>
  <si>
    <t xml:space="preserve">    홀 이벤트 관리</t>
  </si>
  <si>
    <t>유형</t>
  </si>
  <si>
    <t>이슈 키</t>
  </si>
  <si>
    <t>우선 순위</t>
  </si>
  <si>
    <t>요약</t>
  </si>
  <si>
    <t>보고자</t>
  </si>
  <si>
    <t>생성됨</t>
  </si>
  <si>
    <t>수정일</t>
  </si>
  <si>
    <t>상태 범주</t>
  </si>
  <si>
    <t>해결책</t>
  </si>
  <si>
    <t>사용자정의 필드 (Epic Link)</t>
  </si>
  <si>
    <t>레이블</t>
  </si>
  <si>
    <t>버그</t>
  </si>
  <si>
    <t>[경기관제] 공통 &gt; 메뉴명 수정 필요 건</t>
  </si>
  <si>
    <t>수정완료(배포전)</t>
  </si>
  <si>
    <t>최유림</t>
  </si>
  <si>
    <t>fixed_code/완료</t>
  </si>
  <si>
    <t>[경기관제] 홀맵 관리 &gt; 홀맵 구역 관리 &gt; 거리표시, 특정 위치 알림, 다음 홀 방향 필터 시, 모든 항목 노출되는 현상</t>
  </si>
  <si>
    <t>QA-14820</t>
  </si>
  <si>
    <t>[경기관리] 계정 권한 관리 &gt; 테이블 오더 권한이 경기관제에는 없고 클라우드에만 설정된 경우, 테이블 오더 메뉴 진입 시 '열람할 권한이 없어 홈으로 이동합니다.' 토스트 팝업 발생 후 경기관제 홈 화면 으로 이동되는 현상</t>
  </si>
  <si>
    <t>Not a bug</t>
  </si>
  <si>
    <t>[경기관제] 관제 관리_아이콘 관리 &gt; 아이콘 관리의 안내 문구 비제공되는 현상</t>
  </si>
  <si>
    <t>[경기관제] 계정 권한 관리 &gt; 기존 캐디관리(캐디주문실적, 그늘집주문내역) 권한 있는 계정으로 클라우드 테이블오더 진입 시, 권한 없다고 발생되는 현상</t>
  </si>
  <si>
    <t>QA-14823</t>
  </si>
  <si>
    <t>[경기관제] 홈 &gt; 프로필 버튼 선택하여 노출되는 마이페이지가 클라우드 홈에서 제공되는 마이페이지와 다르게 제공되는 현상</t>
  </si>
  <si>
    <t>검증대기(RD완료)</t>
  </si>
  <si>
    <t>[경기관제] 관제 관리_아이콘 관리 &gt; 아이콘 라이브러리에서 저장 시 관제에 반영되는 현상</t>
  </si>
  <si>
    <t>QA-14825</t>
  </si>
  <si>
    <t>[경가관제] 계정 권한 관리 &gt; 기존 관제 관리에서 이동된 메뉴 확인 시, 메뉴 노출 확인 요청</t>
  </si>
  <si>
    <t>[경기관제] 홀맵관리 &gt; 홀맵 구역 설정 &gt; 구역관리 &gt; 구역관리 레이어 팝업에서 노출되는 줌 레벨 확인 요청</t>
  </si>
  <si>
    <t>QA-14827</t>
  </si>
  <si>
    <t>[경기관제] 계정 권한 관리 &gt; 기존 라운드 관리에서 '광고 관리' 설정 후 리뉴얼 버전에서 메뉴 확인 시, 메뉴 노출되지 않는 현상</t>
  </si>
  <si>
    <t>[경기관제] 공통 &gt; [내보내기] 버튼명이 각 페이지마다 기획과 상이하게 제공되는 현상</t>
  </si>
  <si>
    <t>[경기관제] 관제 관리_라이브채팅 공지 조회 &gt; 기획과 UI 상이하며, 내용 입력 후 검색 불가한 현상</t>
  </si>
  <si>
    <t>[경기관제] 홀맵 구역 설정 &gt; 구역관리 레이어 팝업 &gt; 지도유형 - 홀맵 선택 시, [+],[-] 버튼 활성화 되어있는 현상 (기획서상에 비활성화로 기입되어 있음)</t>
  </si>
  <si>
    <t>QA-14831</t>
  </si>
  <si>
    <t>[경기관제] 라운드 관리 &gt;  내장 현황에 제공되는 컬럼값 중 "출력률"이 비제공되는 현상</t>
  </si>
  <si>
    <t>[경기관제] 계정 리스트 &gt; 페이지 타이틀 및 버튼 명 이 기획과 상이한 현상</t>
  </si>
  <si>
    <t>QA-14833</t>
  </si>
  <si>
    <t>[경기관제] 홀맵 구역 설정 &gt; 구역관리 레이어 팝업 &gt; 설정 탭 &gt; 설정 항목 선택 시, 기능 설명 문구 확인 요청</t>
  </si>
  <si>
    <t>QA-14834</t>
  </si>
  <si>
    <t>[경기관제] 태블릿 운영 관리_태블릿 기능 설정 &gt; UI가 기획과 상이한 현상</t>
  </si>
  <si>
    <t>[경기관제] 홀맵관리 &gt; 홀맵 구역 설정 &gt; 구역관리 레이어 팝업 &gt; 설정 탭 &gt; 플레이구역 설정의 경우, 컬러 원형 도형 미노출되는 현상</t>
  </si>
  <si>
    <t>[경기관제] 태블릿 운영 관리_태블릿 기능 설정 &gt; 경기 진행 설정 항목에서 토글 ON/OFF 시 서버에러 발생되는 현상</t>
  </si>
  <si>
    <t>[경기관제] 계정 리스트 &gt; 로그아웃 버튼 선택 시, 선택한 계정 로그아웃 처리되지 않는 현상</t>
  </si>
  <si>
    <t>Backlog</t>
  </si>
  <si>
    <t>해야 할 일</t>
  </si>
  <si>
    <t>미해결</t>
  </si>
  <si>
    <t>[경기관제] 태블릿 운영 관리_태블릿 기능 설정 &gt; 경기진행 설정에서 토글 변경 시 확인 팝업 제공되지 않는 현상</t>
  </si>
  <si>
    <t>[경기관제] 계정 리스트 &gt; 검색 조건에 [검색] 버튼 선택 시, 변경 사항 카드 영역에 바로 반영되지 않는 현상</t>
  </si>
  <si>
    <t>QA-14840</t>
  </si>
  <si>
    <t>[경기관제] 라운드 관리 &gt; 내장 통계 조회기간 기본값이 기획과 상이한 현상</t>
  </si>
  <si>
    <t>주도현</t>
  </si>
  <si>
    <t>QA-14841</t>
  </si>
  <si>
    <t>[경기관제] 라운드 관리 &gt; 내장통계 조회기간이 제한없이 조회되는 현상</t>
  </si>
  <si>
    <t>[경기관제] 홀맵관리 &gt; 홀맵구역설정 &gt; 구역관리 레이어 팝업 &gt; 설정 탭 &gt; [뒷카트 알림 설정] 선택 시, 하단 설명에 "특정구역 추가"로 노출되는 현상</t>
  </si>
  <si>
    <t>QA-14844</t>
  </si>
  <si>
    <t>[경기관제] 라운드 관리 &gt; 내장현황 데이터가 맞지 않는 현상</t>
  </si>
  <si>
    <t>[경기관제] 태블릿 운영 관리_태블릿 기능 설정 &gt; 경기진행 설정 영역에서 상세설명 문구 오류 및 관제 지연카트 모니터링 기능이 아닌, 다운로드 항목으로 제공되는 현상</t>
  </si>
  <si>
    <t>QA-14846</t>
  </si>
  <si>
    <t>[경기관제] 라운드 관리 &gt; 내장통계 테이블에 제공되는 SS 회원수가 상이한 현상</t>
  </si>
  <si>
    <t>[경기관제] 캐디 평가 &gt; 검색 영역에 조회 기간이 3년이 초과되도 검색되는 현상</t>
  </si>
  <si>
    <t>[결기관제] 홀맵관리 &gt; 홀맵구역설정 &gt; 구역관리 레이어 팝업 &gt; OB 설정 시, "OB생성" 툴팁 노출되는 현상</t>
  </si>
  <si>
    <t>QA-14849</t>
  </si>
  <si>
    <t>[경기관제] 라운드 관리 &gt; 내장 통계에 일평균 스스회원수 제공 카드의 평균일자가 1일로만 제공되는 현상</t>
  </si>
  <si>
    <t>[경기관제] 캐디 평가 &gt; 카드 영역 및 [내보내기] 버튼 수정 요청</t>
  </si>
  <si>
    <t>[경기관제] 태블릿 운영 관리_태블릿 기능 설정 &gt; 카트도로 이탈 메시지, 긴급호출 연락처 영역에 "(태블릿)" 문구 제공되는 현상</t>
  </si>
  <si>
    <t>[경기관제] 태블릿 운영 관리_태블릿 기능 설정 &gt; 중대재해 확인서 수정 팝업에서 본문 작성 시 스크롤되지않는 현상</t>
  </si>
  <si>
    <t>QA-14853</t>
  </si>
  <si>
    <t>[경기관제] 홀맵관리 &gt; 노출문구 길게 설정된 경우, 글자 잘리는 현상 발생</t>
  </si>
  <si>
    <t>QA-14854</t>
  </si>
  <si>
    <t>[경기관제] 라운드 관리 &gt; 내장통계 테이블에 데이터 미노출시 제공되는 문구가 기획가 상이한 현상</t>
  </si>
  <si>
    <t>[경기관제] 태블릿 운영 관리_메시지 관리 &gt; 탭 별 서브 타이틀 문구 상이 및 안내 문구 비제공되는 현상</t>
  </si>
  <si>
    <t>QA-14856</t>
  </si>
  <si>
    <t>[경기관제] 라운드 관리 &gt; 일별 내장 통계 내보내기 시 성별만 보기/연령만 보기 필터 설정 후 내보내도 전체 데이터 내보내기 되는 현상</t>
  </si>
  <si>
    <t xml:space="preserve">[경기관제] 고객평가 관리 &gt; 월별검색 드롭다운 리스트 박스가 '코스평가 현황' 테이블 아래로 노출되는 현상 </t>
  </si>
  <si>
    <t>QA-14858</t>
  </si>
  <si>
    <t>[경기관제] 홀맵관리 &gt; 구역관리 &gt; 다음 홀 방향 설정 시, 5개의 분기 노출되는 현상</t>
  </si>
  <si>
    <t>[경기관제] 태블릿 운영 관리_메시지 관리 &gt; 태블릿 메시지 탭에서 제목, 메시지 입력 시 최대 글자수가 기획과 상이한 현상</t>
  </si>
  <si>
    <t>다시 열림</t>
  </si>
  <si>
    <t>[경기관제] 태블릿 운영 관리_메시지 관리 &gt; 행 삭제하고 적용을 하지않았으나 반영되는 현상</t>
  </si>
  <si>
    <t>[경기관제] 태블릿 운영 관리_메시지 관리 &gt; 센터 메시지 탭에서 최대 글자수 제한이 기획과 상이한 현상</t>
  </si>
  <si>
    <t>QA-14862</t>
  </si>
  <si>
    <t>[경기관제] 라운드 관리 &gt; 전체 라운드 조회기간 역순 설정 가능한 현상</t>
  </si>
  <si>
    <t>QA-14863</t>
  </si>
  <si>
    <t>[경기관제] 라운드 관리 &gt; 일별 내장 통계 테이블 연령에 '기타' 컬럼 비노출되는 현상</t>
  </si>
  <si>
    <t>[경기관제] 고객평가 관리 &gt; 타이틀 및  조회 기간 수정 요청</t>
  </si>
  <si>
    <t>QA-14865</t>
  </si>
  <si>
    <t>[경기관제] 라운드 관리 &gt; 라운드 관리 &gt; 일별 내장 통계 테이블에 기타 값 비노출되는 현상</t>
  </si>
  <si>
    <t>[경기관제] 홀맵관리 &gt; 티샷 유의 거리 설정 &gt; 0 입력 후 저장 시, "0보다 큰 값을 적용가능합니다.", "저장되었습니다." 토스트 팝업 동시에 노출되는 현상</t>
  </si>
  <si>
    <t>[경기관제] 태블릿 운영 관리_메시지 관리 &gt; 분실물&amp;요청물품에서 21개까지 행 추가 가능하며 20자 초과하여 입력 가능한 현상</t>
  </si>
  <si>
    <t>QA-14868</t>
  </si>
  <si>
    <t>[경기관제] 라운드 관리 &gt; 전체라운드 테이블 컬럼이 기획과 상이한 현상</t>
  </si>
  <si>
    <t>[경기관제] 태블릿 운영 관리_홀 이벤트 관리 &gt; 안내 문구 오류 건</t>
  </si>
  <si>
    <t>QA-14870</t>
  </si>
  <si>
    <t>[경기관제] 라운드 관리 &gt; 전체 라운드의 내장객 수정 팝업 확인 시 기획과 상이한 현상</t>
  </si>
  <si>
    <t>김혜중</t>
  </si>
  <si>
    <t>QA-14871</t>
  </si>
  <si>
    <t>[경기관제] 라운드 관리 &gt; 전체 라운드 단체명 영역 및 수정 방법이 기획과 상이한 현상</t>
  </si>
  <si>
    <t>[경기관제] 후기 리스트 &gt; 골프장 의견 등록 팝업 문구 기획과 상이하며, 반응 정보 업데이트되지 않는 현상</t>
  </si>
  <si>
    <t>[경기관제] 후기 리스트 &gt; 카드 영역 '숨김 처리' 문구 기획과 상이한 현상</t>
  </si>
  <si>
    <t>[경기관제] 후기 리스트 &gt; [숨김 처리] 버튼 UI 변경 요청</t>
  </si>
  <si>
    <t>[경기관제] 태블릿 운영 관리_홀 이벤트 관리 &gt; 홀이벤트 추가 문구 띄어쓰기 및 팝업에서 이벤트 노출시간 안내문구가 상이한 현상</t>
  </si>
  <si>
    <t>[경기관제] 태블릿 운영 관리_홀 이벤트 관리 &gt; 이벤트가 추가된 상태에서 동일한 위치에 이벤트를 신규로 추가할 경우 얼럿 제공되지 않는 현상</t>
  </si>
  <si>
    <t>QA-14877</t>
  </si>
  <si>
    <t>[경기관제] 태블릿 운영 관리_홀 이벤트 관리 &gt; 홀 이벤트 추가에서 필수 항목 미입력 시 동작 확인 요청 건</t>
  </si>
  <si>
    <t>QA-14878</t>
  </si>
  <si>
    <t>[경기관제] 태블릿 운영 관리_홀 이벤트 관리 &gt; 홀 이벤트 추가 시 60초를 초과하여 저장 가능한 현상</t>
  </si>
  <si>
    <t>QA-14879</t>
  </si>
  <si>
    <t>[경기관제] 라운드 관리 &gt; 동일한 사람이 같은 날에 2번 라운드 할 경우 스스 회원 내장객 수에 2명으로 카운팅 되는 현상</t>
  </si>
  <si>
    <t>[경기관제] 캐디 관리_캐디 리스트 &gt; 그래프 영역에서 각 그래프별 안내문구와 뱃지 문구가 기획과 상이한 현상</t>
  </si>
  <si>
    <t>QA-14881</t>
  </si>
  <si>
    <t>[경기관제] 라운드 관리 &gt; 내장 현황의 유효 내장객  카운팅 조건과 내장 통계의 내장객 카운팅 조건이 맞지 않는 현상</t>
  </si>
  <si>
    <t>[경기관제] 캐디 관리 &gt; 캐디 리스트, 캐디 등록 관리에서 엔터로 검색안되는 현상</t>
  </si>
  <si>
    <t>[경기관제] 캐디 관리_캐디 리스트 &gt; 테이블 영역에 서브 타이틀과 안내문구가 비제공되는 현상</t>
  </si>
  <si>
    <t>QA-14884</t>
  </si>
  <si>
    <t>[경기관제] 홀맵관리 &gt; 카트패스 진입여부 설정 &gt; [전체 허용, 전체 제한] 버튼이 회색으로 노출되는 현상</t>
  </si>
  <si>
    <t>QA-14885</t>
  </si>
  <si>
    <t>[경기관제] 라운드 관리 &gt; 전체 라운드에서 라운드 스코어 카드 진입하여 확인 시 스코어 정보 제공 위치가 기획과 상이한 현상</t>
  </si>
  <si>
    <t>QA-14886</t>
  </si>
  <si>
    <t>[경기관제] 라운드 관리 &gt; 전체 라운드의 스코어 카드가 기획과 상이한 현상</t>
  </si>
  <si>
    <t>QA-14887</t>
  </si>
  <si>
    <t>[경기관제] 라운드 관리 &gt; 전체 라운드의 스코어 카드에서 전후반 스코어 변경 시 제공되는 팝업 문구가 기획과 상이한 현상</t>
  </si>
  <si>
    <t>QA-14888</t>
  </si>
  <si>
    <t>[경기관제] 라운드 관리 &gt; 스코어 카드에서 전후반 스코어 변경 시도 시 변경되지 않는 현상</t>
  </si>
  <si>
    <t>[경기관제] 후기 리스트 &gt; 골프장 의견 등록 팝업에서 필수값 입력 후 [의견 등록] 버튼 선택 시, '답변 내용을 입력해주세요' 토스트 팝업 발생되는 현상</t>
  </si>
  <si>
    <t>QA-14890</t>
  </si>
  <si>
    <t>[경기관제] 라운드 관리 &gt; 스코어 카드에서 디폴트가 가로로 제공되는 현상</t>
  </si>
  <si>
    <t>개선</t>
  </si>
  <si>
    <t>QA-14891</t>
  </si>
  <si>
    <t>[경기관제] 캐디 평가 &gt; 검색 조건 변경 후 [초기화] 버튼 선택 시, 화면 목록도 초기화 되도록 수정 요청</t>
  </si>
  <si>
    <t>[경기관제] 코스 운영 관리 &gt; 핀포지션 변경이력/분석 &gt; 기본 검색날짜 미설정, 검색기간 90일 이상 설정 시, 검색기간 초과 알럿 노출되지 않음.</t>
  </si>
  <si>
    <t>[경기관제] 고객 평가 &gt; 평가 현황 목록 '평균 평점' 내림차순으로 정렬되지 않는 현상</t>
  </si>
  <si>
    <t>QA-14894</t>
  </si>
  <si>
    <t>[경기관제] 라운드 관리 &gt; 라운드 카드에서 코스 변경 시도 시 코스 타이틀이 out/in 으로 제공되는 현상</t>
  </si>
  <si>
    <t>QA-14895</t>
  </si>
  <si>
    <t>[경기관제] 코스 운영 관리 &gt; 핀 포지션 분석 &gt; 코스 선택 Select 미노출되는 현상</t>
  </si>
  <si>
    <t>김지환</t>
  </si>
  <si>
    <t>[경기관제] 캐디 관리_캐디 실적 &gt; 안내 문구가 기획과 상이한 현상</t>
  </si>
  <si>
    <t>[경기관제] 후기 리스트 &gt; 골프장 의견 등록 '상태 요약' 영역에 리뷰 상태 데이터가 '접수 완료' 로만 제공되는 현상</t>
  </si>
  <si>
    <t>[경기관제] 코스 운영 관리 &gt; 핀 포지션 변경 이력, 핀 포지션 분석 &gt; [초기화] 버튼 미노출되는 현상</t>
  </si>
  <si>
    <t>[경기관제] 후기통계 &gt; 페이지 상단 타이틀 띄어쓰기 요청</t>
  </si>
  <si>
    <t>QA-14900</t>
  </si>
  <si>
    <t>[경기관제] 라운드 관리 &gt; 코스 변경 시도 시 컨펌 팝업 노출 없이 변경되는 현상</t>
  </si>
  <si>
    <t>QA-14901</t>
  </si>
  <si>
    <t>[경기관제] 라운드 관리 &gt; 스코어 카드에서 코스변경/티오프 변경 시 안내 문구 비노출 되는 현상</t>
  </si>
  <si>
    <t xml:space="preserve">[경기관제] 코스 운영 관리 &gt; 그린스피드 &gt; 그린스피드 입력 필드 &gt; 숫자 입력 &gt; 앱 미리보기 화면 확인 시, 이미지와 숫자 겹쳐보이며, 1000단위 이상 입력 시 영역 벗어나는 현상 </t>
  </si>
  <si>
    <t>정일영</t>
  </si>
  <si>
    <t>QA-14903</t>
  </si>
  <si>
    <t>[경기관제] 라운드 관리 &gt; 스코어 카드 상세에서 삭제 시도 시 리스트에서 바로 갱신되지 않는 현상</t>
  </si>
  <si>
    <t>[경기관제] 식음 관리_상품 등록 관리 &gt; 상품 등록 팝업 항목명 좌측 정렬로 변경 요청</t>
  </si>
  <si>
    <t>박옥선</t>
  </si>
  <si>
    <t>[경기관제] 핀 포지션 관련 항목 중 "핀 포지션 변경이력"만 띄어쓰기상이한 현상</t>
  </si>
  <si>
    <t>[경기관제] 캐디피 관리_캐디피 통계 &gt; 안내 문구 줄바꿈 처리 요청 건</t>
  </si>
  <si>
    <t>이슈 유형</t>
  </si>
  <si>
    <t>우선순위</t>
  </si>
  <si>
    <t>만듦</t>
  </si>
  <si>
    <t>결과 유형</t>
  </si>
  <si>
    <t>해결 날짜</t>
  </si>
  <si>
    <t>QA-14907</t>
  </si>
  <si>
    <t>[경기관제] 라운드 관리 &gt; 스코어 카드 인쇄하기 하여 미리보기 확인 시 실제 스코어 카드와 다른 정보 노출되는 현상</t>
  </si>
  <si>
    <t>맞춤채용정보의 경우 데이터가 없는 경우 미표시인지 확인 후 QA팀 답변 전달 필요 → 답변) 맞춤채용정보 영역전체 비표시
□ 채용정보 영역에서 10건 미만인 경우, [더보기] 버튼 노츨 여부에 대한 확인 후 QA 팀 답변 전달 필요 → 답변) 상시노출
□ 지원 시 남은 지원 기간 일주일 미만 건에 대한 알림 노출 문구 노출 여부 기획 정리. → 답변) 근무확정 시 팝업화면에 경고 노출됨, 지원시는 경고 없음
※참고: 캐디 근무는 (캐디)지원 → (골프장)채용 및 근무요청 → (캐다)근무확정 의 순서를 거칩니다.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</si>
</sst>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. d"/>
    <numFmt numFmtId="165" formatCode="yyyy-mm-dd"/>
  </numFmts>
  <fonts count="7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color rgb="FFFFFFFF"/>
      <name val="Arial"/>
    </font>
    <font>
      <sz val="9.0"/>
      <color theme="1"/>
      <name val="Arial"/>
    </font>
    <font/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color rgb="FFFF0000"/>
      <name val="Arial"/>
    </font>
    <font>
      <color rgb="FF0000FF"/>
      <name val="Arial"/>
    </font>
    <font>
      <color theme="1"/>
      <name val="Arial"/>
      <scheme val="minor"/>
    </font>
    <font>
      <b/>
      <sz val="9.0"/>
      <color theme="1"/>
      <name val="Arial"/>
    </font>
    <font>
      <b/>
      <color rgb="FFFFFFFF"/>
      <name val="&quot;Malgun Gothic&quot;"/>
    </font>
    <font>
      <b/>
      <sz val="11.0"/>
      <color rgb="FFFFFFFF"/>
      <name val="&quot;맑은 고딕&quot;"/>
    </font>
    <font>
      <sz val="9.0"/>
      <color rgb="FF000000"/>
      <name val="&quot;Malgun Gothic&quot;"/>
    </font>
    <font>
      <b/>
      <sz val="9.0"/>
      <color rgb="FF000000"/>
      <name val="&quot;Malgun Gothic&quot;"/>
    </font>
    <font>
      <b/>
      <sz val="9.0"/>
      <color rgb="FF7D6608"/>
      <name val="&quot;Malgun Gothic&quot;"/>
    </font>
    <font>
      <sz val="11.0"/>
      <color rgb="FF000000"/>
      <name val="&quot;맑은 고딕&quot;"/>
    </font>
    <font>
      <b/>
      <sz val="11.0"/>
      <color rgb="FF008000"/>
      <name val="&quot;맑은 고딕&quot;"/>
    </font>
    <font>
      <u/>
      <sz val="11.0"/>
      <color rgb="FF000000"/>
      <name val="&quot;맑은 고딕&quot;"/>
    </font>
    <font>
      <b/>
      <sz val="9.0"/>
      <color rgb="FF276221"/>
      <name val="&quot;Malgun Gothic&quot;"/>
    </font>
    <font>
      <sz val="9.0"/>
      <color rgb="FF444444"/>
      <name val="&quot;Malgun Gothic&quot;"/>
    </font>
    <font>
      <b/>
      <sz val="9.0"/>
      <color rgb="FF1F4E79"/>
      <name val="&quot;Malgun Gothic&quot;"/>
    </font>
    <font>
      <b/>
      <sz val="11.0"/>
      <color rgb="FFCC0000"/>
      <name val="&quot;맑은 고딕&quot;"/>
    </font>
    <font>
      <strike/>
      <color theme="1"/>
      <name val="Arial"/>
    </font>
    <font>
      <strike/>
      <sz val="11.0"/>
      <color rgb="FF000000"/>
      <name val="&quot;맑은 고딕&quot;"/>
    </font>
    <font>
      <b/>
      <strike/>
      <sz val="11.0"/>
      <color rgb="FFCC0000"/>
      <name val="&quot;맑은 고딕&quot;"/>
    </font>
    <font>
      <strike/>
      <sz val="9.0"/>
      <color rgb="FF999999"/>
      <name val="&quot;Malgun Gothic&quot;"/>
    </font>
    <font>
      <b/>
      <strike/>
      <sz val="9.0"/>
      <color rgb="FF999999"/>
      <name val="&quot;Malgun Gothic&quot;"/>
    </font>
    <font>
      <b/>
      <sz val="9.0"/>
      <color rgb="FFCC0000"/>
      <name val="&quot;Malgun Gothic&quot;"/>
    </font>
    <font>
      <b/>
      <color theme="1"/>
      <name val="Calibri"/>
    </font>
    <font>
      <color theme="1"/>
      <name val="Calibri"/>
    </font>
    <font>
      <b/>
      <sz val="12.0"/>
      <color rgb="FFFFFFFF"/>
      <name val="Arial"/>
    </font>
    <font>
      <b/>
      <sz val="9.0"/>
      <color rgb="FFFFFFFF"/>
      <name val="Arial"/>
    </font>
    <font>
      <sz val="9.0"/>
      <color rgb="FF1A1A1A"/>
      <name val="Arial"/>
    </font>
    <font>
      <b/>
      <sz val="9.0"/>
      <color rgb="FF276221"/>
      <name val="Arial"/>
    </font>
    <font>
      <b/>
      <sz val="9.0"/>
      <color rgb="FF7B5C00"/>
      <name val="Arial"/>
    </font>
    <font>
      <b/>
      <sz val="9.0"/>
      <color rgb="FF8B0000"/>
      <name val="Arial"/>
    </font>
    <font>
      <sz val="11.0"/>
      <color rgb="FF0A0A0A"/>
      <name val="&quot;Anthropic Sans&quot;"/>
    </font>
    <font>
      <u/>
      <sz val="8.0"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sz val="8.0"/>
      <color theme="1"/>
      <name val="Arial"/>
    </font>
    <font>
      <u/>
      <color rgb="FF1155CC"/>
    </font>
    <font>
      <u/>
      <color rgb="FF0000FF"/>
      <name val="Arial"/>
    </font>
    <font>
      <u/>
      <sz val="8.0"/>
      <color rgb="FF0000FF"/>
    </font>
    <font>
      <sz val="8.0"/>
      <color theme="1"/>
      <name val="Arial"/>
      <scheme val="minor"/>
    </font>
    <font>
      <sz val="8.0"/>
      <color rgb="FF1F1F1F"/>
      <name val="Arial"/>
    </font>
    <font>
      <u/>
      <color rgb="FF0000FF"/>
    </font>
    <font>
      <color rgb="FF000000"/>
      <name val="Arial"/>
    </font>
    <font>
      <u/>
      <color rgb="FF0000FF"/>
    </font>
    <font>
      <sz val="8.0"/>
      <color rgb="FF000000"/>
      <name val="Arial"/>
      <scheme val="minor"/>
    </font>
    <font>
      <u/>
      <color rgb="FF1155CC"/>
      <name val="Arial"/>
      <scheme val="minor"/>
    </font>
    <font>
      <u/>
      <sz val="8.0"/>
      <color rgb="FF0000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1565C0"/>
      <name val="Arial"/>
    </font>
    <font>
      <sz val="10.0"/>
      <color rgb="FF999999"/>
      <name val="Arial"/>
    </font>
    <font>
      <sz val="9.0"/>
      <color rgb="FF616161"/>
      <name val="Arial"/>
    </font>
    <font>
      <b/>
      <color rgb="FFB71C1C"/>
      <name val="Arial"/>
    </font>
    <font>
      <strike/>
      <color rgb="FFBDBDBD"/>
      <name val="Arial"/>
    </font>
    <font>
      <strike/>
      <sz val="10.0"/>
      <color rgb="FFBDBDBD"/>
      <name val="Arial"/>
    </font>
    <font>
      <sz val="10.0"/>
      <color rgb="FFBDBDBD"/>
      <name val="Arial"/>
    </font>
    <font>
      <u/>
      <color rgb="FF0000FF"/>
      <name val="Arial"/>
    </font>
    <font>
      <sz val="10.0"/>
      <color theme="1"/>
      <name val="Calibri"/>
    </font>
    <font>
      <b/>
      <sz val="10.0"/>
      <color rgb="FFB71C1C"/>
      <name val="Arial"/>
    </font>
    <font>
      <b/>
      <color rgb="FF0D47A1"/>
      <name val="Arial"/>
    </font>
    <font>
      <b/>
      <sz val="11.0"/>
      <color rgb="FFFFFFFF"/>
      <name val="Arial"/>
    </font>
    <font>
      <b/>
      <color rgb="FFFFFFFF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1F4E79"/>
        <bgColor rgb="FF1F4E79"/>
      </patternFill>
    </fill>
    <fill>
      <patternFill patternType="solid">
        <fgColor rgb="FF2F3B52"/>
        <bgColor rgb="FF2F3B52"/>
      </patternFill>
    </fill>
    <fill>
      <patternFill patternType="solid">
        <fgColor rgb="FFF4CCCC"/>
        <bgColor rgb="FFF4CCCC"/>
      </patternFill>
    </fill>
    <fill>
      <patternFill patternType="solid">
        <fgColor rgb="FFFFF9C4"/>
        <bgColor rgb="FFFFF9C4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DDEBF7"/>
        <bgColor rgb="FFDDEBF7"/>
      </patternFill>
    </fill>
    <fill>
      <patternFill patternType="solid">
        <fgColor rgb="FFFFCCCC"/>
        <bgColor rgb="FFFFCCCC"/>
      </patternFill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E8F0FB"/>
        <bgColor rgb="FFE8F0FB"/>
      </patternFill>
    </fill>
    <fill>
      <patternFill patternType="solid">
        <fgColor rgb="FFE2EFDA"/>
        <bgColor rgb="FFE2EFDA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CE4D6"/>
        <bgColor rgb="FFFCE4D6"/>
      </patternFill>
    </fill>
    <fill>
      <patternFill patternType="solid">
        <fgColor rgb="FFFCE4EC"/>
        <bgColor rgb="FFFCE4EC"/>
      </patternFill>
    </fill>
    <fill>
      <patternFill patternType="solid">
        <fgColor rgb="FFEDE7F6"/>
        <bgColor rgb="FFEDE7F6"/>
      </patternFill>
    </fill>
    <fill>
      <patternFill patternType="solid">
        <fgColor rgb="FFE0F7FA"/>
        <bgColor rgb="FFE0F7FA"/>
      </patternFill>
    </fill>
    <fill>
      <patternFill patternType="solid">
        <fgColor rgb="FFF3E5F5"/>
        <bgColor rgb="FFF3E5F5"/>
      </patternFill>
    </fill>
    <fill>
      <patternFill patternType="solid">
        <fgColor rgb="FFE1F5FE"/>
        <bgColor rgb="FFE1F5FE"/>
      </patternFill>
    </fill>
    <fill>
      <patternFill patternType="solid">
        <fgColor rgb="FFF9FBE7"/>
        <bgColor rgb="FFF9FBE7"/>
      </patternFill>
    </fill>
    <fill>
      <patternFill patternType="solid">
        <fgColor rgb="FFFBE9E7"/>
        <bgColor rgb="FFFBE9E7"/>
      </patternFill>
    </fill>
    <fill>
      <patternFill patternType="solid">
        <fgColor rgb="FFE0F2F1"/>
        <bgColor rgb="FFE0F2F1"/>
      </patternFill>
    </fill>
    <fill>
      <patternFill patternType="solid">
        <fgColor rgb="FFFAFAFA"/>
        <bgColor rgb="FFFAFAFA"/>
      </patternFill>
    </fill>
    <fill>
      <patternFill patternType="solid">
        <fgColor rgb="FFFDFDFC"/>
        <bgColor rgb="FFFDFDF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F5F5DC"/>
        <bgColor rgb="FFF5F5DC"/>
      </patternFill>
    </fill>
    <fill>
      <patternFill patternType="solid">
        <fgColor rgb="FFFFEBEE"/>
        <bgColor rgb="FFFFEBEE"/>
      </patternFill>
    </fill>
    <fill>
      <patternFill patternType="solid">
        <fgColor rgb="FFE3F2FD"/>
        <bgColor rgb="FFE3F2FD"/>
      </patternFill>
    </fill>
    <fill>
      <patternFill patternType="solid">
        <fgColor rgb="FF70AD47"/>
        <bgColor rgb="FF70AD47"/>
      </patternFill>
    </fill>
    <fill>
      <patternFill patternType="solid">
        <fgColor rgb="FF4A86E8"/>
        <bgColor rgb="FF4A86E8"/>
      </patternFill>
    </fill>
  </fills>
  <borders count="3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999999"/>
      </left>
      <right style="thin">
        <color rgb="FF999999"/>
      </right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0" fontId="2" numFmtId="0" xfId="0" applyAlignment="1" applyBorder="1" applyFont="1">
      <alignment vertical="center"/>
    </xf>
    <xf borderId="5" fillId="0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vertical="center"/>
    </xf>
    <xf borderId="6" fillId="2" fontId="2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center" vertical="center"/>
    </xf>
    <xf borderId="6" fillId="3" fontId="4" numFmtId="0" xfId="0" applyAlignment="1" applyBorder="1" applyFill="1" applyFont="1">
      <alignment horizontal="center" readingOrder="0" vertical="center"/>
    </xf>
    <xf borderId="7" fillId="0" fontId="2" numFmtId="0" xfId="0" applyAlignment="1" applyBorder="1" applyFont="1">
      <alignment vertical="center"/>
    </xf>
    <xf borderId="0" fillId="0" fontId="5" numFmtId="0" xfId="0" applyAlignment="1" applyFont="1">
      <alignment readingOrder="0" vertical="center"/>
    </xf>
    <xf borderId="4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8" fillId="2" fontId="2" numFmtId="0" xfId="0" applyAlignment="1" applyBorder="1" applyFont="1">
      <alignment horizontal="center" readingOrder="0" vertical="center"/>
    </xf>
    <xf borderId="9" fillId="0" fontId="6" numFmtId="0" xfId="0" applyBorder="1" applyFont="1"/>
    <xf borderId="8" fillId="2" fontId="2" numFmtId="0" xfId="0" applyAlignment="1" applyBorder="1" applyFont="1">
      <alignment horizontal="center" readingOrder="0" vertical="center"/>
    </xf>
    <xf borderId="10" fillId="0" fontId="6" numFmtId="0" xfId="0" applyBorder="1" applyFont="1"/>
    <xf borderId="8" fillId="0" fontId="7" numFmtId="0" xfId="0" applyAlignment="1" applyBorder="1" applyFont="1">
      <alignment horizontal="left" readingOrder="0" shrinkToFit="0" vertical="center" wrapText="1"/>
    </xf>
    <xf borderId="8" fillId="0" fontId="8" numFmtId="0" xfId="0" applyAlignment="1" applyBorder="1" applyFont="1">
      <alignment horizontal="left" readingOrder="0" vertical="center"/>
    </xf>
    <xf borderId="8" fillId="0" fontId="2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right" readingOrder="0" vertical="center"/>
    </xf>
    <xf borderId="11" fillId="2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 readingOrder="0"/>
    </xf>
    <xf borderId="11" fillId="2" fontId="2" numFmtId="0" xfId="0" applyAlignment="1" applyBorder="1" applyFont="1">
      <alignment horizontal="center" readingOrder="0"/>
    </xf>
    <xf borderId="11" fillId="2" fontId="2" numFmtId="0" xfId="0" applyAlignment="1" applyBorder="1" applyFont="1">
      <alignment horizontal="center"/>
    </xf>
    <xf borderId="11" fillId="4" fontId="2" numFmtId="10" xfId="0" applyAlignment="1" applyBorder="1" applyFill="1" applyFont="1" applyNumberFormat="1">
      <alignment horizontal="center"/>
    </xf>
    <xf borderId="11" fillId="0" fontId="2" numFmtId="10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 readingOrder="0" vertical="center"/>
    </xf>
    <xf borderId="11" fillId="2" fontId="2" numFmtId="0" xfId="0" applyAlignment="1" applyBorder="1" applyFont="1">
      <alignment horizontal="center" vertical="center"/>
    </xf>
    <xf borderId="11" fillId="0" fontId="2" numFmtId="10" xfId="0" applyAlignment="1" applyBorder="1" applyFont="1" applyNumberFormat="1">
      <alignment horizontal="center" vertical="center"/>
    </xf>
    <xf borderId="12" fillId="2" fontId="2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 readingOrder="0" shrinkToFit="0" vertical="center" wrapText="1"/>
    </xf>
    <xf borderId="8" fillId="4" fontId="2" numFmtId="0" xfId="0" applyAlignment="1" applyBorder="1" applyFont="1">
      <alignment horizontal="center" shrinkToFit="0" vertical="center" wrapText="1"/>
    </xf>
    <xf borderId="13" fillId="0" fontId="6" numFmtId="0" xfId="0" applyBorder="1" applyFont="1"/>
    <xf borderId="11" fillId="4" fontId="2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center" shrinkToFit="0" vertical="center" wrapText="1"/>
    </xf>
    <xf borderId="0" fillId="0" fontId="1" numFmtId="10" xfId="0" applyAlignment="1" applyFont="1" applyNumberFormat="1">
      <alignment vertical="center"/>
    </xf>
    <xf borderId="11" fillId="2" fontId="1" numFmtId="0" xfId="0" applyAlignment="1" applyBorder="1" applyFont="1">
      <alignment horizontal="center" shrinkToFit="0" vertical="center" wrapText="1"/>
    </xf>
    <xf borderId="0" fillId="5" fontId="1" numFmtId="0" xfId="0" applyAlignment="1" applyFill="1" applyFont="1">
      <alignment horizontal="center" shrinkToFit="0" vertical="center" wrapText="1"/>
    </xf>
    <xf borderId="14" fillId="6" fontId="1" numFmtId="0" xfId="0" applyAlignment="1" applyBorder="1" applyFill="1" applyFont="1">
      <alignment horizontal="center" vertical="center"/>
    </xf>
    <xf borderId="8" fillId="6" fontId="1" numFmtId="0" xfId="0" applyAlignment="1" applyBorder="1" applyFont="1">
      <alignment horizontal="center" vertical="center"/>
    </xf>
    <xf borderId="15" fillId="0" fontId="6" numFmtId="0" xfId="0" applyBorder="1" applyFont="1"/>
    <xf borderId="11" fillId="6" fontId="1" numFmtId="0" xfId="0" applyAlignment="1" applyBorder="1" applyFont="1">
      <alignment horizontal="center" vertical="center"/>
    </xf>
    <xf borderId="8" fillId="7" fontId="10" numFmtId="10" xfId="0" applyAlignment="1" applyBorder="1" applyFill="1" applyFont="1" applyNumberFormat="1">
      <alignment horizontal="center" vertical="center"/>
    </xf>
    <xf borderId="11" fillId="6" fontId="2" numFmtId="0" xfId="0" applyAlignment="1" applyBorder="1" applyFont="1">
      <alignment horizontal="center" vertical="center"/>
    </xf>
    <xf borderId="11" fillId="5" fontId="2" numFmtId="0" xfId="0" applyAlignment="1" applyBorder="1" applyFont="1">
      <alignment horizontal="center" vertical="center"/>
    </xf>
    <xf borderId="8" fillId="8" fontId="2" numFmtId="0" xfId="0" applyAlignment="1" applyBorder="1" applyFill="1" applyFont="1">
      <alignment horizontal="center" vertical="center"/>
    </xf>
    <xf borderId="11" fillId="6" fontId="10" numFmtId="0" xfId="0" applyAlignment="1" applyBorder="1" applyFont="1">
      <alignment horizontal="center" vertical="center"/>
    </xf>
    <xf borderId="11" fillId="5" fontId="10" numFmtId="0" xfId="0" applyAlignment="1" applyBorder="1" applyFont="1">
      <alignment horizontal="center" vertical="center"/>
    </xf>
    <xf borderId="0" fillId="5" fontId="1" numFmtId="0" xfId="0" applyAlignment="1" applyFont="1">
      <alignment vertical="center"/>
    </xf>
    <xf borderId="11" fillId="6" fontId="11" numFmtId="0" xfId="0" applyAlignment="1" applyBorder="1" applyFont="1">
      <alignment horizontal="center" vertical="center"/>
    </xf>
    <xf borderId="11" fillId="5" fontId="11" numFmtId="0" xfId="0" applyAlignment="1" applyBorder="1" applyFont="1">
      <alignment horizontal="center" vertical="center"/>
    </xf>
    <xf borderId="16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17" fillId="0" fontId="1" numFmtId="0" xfId="0" applyBorder="1" applyFont="1"/>
    <xf borderId="17" fillId="0" fontId="1" numFmtId="10" xfId="0" applyAlignment="1" applyBorder="1" applyFont="1" applyNumberFormat="1">
      <alignment horizontal="right"/>
    </xf>
    <xf borderId="18" fillId="0" fontId="1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12" fillId="0" fontId="13" numFmtId="0" xfId="0" applyAlignment="1" applyBorder="1" applyFont="1">
      <alignment horizontal="center" shrinkToFit="0" vertical="center" wrapText="1"/>
    </xf>
    <xf borderId="8" fillId="5" fontId="13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readingOrder="0" shrinkToFit="0" vertical="center" wrapText="1"/>
    </xf>
    <xf borderId="14" fillId="0" fontId="13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bottom"/>
    </xf>
    <xf borderId="12" fillId="5" fontId="13" numFmtId="0" xfId="0" applyAlignment="1" applyBorder="1" applyFont="1">
      <alignment horizontal="center" shrinkToFit="0" vertical="center" wrapText="1"/>
    </xf>
    <xf borderId="20" fillId="0" fontId="6" numFmtId="0" xfId="0" applyBorder="1" applyFont="1"/>
    <xf borderId="0" fillId="9" fontId="14" numFmtId="0" xfId="0" applyAlignment="1" applyFill="1" applyFont="1">
      <alignment horizontal="center" readingOrder="0"/>
    </xf>
    <xf borderId="0" fillId="10" fontId="15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8" fillId="0" fontId="5" numFmtId="0" xfId="0" applyAlignment="1" applyBorder="1" applyFont="1">
      <alignment horizontal="center" shrinkToFit="0" vertical="center" wrapText="1"/>
    </xf>
    <xf borderId="19" fillId="11" fontId="2" numFmtId="0" xfId="0" applyAlignment="1" applyBorder="1" applyFill="1" applyFont="1">
      <alignment horizontal="center" readingOrder="0" shrinkToFit="0" vertical="center" wrapText="1"/>
    </xf>
    <xf borderId="21" fillId="5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vertical="bottom"/>
    </xf>
    <xf borderId="21" fillId="0" fontId="1" numFmtId="0" xfId="0" applyAlignment="1" applyBorder="1" applyFont="1">
      <alignment vertical="bottom"/>
    </xf>
    <xf borderId="0" fillId="12" fontId="16" numFmtId="0" xfId="0" applyAlignment="1" applyFill="1" applyFont="1">
      <alignment horizontal="center" readingOrder="0" vertical="center"/>
    </xf>
    <xf borderId="0" fillId="12" fontId="16" numFmtId="0" xfId="0" applyAlignment="1" applyFont="1">
      <alignment horizontal="left" readingOrder="0" vertical="center"/>
    </xf>
    <xf borderId="0" fillId="12" fontId="17" numFmtId="0" xfId="0" applyAlignment="1" applyFont="1">
      <alignment horizontal="left" readingOrder="0" vertical="center"/>
    </xf>
    <xf borderId="0" fillId="12" fontId="18" numFmtId="0" xfId="0" applyAlignment="1" applyFont="1">
      <alignment horizontal="left" readingOrder="0" vertical="center"/>
    </xf>
    <xf borderId="9" fillId="0" fontId="5" numFmtId="0" xfId="0" applyAlignment="1" applyBorder="1" applyFont="1">
      <alignment readingOrder="0" shrinkToFit="0" vertical="center" wrapText="1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19" fillId="11" fontId="2" numFmtId="0" xfId="0" applyAlignment="1" applyBorder="1" applyFont="1">
      <alignment horizontal="center" shrinkToFit="0" vertical="center" wrapText="1"/>
    </xf>
    <xf borderId="21" fillId="5" fontId="1" numFmtId="0" xfId="0" applyAlignment="1" applyBorder="1" applyFont="1">
      <alignment horizontal="center" shrinkToFit="0" vertical="center" wrapText="1"/>
    </xf>
    <xf borderId="0" fillId="13" fontId="16" numFmtId="0" xfId="0" applyAlignment="1" applyFill="1" applyFont="1">
      <alignment horizontal="center" readingOrder="0" vertical="center"/>
    </xf>
    <xf borderId="0" fillId="13" fontId="16" numFmtId="0" xfId="0" applyAlignment="1" applyFont="1">
      <alignment horizontal="left" readingOrder="0" vertical="center"/>
    </xf>
    <xf borderId="0" fillId="13" fontId="17" numFmtId="0" xfId="0" applyAlignment="1" applyFont="1">
      <alignment horizontal="left" readingOrder="0" vertical="center"/>
    </xf>
    <xf borderId="0" fillId="13" fontId="22" numFmtId="0" xfId="0" applyAlignment="1" applyFont="1">
      <alignment horizontal="left" readingOrder="0" vertical="center"/>
    </xf>
    <xf borderId="23" fillId="0" fontId="6" numFmtId="0" xfId="0" applyBorder="1" applyFont="1"/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0" fillId="0" fontId="23" numFmtId="0" xfId="0" applyAlignment="1" applyFont="1">
      <alignment horizontal="left" readingOrder="0" vertical="center"/>
    </xf>
    <xf borderId="21" fillId="14" fontId="1" numFmtId="0" xfId="0" applyAlignment="1" applyBorder="1" applyFill="1" applyFont="1">
      <alignment horizontal="center" shrinkToFit="0" vertical="center" wrapText="1"/>
    </xf>
    <xf borderId="21" fillId="14" fontId="1" numFmtId="0" xfId="0" applyAlignment="1" applyBorder="1" applyFont="1">
      <alignment horizontal="center" vertical="center"/>
    </xf>
    <xf borderId="22" fillId="14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readingOrder="0" vertical="bottom"/>
    </xf>
    <xf borderId="21" fillId="0" fontId="1" numFmtId="0" xfId="0" applyAlignment="1" applyBorder="1" applyFont="1">
      <alignment readingOrder="0" vertical="bottom"/>
    </xf>
    <xf borderId="0" fillId="15" fontId="16" numFmtId="0" xfId="0" applyAlignment="1" applyFill="1" applyFont="1">
      <alignment horizontal="center" readingOrder="0" vertical="center"/>
    </xf>
    <xf borderId="0" fillId="15" fontId="16" numFmtId="0" xfId="0" applyAlignment="1" applyFont="1">
      <alignment horizontal="left" readingOrder="0" vertical="center"/>
    </xf>
    <xf borderId="0" fillId="15" fontId="17" numFmtId="0" xfId="0" applyAlignment="1" applyFont="1">
      <alignment horizontal="left" readingOrder="0" vertical="center"/>
    </xf>
    <xf borderId="0" fillId="15" fontId="24" numFmtId="0" xfId="0" applyAlignment="1" applyFont="1">
      <alignment horizontal="left" readingOrder="0" vertical="center"/>
    </xf>
    <xf borderId="19" fillId="2" fontId="2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readingOrder="0" shrinkToFit="0" vertical="bottom" wrapText="0"/>
    </xf>
    <xf borderId="21" fillId="8" fontId="26" numFmtId="0" xfId="0" applyAlignment="1" applyBorder="1" applyFont="1">
      <alignment horizontal="center" shrinkToFit="0" vertical="center" wrapText="1"/>
    </xf>
    <xf borderId="21" fillId="8" fontId="26" numFmtId="0" xfId="0" applyAlignment="1" applyBorder="1" applyFont="1">
      <alignment horizontal="center" vertical="center"/>
    </xf>
    <xf borderId="21" fillId="8" fontId="26" numFmtId="0" xfId="0" applyAlignment="1" applyBorder="1" applyFont="1">
      <alignment horizontal="center" readingOrder="0" vertical="center"/>
    </xf>
    <xf borderId="22" fillId="8" fontId="1" numFmtId="0" xfId="0" applyAlignment="1" applyBorder="1" applyFont="1">
      <alignment horizontal="center" readingOrder="0" vertical="center"/>
    </xf>
    <xf borderId="22" fillId="8" fontId="1" numFmtId="0" xfId="0" applyAlignment="1" applyBorder="1" applyFont="1">
      <alignment readingOrder="0" vertical="bottom"/>
    </xf>
    <xf borderId="21" fillId="8" fontId="1" numFmtId="0" xfId="0" applyAlignment="1" applyBorder="1" applyFont="1">
      <alignment readingOrder="0" vertical="bottom"/>
    </xf>
    <xf borderId="19" fillId="6" fontId="2" numFmtId="0" xfId="0" applyAlignment="1" applyBorder="1" applyFont="1">
      <alignment horizontal="center" readingOrder="0" shrinkToFit="0" vertical="center" wrapText="1"/>
    </xf>
    <xf borderId="19" fillId="6" fontId="2" numFmtId="0" xfId="0" applyAlignment="1" applyBorder="1" applyFont="1">
      <alignment horizontal="center" shrinkToFit="0" vertical="center" wrapText="1"/>
    </xf>
    <xf borderId="19" fillId="2" fontId="2" numFmtId="0" xfId="0" applyAlignment="1" applyBorder="1" applyFont="1">
      <alignment horizontal="center" readingOrder="0" shrinkToFit="0" vertical="center" wrapText="1"/>
    </xf>
    <xf borderId="19" fillId="13" fontId="2" numFmtId="0" xfId="0" applyAlignment="1" applyBorder="1" applyFont="1">
      <alignment horizontal="center" readingOrder="0" shrinkToFit="0" vertical="center" wrapText="1"/>
    </xf>
    <xf borderId="19" fillId="13" fontId="2" numFmtId="0" xfId="0" applyAlignment="1" applyBorder="1" applyFont="1">
      <alignment horizontal="center" shrinkToFit="0" vertical="center" wrapText="1"/>
    </xf>
    <xf borderId="21" fillId="5" fontId="1" numFmtId="0" xfId="0" applyAlignment="1" applyBorder="1" applyFont="1">
      <alignment horizontal="center" shrinkToFit="0" vertical="center" wrapText="1"/>
    </xf>
    <xf quotePrefix="1" borderId="0" fillId="0" fontId="12" numFmtId="0" xfId="0" applyAlignment="1" applyFont="1">
      <alignment readingOrder="0"/>
    </xf>
    <xf borderId="0" fillId="0" fontId="27" numFmtId="0" xfId="0" applyAlignment="1" applyFont="1">
      <alignment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27" numFmtId="0" xfId="0" applyAlignment="1" applyFont="1">
      <alignment shrinkToFit="0" vertical="bottom" wrapText="0"/>
    </xf>
    <xf borderId="19" fillId="13" fontId="2" numFmtId="0" xfId="0" applyAlignment="1" applyBorder="1" applyFont="1">
      <alignment horizontal="center" shrinkToFit="0" vertical="center" wrapText="1"/>
    </xf>
    <xf borderId="21" fillId="14" fontId="1" numFmtId="0" xfId="0" applyAlignment="1" applyBorder="1" applyFont="1">
      <alignment horizontal="center" shrinkToFit="0" vertical="center" wrapText="1"/>
    </xf>
    <xf borderId="21" fillId="14" fontId="1" numFmtId="0" xfId="0" applyAlignment="1" applyBorder="1" applyFont="1">
      <alignment horizontal="center" readingOrder="0" vertical="center"/>
    </xf>
    <xf borderId="21" fillId="0" fontId="5" numFmtId="0" xfId="0" applyAlignment="1" applyBorder="1" applyFont="1">
      <alignment horizontal="center" shrinkToFit="0" vertical="center" wrapText="1"/>
    </xf>
    <xf borderId="21" fillId="5" fontId="2" numFmtId="0" xfId="0" applyAlignment="1" applyBorder="1" applyFont="1">
      <alignment horizontal="center" readingOrder="0" shrinkToFit="0" vertical="center" wrapText="1"/>
    </xf>
    <xf borderId="21" fillId="14" fontId="1" numFmtId="0" xfId="0" applyAlignment="1" applyBorder="1" applyFont="1">
      <alignment horizontal="center" readingOrder="0" vertical="bottom"/>
    </xf>
    <xf borderId="21" fillId="14" fontId="1" numFmtId="0" xfId="0" applyAlignment="1" applyBorder="1" applyFont="1">
      <alignment horizontal="center" vertical="bottom"/>
    </xf>
    <xf borderId="22" fillId="14" fontId="1" numFmtId="0" xfId="0" applyAlignment="1" applyBorder="1" applyFont="1">
      <alignment horizontal="center" vertical="bottom"/>
    </xf>
    <xf borderId="0" fillId="16" fontId="29" numFmtId="0" xfId="0" applyAlignment="1" applyFill="1" applyFont="1">
      <alignment horizontal="center" readingOrder="0" vertical="center"/>
    </xf>
    <xf borderId="0" fillId="16" fontId="29" numFmtId="0" xfId="0" applyAlignment="1" applyFont="1">
      <alignment horizontal="left" readingOrder="0" vertical="center"/>
    </xf>
    <xf borderId="0" fillId="16" fontId="30" numFmtId="0" xfId="0" applyAlignment="1" applyFont="1">
      <alignment horizontal="left" readingOrder="0" vertical="center"/>
    </xf>
    <xf borderId="0" fillId="16" fontId="31" numFmtId="0" xfId="0" applyAlignment="1" applyFont="1">
      <alignment horizontal="left" readingOrder="0" vertical="center"/>
    </xf>
    <xf borderId="12" fillId="0" fontId="2" numFmtId="0" xfId="0" applyAlignment="1" applyBorder="1" applyFont="1">
      <alignment horizontal="center" shrinkToFit="0" vertical="center" wrapText="1"/>
    </xf>
    <xf borderId="8" fillId="5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0" fontId="3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1" fillId="5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readingOrder="0" vertical="center"/>
    </xf>
    <xf borderId="11" fillId="0" fontId="1" numFmtId="0" xfId="0" applyAlignment="1" applyBorder="1" applyFont="1">
      <alignment vertical="center"/>
    </xf>
    <xf borderId="11" fillId="0" fontId="33" numFmtId="0" xfId="0" applyAlignment="1" applyBorder="1" applyFont="1">
      <alignment horizontal="center" shrinkToFit="0" vertical="center" wrapText="1"/>
    </xf>
    <xf borderId="11" fillId="0" fontId="33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0" fillId="17" fontId="34" numFmtId="0" xfId="0" applyAlignment="1" applyFill="1" applyFont="1">
      <alignment horizontal="center" readingOrder="0" vertical="center"/>
    </xf>
    <xf borderId="0" fillId="18" fontId="35" numFmtId="0" xfId="0" applyAlignment="1" applyFill="1" applyFont="1">
      <alignment horizontal="center" readingOrder="0" vertical="center"/>
    </xf>
    <xf borderId="0" fillId="19" fontId="36" numFmtId="0" xfId="0" applyAlignment="1" applyFill="1" applyFont="1">
      <alignment horizontal="center" readingOrder="0" vertical="center"/>
    </xf>
    <xf borderId="0" fillId="19" fontId="36" numFmtId="0" xfId="0" applyAlignment="1" applyFont="1">
      <alignment horizontal="left" readingOrder="0" vertical="center"/>
    </xf>
    <xf borderId="0" fillId="20" fontId="37" numFmtId="0" xfId="0" applyAlignment="1" applyFill="1" applyFont="1">
      <alignment horizontal="center" readingOrder="0" vertical="center"/>
    </xf>
    <xf borderId="0" fillId="21" fontId="36" numFmtId="0" xfId="0" applyAlignment="1" applyFill="1" applyFont="1">
      <alignment horizontal="center" readingOrder="0" vertical="center"/>
    </xf>
    <xf borderId="0" fillId="21" fontId="36" numFmtId="0" xfId="0" applyAlignment="1" applyFont="1">
      <alignment horizontal="left" readingOrder="0" vertical="center"/>
    </xf>
    <xf borderId="0" fillId="21" fontId="36" numFmtId="0" xfId="0" applyAlignment="1" applyFont="1">
      <alignment horizontal="left" vertical="center"/>
    </xf>
    <xf borderId="0" fillId="22" fontId="36" numFmtId="0" xfId="0" applyAlignment="1" applyFill="1" applyFont="1">
      <alignment horizontal="center" readingOrder="0" vertical="center"/>
    </xf>
    <xf borderId="0" fillId="22" fontId="36" numFmtId="0" xfId="0" applyAlignment="1" applyFont="1">
      <alignment horizontal="center" vertical="center"/>
    </xf>
    <xf borderId="0" fillId="22" fontId="36" numFmtId="0" xfId="0" applyAlignment="1" applyFont="1">
      <alignment horizontal="left" readingOrder="0" vertical="center"/>
    </xf>
    <xf borderId="0" fillId="22" fontId="36" numFmtId="0" xfId="0" applyAlignment="1" applyFont="1">
      <alignment horizontal="left" vertical="center"/>
    </xf>
    <xf borderId="0" fillId="6" fontId="38" numFmtId="0" xfId="0" applyAlignment="1" applyFont="1">
      <alignment horizontal="center" readingOrder="0" vertical="center"/>
    </xf>
    <xf borderId="0" fillId="23" fontId="36" numFmtId="0" xfId="0" applyAlignment="1" applyFill="1" applyFont="1">
      <alignment horizontal="center" readingOrder="0" vertical="center"/>
    </xf>
    <xf borderId="0" fillId="23" fontId="36" numFmtId="0" xfId="0" applyAlignment="1" applyFont="1">
      <alignment horizontal="left" readingOrder="0" vertical="center"/>
    </xf>
    <xf borderId="0" fillId="24" fontId="39" numFmtId="0" xfId="0" applyAlignment="1" applyFill="1" applyFont="1">
      <alignment horizontal="center" readingOrder="0" vertical="center"/>
    </xf>
    <xf borderId="0" fillId="25" fontId="36" numFmtId="0" xfId="0" applyAlignment="1" applyFill="1" applyFont="1">
      <alignment horizontal="center" readingOrder="0" vertical="center"/>
    </xf>
    <xf borderId="0" fillId="25" fontId="36" numFmtId="0" xfId="0" applyAlignment="1" applyFont="1">
      <alignment horizontal="left" readingOrder="0" vertical="center"/>
    </xf>
    <xf borderId="0" fillId="25" fontId="36" numFmtId="0" xfId="0" applyAlignment="1" applyFont="1">
      <alignment horizontal="left" vertical="center"/>
    </xf>
    <xf borderId="0" fillId="26" fontId="36" numFmtId="0" xfId="0" applyAlignment="1" applyFill="1" applyFont="1">
      <alignment horizontal="center" readingOrder="0" vertical="center"/>
    </xf>
    <xf borderId="0" fillId="26" fontId="36" numFmtId="0" xfId="0" applyAlignment="1" applyFont="1">
      <alignment horizontal="left" readingOrder="0" vertical="center"/>
    </xf>
    <xf borderId="0" fillId="27" fontId="36" numFmtId="0" xfId="0" applyAlignment="1" applyFill="1" applyFont="1">
      <alignment horizontal="center" readingOrder="0" vertical="center"/>
    </xf>
    <xf borderId="0" fillId="27" fontId="36" numFmtId="0" xfId="0" applyAlignment="1" applyFont="1">
      <alignment horizontal="left" readingOrder="0" vertical="center"/>
    </xf>
    <xf borderId="0" fillId="27" fontId="36" numFmtId="0" xfId="0" applyAlignment="1" applyFont="1">
      <alignment horizontal="left" vertical="center"/>
    </xf>
    <xf borderId="0" fillId="28" fontId="36" numFmtId="0" xfId="0" applyAlignment="1" applyFill="1" applyFont="1">
      <alignment horizontal="center" readingOrder="0" vertical="center"/>
    </xf>
    <xf borderId="0" fillId="28" fontId="36" numFmtId="0" xfId="0" applyAlignment="1" applyFont="1">
      <alignment horizontal="left" readingOrder="0" vertical="center"/>
    </xf>
    <xf borderId="0" fillId="28" fontId="36" numFmtId="0" xfId="0" applyAlignment="1" applyFont="1">
      <alignment horizontal="left" vertical="center"/>
    </xf>
    <xf borderId="0" fillId="29" fontId="36" numFmtId="0" xfId="0" applyAlignment="1" applyFill="1" applyFont="1">
      <alignment horizontal="center" readingOrder="0" vertical="center"/>
    </xf>
    <xf borderId="0" fillId="29" fontId="36" numFmtId="0" xfId="0" applyAlignment="1" applyFont="1">
      <alignment horizontal="left" readingOrder="0" vertical="center"/>
    </xf>
    <xf borderId="0" fillId="29" fontId="36" numFmtId="0" xfId="0" applyAlignment="1" applyFont="1">
      <alignment horizontal="left" vertical="center"/>
    </xf>
    <xf borderId="0" fillId="30" fontId="36" numFmtId="0" xfId="0" applyAlignment="1" applyFill="1" applyFont="1">
      <alignment horizontal="center" readingOrder="0" vertical="center"/>
    </xf>
    <xf borderId="0" fillId="30" fontId="36" numFmtId="0" xfId="0" applyAlignment="1" applyFont="1">
      <alignment horizontal="left" readingOrder="0" vertical="center"/>
    </xf>
    <xf borderId="0" fillId="30" fontId="36" numFmtId="0" xfId="0" applyAlignment="1" applyFont="1">
      <alignment horizontal="left" vertical="center"/>
    </xf>
    <xf borderId="0" fillId="31" fontId="36" numFmtId="0" xfId="0" applyAlignment="1" applyFill="1" applyFont="1">
      <alignment horizontal="center" readingOrder="0" vertical="center"/>
    </xf>
    <xf borderId="0" fillId="31" fontId="36" numFmtId="0" xfId="0" applyAlignment="1" applyFont="1">
      <alignment horizontal="left" readingOrder="0" vertical="center"/>
    </xf>
    <xf borderId="0" fillId="31" fontId="36" numFmtId="0" xfId="0" applyAlignment="1" applyFont="1">
      <alignment horizontal="left" vertical="center"/>
    </xf>
    <xf borderId="0" fillId="32" fontId="36" numFmtId="0" xfId="0" applyAlignment="1" applyFill="1" applyFont="1">
      <alignment horizontal="center" readingOrder="0" vertical="center"/>
    </xf>
    <xf borderId="0" fillId="32" fontId="36" numFmtId="0" xfId="0" applyAlignment="1" applyFont="1">
      <alignment horizontal="left" readingOrder="0" vertical="center"/>
    </xf>
    <xf borderId="0" fillId="32" fontId="36" numFmtId="0" xfId="0" applyAlignment="1" applyFont="1">
      <alignment horizontal="left" vertical="center"/>
    </xf>
    <xf borderId="0" fillId="33" fontId="36" numFmtId="0" xfId="0" applyAlignment="1" applyFill="1" applyFont="1">
      <alignment horizontal="center" readingOrder="0" vertical="center"/>
    </xf>
    <xf borderId="0" fillId="33" fontId="36" numFmtId="0" xfId="0" applyAlignment="1" applyFont="1">
      <alignment horizontal="left" readingOrder="0" vertical="center"/>
    </xf>
    <xf borderId="0" fillId="33" fontId="36" numFmtId="0" xfId="0" applyAlignment="1" applyFont="1">
      <alignment horizontal="left" vertical="center"/>
    </xf>
    <xf borderId="0" fillId="19" fontId="36" numFmtId="0" xfId="0" applyAlignment="1" applyFont="1">
      <alignment horizontal="left" vertical="center"/>
    </xf>
    <xf borderId="0" fillId="34" fontId="40" numFmtId="0" xfId="0" applyAlignment="1" applyFill="1" applyFont="1">
      <alignment readingOrder="0"/>
    </xf>
    <xf borderId="0" fillId="0" fontId="40" numFmtId="0" xfId="0" applyAlignment="1" applyFont="1">
      <alignment horizontal="left" readingOrder="0" shrinkToFit="0" vertical="top" wrapText="0"/>
    </xf>
    <xf borderId="0" fillId="0" fontId="40" numFmtId="0" xfId="0" applyAlignment="1" applyFont="1">
      <alignment horizontal="center" readingOrder="0" shrinkToFit="0" vertical="top" wrapText="0"/>
    </xf>
    <xf borderId="0" fillId="0" fontId="40" numFmtId="0" xfId="0" applyAlignment="1" applyFont="1">
      <alignment horizontal="left" readingOrder="0" vertical="top"/>
    </xf>
    <xf borderId="0" fillId="0" fontId="40" numFmtId="0" xfId="0" applyAlignment="1" applyFont="1">
      <alignment horizontal="center" readingOrder="0" vertical="top"/>
    </xf>
    <xf borderId="12" fillId="0" fontId="32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shrinkToFit="0" vertical="center" wrapText="1"/>
    </xf>
    <xf borderId="11" fillId="5" fontId="2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left" readingOrder="0" shrinkToFit="0" vertical="center" wrapText="1"/>
    </xf>
    <xf borderId="11" fillId="0" fontId="41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24" fillId="0" fontId="6" numFmtId="0" xfId="0" applyBorder="1" applyFont="1"/>
    <xf borderId="11" fillId="0" fontId="1" numFmtId="0" xfId="0" applyBorder="1" applyFont="1"/>
    <xf borderId="11" fillId="0" fontId="1" numFmtId="0" xfId="0" applyAlignment="1" applyBorder="1" applyFont="1">
      <alignment readingOrder="0" shrinkToFit="0" wrapText="1"/>
    </xf>
    <xf borderId="11" fillId="0" fontId="42" numFmtId="0" xfId="0" applyAlignment="1" applyBorder="1" applyFont="1">
      <alignment readingOrder="0" shrinkToFit="0" vertical="center" wrapText="1"/>
    </xf>
    <xf borderId="11" fillId="0" fontId="12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1" fillId="0" fontId="12" numFmtId="0" xfId="0" applyAlignment="1" applyBorder="1" applyFont="1">
      <alignment readingOrder="0" shrinkToFit="0" vertical="center" wrapText="1"/>
    </xf>
    <xf borderId="11" fillId="0" fontId="12" numFmtId="0" xfId="0" applyAlignment="1" applyBorder="1" applyFont="1">
      <alignment readingOrder="0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12" fillId="5" fontId="2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readingOrder="0" vertical="center"/>
    </xf>
    <xf borderId="11" fillId="0" fontId="12" numFmtId="0" xfId="0" applyAlignment="1" applyBorder="1" applyFont="1">
      <alignment vertical="center"/>
    </xf>
    <xf borderId="13" fillId="0" fontId="1" numFmtId="0" xfId="0" applyAlignment="1" applyBorder="1" applyFont="1">
      <alignment horizontal="left" readingOrder="0" shrinkToFit="0" vertical="center" wrapText="1"/>
    </xf>
    <xf borderId="11" fillId="0" fontId="12" numFmtId="0" xfId="0" applyAlignment="1" applyBorder="1" applyFont="1">
      <alignment readingOrder="0" vertical="center"/>
    </xf>
    <xf borderId="13" fillId="0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shrinkToFit="0" vertical="center" wrapText="1"/>
    </xf>
    <xf borderId="11" fillId="6" fontId="1" numFmtId="0" xfId="0" applyAlignment="1" applyBorder="1" applyFont="1">
      <alignment horizontal="left" readingOrder="0" shrinkToFit="0" vertical="center" wrapText="1"/>
    </xf>
    <xf borderId="11" fillId="0" fontId="43" numFmtId="0" xfId="0" applyAlignment="1" applyBorder="1" applyFont="1">
      <alignment readingOrder="0" shrinkToFit="0" vertical="center" wrapText="1"/>
    </xf>
    <xf borderId="11" fillId="0" fontId="44" numFmtId="0" xfId="0" applyAlignment="1" applyBorder="1" applyFont="1">
      <alignment readingOrder="0" shrinkToFit="0" vertical="center" wrapText="1"/>
    </xf>
    <xf borderId="11" fillId="0" fontId="45" numFmtId="0" xfId="0" applyAlignment="1" applyBorder="1" applyFont="1">
      <alignment horizontal="center" readingOrder="0" shrinkToFit="0" vertical="center" wrapText="1"/>
    </xf>
    <xf borderId="11" fillId="6" fontId="1" numFmtId="0" xfId="0" applyAlignment="1" applyBorder="1" applyFont="1">
      <alignment readingOrder="0" shrinkToFit="0" vertical="center" wrapText="1"/>
    </xf>
    <xf borderId="11" fillId="0" fontId="46" numFmtId="0" xfId="0" applyAlignment="1" applyBorder="1" applyFont="1">
      <alignment readingOrder="0" shrinkToFit="0" vertical="center" wrapText="1"/>
    </xf>
    <xf borderId="11" fillId="6" fontId="12" numFmtId="0" xfId="0" applyAlignment="1" applyBorder="1" applyFont="1">
      <alignment readingOrder="0" shrinkToFit="0" vertical="center" wrapText="1"/>
    </xf>
    <xf borderId="11" fillId="0" fontId="26" numFmtId="0" xfId="0" applyAlignment="1" applyBorder="1" applyFont="1">
      <alignment horizontal="center" readingOrder="0" shrinkToFit="0" vertical="center" wrapText="1"/>
    </xf>
    <xf borderId="11" fillId="0" fontId="26" numFmtId="0" xfId="0" applyAlignment="1" applyBorder="1" applyFont="1">
      <alignment readingOrder="0" shrinkToFit="0" vertical="center" wrapText="1"/>
    </xf>
    <xf borderId="11" fillId="0" fontId="26" numFmtId="0" xfId="0" applyAlignment="1" applyBorder="1" applyFont="1">
      <alignment horizontal="left"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1" fillId="35" fontId="12" numFmtId="0" xfId="0" applyAlignment="1" applyBorder="1" applyFill="1" applyFont="1">
      <alignment readingOrder="0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1" fillId="35" fontId="1" numFmtId="0" xfId="0" applyAlignment="1" applyBorder="1" applyFont="1">
      <alignment shrinkToFit="0" vertical="center" wrapText="1"/>
    </xf>
    <xf borderId="11" fillId="0" fontId="47" numFmtId="0" xfId="0" applyAlignment="1" applyBorder="1" applyFont="1">
      <alignment readingOrder="0" shrinkToFit="0" vertical="center" wrapText="1"/>
    </xf>
    <xf borderId="12" fillId="0" fontId="12" numFmtId="0" xfId="0" applyAlignment="1" applyBorder="1" applyFont="1">
      <alignment readingOrder="0" shrinkToFit="0" vertical="center" wrapText="1"/>
    </xf>
    <xf borderId="11" fillId="7" fontId="12" numFmtId="0" xfId="0" applyAlignment="1" applyBorder="1" applyFont="1">
      <alignment readingOrder="0" shrinkToFit="0" vertical="center" wrapText="1"/>
    </xf>
    <xf borderId="11" fillId="0" fontId="48" numFmtId="0" xfId="0" applyAlignment="1" applyBorder="1" applyFont="1">
      <alignment horizontal="center" readingOrder="0" shrinkToFit="0" vertical="center" wrapText="1"/>
    </xf>
    <xf borderId="25" fillId="5" fontId="1" numFmtId="0" xfId="0" applyAlignment="1" applyBorder="1" applyFont="1">
      <alignment readingOrder="0" shrinkToFit="0" vertical="center" wrapText="1"/>
    </xf>
    <xf borderId="25" fillId="0" fontId="12" numFmtId="0" xfId="0" applyAlignment="1" applyBorder="1" applyFont="1">
      <alignment readingOrder="0" shrinkToFit="0" vertical="center" wrapText="1"/>
    </xf>
    <xf borderId="11" fillId="0" fontId="49" numFmtId="0" xfId="0" applyAlignment="1" applyBorder="1" applyFont="1">
      <alignment horizontal="center" readingOrder="0" shrinkToFit="0" vertical="center" wrapText="1"/>
    </xf>
    <xf quotePrefix="1" borderId="11" fillId="0" fontId="50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readingOrder="0" shrinkToFit="0" vertical="center" wrapText="1"/>
    </xf>
    <xf borderId="11" fillId="7" fontId="1" numFmtId="0" xfId="0" applyAlignment="1" applyBorder="1" applyFont="1">
      <alignment readingOrder="0" shrinkToFit="0" vertical="center" wrapText="1"/>
    </xf>
    <xf borderId="11" fillId="0" fontId="51" numFmtId="0" xfId="0" applyAlignment="1" applyBorder="1" applyFont="1">
      <alignment horizontal="center" readingOrder="0" shrinkToFit="0" vertical="center" wrapText="1"/>
    </xf>
    <xf quotePrefix="1" borderId="11" fillId="0" fontId="1" numFmtId="0" xfId="0" applyAlignment="1" applyBorder="1" applyFont="1">
      <alignment horizontal="center" readingOrder="0" shrinkToFit="0" vertical="center" wrapText="1"/>
    </xf>
    <xf quotePrefix="1" borderId="11" fillId="0" fontId="1" numFmtId="0" xfId="0" applyAlignment="1" applyBorder="1" applyFont="1">
      <alignment horizontal="left" readingOrder="0" shrinkToFit="0" vertical="center" wrapText="1"/>
    </xf>
    <xf borderId="11" fillId="0" fontId="12" numFmtId="0" xfId="0" applyAlignment="1" applyBorder="1" applyFont="1">
      <alignment horizontal="center" readingOrder="0" shrinkToFit="0" vertical="center" wrapText="1"/>
    </xf>
    <xf borderId="11" fillId="36" fontId="1" numFmtId="0" xfId="0" applyAlignment="1" applyBorder="1" applyFill="1" applyFont="1">
      <alignment readingOrder="0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11" fillId="7" fontId="52" numFmtId="0" xfId="0" applyAlignment="1" applyBorder="1" applyFont="1">
      <alignment readingOrder="0" shrinkToFit="0" vertical="center" wrapText="1"/>
    </xf>
    <xf borderId="11" fillId="0" fontId="12" numFmtId="0" xfId="0" applyAlignment="1" applyBorder="1" applyFont="1">
      <alignment readingOrder="0" shrinkToFit="0" vertical="center" wrapText="1"/>
    </xf>
    <xf borderId="11" fillId="7" fontId="53" numFmtId="0" xfId="0" applyAlignment="1" applyBorder="1" applyFont="1">
      <alignment readingOrder="0" shrinkToFit="0" vertical="center" wrapText="1"/>
    </xf>
    <xf borderId="25" fillId="5" fontId="1" numFmtId="0" xfId="0" applyAlignment="1" applyBorder="1" applyFont="1">
      <alignment vertical="center"/>
    </xf>
    <xf borderId="25" fillId="5" fontId="1" numFmtId="0" xfId="0" applyAlignment="1" applyBorder="1" applyFont="1">
      <alignment shrinkToFit="0" vertical="center" wrapText="1"/>
    </xf>
    <xf borderId="11" fillId="0" fontId="54" numFmtId="0" xfId="0" applyAlignment="1" applyBorder="1" applyFont="1">
      <alignment horizontal="center" readingOrder="0" shrinkToFit="0" vertical="center" wrapText="1"/>
    </xf>
    <xf borderId="11" fillId="0" fontId="55" numFmtId="0" xfId="0" applyAlignment="1" applyBorder="1" applyFont="1">
      <alignment readingOrder="0" shrinkToFit="0" vertical="center" wrapText="1"/>
    </xf>
    <xf borderId="11" fillId="36" fontId="1" numFmtId="0" xfId="0" applyAlignment="1" applyBorder="1" applyFont="1">
      <alignment horizontal="center" readingOrder="0" shrinkToFit="0" vertical="center" wrapText="1"/>
    </xf>
    <xf borderId="11" fillId="36" fontId="1" numFmtId="0" xfId="0" applyAlignment="1" applyBorder="1" applyFont="1">
      <alignment horizontal="left" readingOrder="0" shrinkToFit="0" vertical="center" wrapText="1"/>
    </xf>
    <xf borderId="11" fillId="36" fontId="56" numFmtId="0" xfId="0" applyAlignment="1" applyBorder="1" applyFont="1">
      <alignment horizontal="center" readingOrder="0" shrinkToFit="0" vertical="center" wrapText="1"/>
    </xf>
    <xf borderId="11" fillId="36" fontId="5" numFmtId="0" xfId="0" applyAlignment="1" applyBorder="1" applyFont="1">
      <alignment readingOrder="0" shrinkToFit="0" vertical="center" wrapText="1"/>
    </xf>
    <xf borderId="11" fillId="36" fontId="12" numFmtId="0" xfId="0" applyAlignment="1" applyBorder="1" applyFont="1">
      <alignment shrinkToFit="0" vertical="center" wrapText="1"/>
    </xf>
    <xf borderId="11" fillId="36" fontId="12" numFmtId="0" xfId="0" applyAlignment="1" applyBorder="1" applyFont="1">
      <alignment readingOrder="0" shrinkToFit="0" vertical="center" wrapText="1"/>
    </xf>
    <xf borderId="11" fillId="36" fontId="52" numFmtId="0" xfId="0" applyAlignment="1" applyBorder="1" applyFont="1">
      <alignment horizontal="left" readingOrder="0" shrinkToFit="0" vertical="center" wrapText="1"/>
    </xf>
    <xf borderId="11" fillId="7" fontId="1" numFmtId="0" xfId="0" applyAlignment="1" applyBorder="1" applyFont="1">
      <alignment horizontal="left" readingOrder="0" shrinkToFit="0" vertical="center" wrapText="1"/>
    </xf>
    <xf borderId="12" fillId="6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readingOrder="0" shrinkToFit="0" vertical="center" wrapText="1"/>
    </xf>
    <xf quotePrefix="1" borderId="11" fillId="0" fontId="12" numFmtId="0" xfId="0" applyAlignment="1" applyBorder="1" applyFont="1">
      <alignment readingOrder="0" shrinkToFit="0" vertical="center" wrapText="1"/>
    </xf>
    <xf borderId="21" fillId="0" fontId="13" numFmtId="0" xfId="0" applyAlignment="1" applyBorder="1" applyFont="1">
      <alignment horizontal="center" readingOrder="0" shrinkToFit="0" vertical="center" wrapText="1"/>
    </xf>
    <xf borderId="26" fillId="0" fontId="6" numFmtId="0" xfId="0" applyBorder="1" applyFont="1"/>
    <xf borderId="21" fillId="37" fontId="13" numFmtId="0" xfId="0" applyAlignment="1" applyBorder="1" applyFill="1" applyFont="1">
      <alignment horizontal="center" readingOrder="0" shrinkToFit="0" vertical="center" wrapText="1"/>
    </xf>
    <xf borderId="27" fillId="38" fontId="57" numFmtId="0" xfId="0" applyAlignment="1" applyBorder="1" applyFill="1" applyFont="1">
      <alignment horizontal="left" vertical="center"/>
    </xf>
    <xf borderId="28" fillId="38" fontId="57" numFmtId="0" xfId="0" applyAlignment="1" applyBorder="1" applyFont="1">
      <alignment horizontal="center" vertical="center"/>
    </xf>
    <xf borderId="27" fillId="38" fontId="2" numFmtId="0" xfId="0" applyAlignment="1" applyBorder="1" applyFont="1">
      <alignment horizontal="center" vertical="center"/>
    </xf>
    <xf borderId="27" fillId="5" fontId="58" numFmtId="0" xfId="0" applyAlignment="1" applyBorder="1" applyFont="1">
      <alignment horizontal="left" vertical="center"/>
    </xf>
    <xf borderId="27" fillId="5" fontId="59" numFmtId="0" xfId="0" applyAlignment="1" applyBorder="1" applyFont="1">
      <alignment horizontal="center" vertical="center"/>
    </xf>
    <xf borderId="27" fillId="5" fontId="60" numFmtId="0" xfId="0" applyAlignment="1" applyBorder="1" applyFont="1">
      <alignment horizontal="center" vertical="center"/>
    </xf>
    <xf borderId="27" fillId="5" fontId="61" numFmtId="0" xfId="0" applyAlignment="1" applyBorder="1" applyFont="1">
      <alignment horizontal="center" vertical="center"/>
    </xf>
    <xf borderId="27" fillId="38" fontId="57" numFmtId="0" xfId="0" applyAlignment="1" applyBorder="1" applyFont="1">
      <alignment horizontal="center" vertical="center"/>
    </xf>
    <xf borderId="27" fillId="38" fontId="2" numFmtId="0" xfId="0" applyAlignment="1" applyBorder="1" applyFont="1">
      <alignment horizontal="center" readingOrder="0" vertical="center"/>
    </xf>
    <xf borderId="27" fillId="5" fontId="61" numFmtId="0" xfId="0" applyAlignment="1" applyBorder="1" applyFont="1">
      <alignment horizontal="center" readingOrder="0" vertical="center"/>
    </xf>
    <xf borderId="27" fillId="39" fontId="62" numFmtId="0" xfId="0" applyAlignment="1" applyBorder="1" applyFill="1" applyFont="1">
      <alignment horizontal="center" vertical="center"/>
    </xf>
    <xf borderId="27" fillId="39" fontId="63" numFmtId="0" xfId="0" applyAlignment="1" applyBorder="1" applyFont="1">
      <alignment horizontal="center" vertical="center"/>
    </xf>
    <xf borderId="27" fillId="39" fontId="64" numFmtId="0" xfId="0" applyAlignment="1" applyBorder="1" applyFont="1">
      <alignment horizontal="center" readingOrder="0" vertical="center"/>
    </xf>
    <xf borderId="27" fillId="5" fontId="65" numFmtId="0" xfId="0" applyAlignment="1" applyBorder="1" applyFont="1">
      <alignment horizontal="center" readingOrder="0" vertical="center"/>
    </xf>
    <xf borderId="0" fillId="0" fontId="66" numFmtId="0" xfId="0" applyAlignment="1" applyFont="1">
      <alignment readingOrder="0" vertical="bottom"/>
    </xf>
    <xf borderId="27" fillId="5" fontId="1" numFmtId="0" xfId="0" applyBorder="1" applyFont="1"/>
    <xf borderId="27" fillId="5" fontId="61" numFmtId="0" xfId="0" applyAlignment="1" applyBorder="1" applyFont="1">
      <alignment horizontal="center"/>
    </xf>
    <xf borderId="27" fillId="5" fontId="61" numFmtId="0" xfId="0" applyAlignment="1" applyBorder="1" applyFont="1">
      <alignment horizontal="center" readingOrder="0"/>
    </xf>
    <xf borderId="27" fillId="39" fontId="64" numFmtId="0" xfId="0" applyAlignment="1" applyBorder="1" applyFont="1">
      <alignment horizontal="center" vertical="center"/>
    </xf>
    <xf borderId="27" fillId="39" fontId="63" numFmtId="0" xfId="0" applyAlignment="1" applyBorder="1" applyFont="1">
      <alignment horizontal="center" readingOrder="0" vertical="center"/>
    </xf>
    <xf borderId="27" fillId="38" fontId="67" numFmtId="0" xfId="0" applyAlignment="1" applyBorder="1" applyFont="1">
      <alignment horizontal="center" vertical="center"/>
    </xf>
    <xf borderId="27" fillId="5" fontId="60" numFmtId="0" xfId="0" applyAlignment="1" applyBorder="1" applyFont="1">
      <alignment horizontal="center" readingOrder="0" vertical="center"/>
    </xf>
    <xf borderId="27" fillId="5" fontId="61" numFmtId="0" xfId="0" applyBorder="1" applyFont="1"/>
    <xf borderId="27" fillId="5" fontId="58" numFmtId="0" xfId="0" applyAlignment="1" applyBorder="1" applyFont="1">
      <alignment horizontal="left" vertical="center"/>
    </xf>
    <xf borderId="27" fillId="5" fontId="61" numFmtId="0" xfId="0" applyAlignment="1" applyBorder="1" applyFont="1">
      <alignment horizontal="center" vertical="center"/>
    </xf>
    <xf borderId="27" fillId="39" fontId="65" numFmtId="0" xfId="0" applyAlignment="1" applyBorder="1" applyFont="1">
      <alignment horizontal="center" vertical="center"/>
    </xf>
    <xf borderId="27" fillId="39" fontId="68" numFmtId="0" xfId="0" applyAlignment="1" applyBorder="1" applyFont="1">
      <alignment horizontal="center" vertical="center"/>
    </xf>
    <xf borderId="27" fillId="39" fontId="63" numFmtId="0" xfId="0" applyAlignment="1" applyBorder="1" applyFont="1">
      <alignment horizontal="center" vertical="center"/>
    </xf>
    <xf borderId="27" fillId="40" fontId="69" numFmtId="0" xfId="0" applyAlignment="1" applyBorder="1" applyFill="1" applyFont="1">
      <alignment readingOrder="0"/>
    </xf>
    <xf borderId="27" fillId="40" fontId="69" numFmtId="0" xfId="0" applyAlignment="1" applyBorder="1" applyFont="1">
      <alignment horizontal="center"/>
    </xf>
    <xf borderId="27" fillId="40" fontId="69" numFmtId="0" xfId="0" applyAlignment="1" applyBorder="1" applyFont="1">
      <alignment horizontal="center" vertical="center"/>
    </xf>
    <xf borderId="27" fillId="40" fontId="69" numFmtId="0" xfId="0" applyBorder="1" applyFont="1"/>
    <xf borderId="27" fillId="5" fontId="1" numFmtId="0" xfId="0" applyAlignment="1" applyBorder="1" applyFont="1">
      <alignment readingOrder="0"/>
    </xf>
    <xf borderId="29" fillId="41" fontId="70" numFmtId="0" xfId="0" applyAlignment="1" applyBorder="1" applyFill="1" applyFont="1">
      <alignment vertical="bottom"/>
    </xf>
    <xf borderId="29" fillId="41" fontId="70" numFmtId="164" xfId="0" applyAlignment="1" applyBorder="1" applyFont="1" applyNumberFormat="1">
      <alignment vertical="bottom"/>
    </xf>
    <xf borderId="30" fillId="41" fontId="70" numFmtId="0" xfId="0" applyAlignment="1" applyBorder="1" applyFont="1">
      <alignment vertical="bottom"/>
    </xf>
    <xf borderId="30" fillId="41" fontId="70" numFmtId="0" xfId="0" applyAlignment="1" applyBorder="1" applyFont="1">
      <alignment vertical="bottom"/>
    </xf>
    <xf borderId="31" fillId="41" fontId="70" numFmtId="0" xfId="0" applyAlignment="1" applyBorder="1" applyFont="1">
      <alignment vertical="bottom"/>
    </xf>
    <xf borderId="0" fillId="0" fontId="12" numFmtId="165" xfId="0" applyAlignment="1" applyFont="1" applyNumberFormat="1">
      <alignment readingOrder="0"/>
    </xf>
    <xf borderId="0" fillId="0" fontId="12" numFmtId="0" xfId="0" applyFont="1"/>
    <xf borderId="0" fillId="0" fontId="12" numFmtId="164" xfId="0" applyFont="1" applyNumberFormat="1"/>
    <xf borderId="0" fillId="42" fontId="71" numFmtId="0" xfId="0" applyAlignment="1" applyFill="1" applyFont="1">
      <alignment readingOrder="0"/>
    </xf>
  </cellXfs>
  <cellStyles count="1">
    <cellStyle xfId="0" name="Normal" builtinId="0"/>
  </cellStyles>
  <dxfs count="8">
    <dxf>
      <font>
        <b/>
        <color rgb="FF0000FF"/>
      </font>
      <fill>
        <patternFill patternType="solid">
          <fgColor rgb="FFFFFFFF"/>
          <bgColor rgb="FFFFFFFF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>
        <b/>
        <color rgb="FF000000"/>
      </font>
      <fill>
        <patternFill patternType="solid">
          <fgColor rgb="FFFF9900"/>
          <bgColor rgb="FFFF9900"/>
        </patternFill>
      </fill>
      <border/>
    </dxf>
    <dxf>
      <font>
        <b/>
        <color rgb="FF000000"/>
      </font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999999"/>
          <bgColor rgb="FF999999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1</xdr:row>
      <xdr:rowOff>-200025</xdr:rowOff>
    </xdr:from>
    <xdr:ext cx="7077075" cy="4533900"/>
    <xdr:pic>
      <xdr:nvPicPr>
        <xdr:cNvPr id="0" name="image2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161925</xdr:colOff>
      <xdr:row>23</xdr:row>
      <xdr:rowOff>47625</xdr:rowOff>
    </xdr:from>
    <xdr:ext cx="6819900" cy="5067300"/>
    <xdr:pic>
      <xdr:nvPicPr>
        <xdr:cNvPr id="0" name="image3.jp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161925</xdr:colOff>
      <xdr:row>46</xdr:row>
      <xdr:rowOff>114300</xdr:rowOff>
    </xdr:from>
    <xdr:ext cx="7696200" cy="6400800"/>
    <xdr:pic>
      <xdr:nvPicPr>
        <xdr:cNvPr id="0" name="image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scoretech.atlassian.net/browse/QATASK-921" TargetMode="External"/><Relationship Id="rId2" Type="http://schemas.openxmlformats.org/officeDocument/2006/relationships/hyperlink" Target="https://www.figma.com/design/AzQaoPVLY9UdbDRMcrxRKx/Tech-%EA%B3%A0%EB%8F%84%ED%99%94?node-id=205-890" TargetMode="External"/><Relationship Id="rId3" Type="http://schemas.openxmlformats.org/officeDocument/2006/relationships/hyperlink" Target="https://smartscoretech.atlassian.net/wiki/x/I4DBc" TargetMode="External"/><Relationship Id="rId4" Type="http://schemas.openxmlformats.org/officeDocument/2006/relationships/hyperlink" Target="https://smartscoretech.atlassian.net/wiki/x/L4DBc" TargetMode="External"/><Relationship Id="rId5" Type="http://schemas.openxmlformats.org/officeDocument/2006/relationships/hyperlink" Target="https://smartscoretech.atlassian.net/browse/QA-14817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td17.smartscore.kr/club/page/course-analysis-pin-history" TargetMode="External"/><Relationship Id="rId22" Type="http://schemas.openxmlformats.org/officeDocument/2006/relationships/hyperlink" Target="https://td17.smartscore.kr/club/page/course-analysis-detail" TargetMode="External"/><Relationship Id="rId21" Type="http://schemas.openxmlformats.org/officeDocument/2006/relationships/hyperlink" Target="https://td17.smartscore.kr/club/page/course-analysis-pin" TargetMode="External"/><Relationship Id="rId24" Type="http://schemas.openxmlformats.org/officeDocument/2006/relationships/hyperlink" Target="https://td17.smartscore.kr/club/page/course-analysis-club-news" TargetMode="External"/><Relationship Id="rId23" Type="http://schemas.openxmlformats.org/officeDocument/2006/relationships/hyperlink" Target="https://td17.smartscore.kr/club/page/course-analysis-green-speed" TargetMode="External"/><Relationship Id="rId1" Type="http://schemas.openxmlformats.org/officeDocument/2006/relationships/hyperlink" Target="https://td17.smartscore.kr/club/page/home" TargetMode="External"/><Relationship Id="rId2" Type="http://schemas.openxmlformats.org/officeDocument/2006/relationships/hyperlink" Target="https://td17.smartscore.kr/club/page/round-visit?cp=1" TargetMode="External"/><Relationship Id="rId3" Type="http://schemas.openxmlformats.org/officeDocument/2006/relationships/hyperlink" Target="https://td17.smartscore.kr/club/page/round-visit-statistics?cp=1&amp;searchStartDate=2026-03-03&amp;searchEndDate=2026-06-01" TargetMode="External"/><Relationship Id="rId4" Type="http://schemas.openxmlformats.org/officeDocument/2006/relationships/hyperlink" Target="https://td17.smartscore.kr/club/page/round-all" TargetMode="External"/><Relationship Id="rId9" Type="http://schemas.openxmlformats.org/officeDocument/2006/relationships/hyperlink" Target="https://td17.smartscore.kr/club/page/live-hole-calc" TargetMode="External"/><Relationship Id="rId26" Type="http://schemas.openxmlformats.org/officeDocument/2006/relationships/hyperlink" Target="https://td17.smartscore.kr/club/page/control-time-realtime" TargetMode="External"/><Relationship Id="rId25" Type="http://schemas.openxmlformats.org/officeDocument/2006/relationships/hyperlink" Target="https://td17.smartscore.kr/club/page/control-time-standard" TargetMode="External"/><Relationship Id="rId28" Type="http://schemas.openxmlformats.org/officeDocument/2006/relationships/hyperlink" Target="https://td17.smartscore.kr/club/page/control-time-statistics" TargetMode="External"/><Relationship Id="rId27" Type="http://schemas.openxmlformats.org/officeDocument/2006/relationships/hyperlink" Target="https://td17.smartscore.kr/club/page/control-time-search" TargetMode="External"/><Relationship Id="rId5" Type="http://schemas.openxmlformats.org/officeDocument/2006/relationships/hyperlink" Target="https://td17.smartscore.kr/club/page/round-group" TargetMode="External"/><Relationship Id="rId6" Type="http://schemas.openxmlformats.org/officeDocument/2006/relationships/hyperlink" Target="https://td17.smartscore.kr/club/page/round-course" TargetMode="External"/><Relationship Id="rId29" Type="http://schemas.openxmlformats.org/officeDocument/2006/relationships/hyperlink" Target="https://td17.smartscore.kr/club/page/caddie-performance" TargetMode="External"/><Relationship Id="rId7" Type="http://schemas.openxmlformats.org/officeDocument/2006/relationships/hyperlink" Target="https://td17.smartscore.kr/club/page/cart-all" TargetMode="External"/><Relationship Id="rId8" Type="http://schemas.openxmlformats.org/officeDocument/2006/relationships/hyperlink" Target="https://td17.smartscore.kr/club/page/live-hole-calc" TargetMode="External"/><Relationship Id="rId31" Type="http://schemas.openxmlformats.org/officeDocument/2006/relationships/hyperlink" Target="https://td17.smartscore.kr/club/page/topdressing-statistics" TargetMode="External"/><Relationship Id="rId30" Type="http://schemas.openxmlformats.org/officeDocument/2006/relationships/hyperlink" Target="https://td17.smartscore.kr/club/page/topdressing-record" TargetMode="External"/><Relationship Id="rId11" Type="http://schemas.openxmlformats.org/officeDocument/2006/relationships/hyperlink" Target="https://td17.smartscore.kr/club/page/live-icon" TargetMode="External"/><Relationship Id="rId33" Type="http://schemas.openxmlformats.org/officeDocument/2006/relationships/hyperlink" Target="https://td17.smartscore.kr/club/page/customer-eval-poll" TargetMode="External"/><Relationship Id="rId10" Type="http://schemas.openxmlformats.org/officeDocument/2006/relationships/hyperlink" Target="https://td17.smartscore.kr/club/page/control-live-chat" TargetMode="External"/><Relationship Id="rId32" Type="http://schemas.openxmlformats.org/officeDocument/2006/relationships/hyperlink" Target="https://td17.smartscore.kr/club/page/caddie-evaluation" TargetMode="External"/><Relationship Id="rId13" Type="http://schemas.openxmlformats.org/officeDocument/2006/relationships/hyperlink" Target="https://td17.smartscore.kr/club/page/live-game" TargetMode="External"/><Relationship Id="rId35" Type="http://schemas.openxmlformats.org/officeDocument/2006/relationships/hyperlink" Target="https://td17.smartscore.kr/club/page/review-statistics" TargetMode="External"/><Relationship Id="rId12" Type="http://schemas.openxmlformats.org/officeDocument/2006/relationships/hyperlink" Target="https://td17.smartscore.kr/club/page/live-cart-trace" TargetMode="External"/><Relationship Id="rId34" Type="http://schemas.openxmlformats.org/officeDocument/2006/relationships/hyperlink" Target="https://td17.smartscore.kr/club/page/review-list" TargetMode="External"/><Relationship Id="rId15" Type="http://schemas.openxmlformats.org/officeDocument/2006/relationships/hyperlink" Target="https://td17.smartscore.kr/club/page/live-hole-event" TargetMode="External"/><Relationship Id="rId37" Type="http://schemas.openxmlformats.org/officeDocument/2006/relationships/hyperlink" Target="https://td17.smartscore.kr/club/page/account-user" TargetMode="External"/><Relationship Id="rId14" Type="http://schemas.openxmlformats.org/officeDocument/2006/relationships/hyperlink" Target="https://td17.smartscore.kr/club/page/live-message" TargetMode="External"/><Relationship Id="rId36" Type="http://schemas.openxmlformats.org/officeDocument/2006/relationships/hyperlink" Target="https://td17.smartscore.kr/club/page/tournament" TargetMode="External"/><Relationship Id="rId17" Type="http://schemas.openxmlformats.org/officeDocument/2006/relationships/hyperlink" Target="https://td17.smartscore.kr/club/page/holemap-teeshot-distance" TargetMode="External"/><Relationship Id="rId16" Type="http://schemas.openxmlformats.org/officeDocument/2006/relationships/hyperlink" Target="https://td17.smartscore.kr/club/page/holemap-cart-entrance" TargetMode="External"/><Relationship Id="rId38" Type="http://schemas.openxmlformats.org/officeDocument/2006/relationships/drawing" Target="../drawings/drawing2.xml"/><Relationship Id="rId19" Type="http://schemas.openxmlformats.org/officeDocument/2006/relationships/hyperlink" Target="https://td17.smartscore.kr/club/page/course-analysis-pin-position" TargetMode="External"/><Relationship Id="rId18" Type="http://schemas.openxmlformats.org/officeDocument/2006/relationships/hyperlink" Target="https://td17.smartscore.kr/club/page/holemap-preview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AzQaoPVLY9UdbDRMcrxRKx/Tech-%EA%B3%A0%EB%8F%84%ED%99%94?node-id=205-1003&amp;t=P9OpDBzHDlKHc7Kc-4" TargetMode="External"/><Relationship Id="rId2" Type="http://schemas.openxmlformats.org/officeDocument/2006/relationships/hyperlink" Target="https://www.figma.com/design/AzQaoPVLY9UdbDRMcrxRKx/Tech-%EA%B3%A0%EB%8F%84%ED%99%94?node-id=205-1003&amp;t=P9OpDBzHDlKHc7Kc-4" TargetMode="External"/><Relationship Id="rId3" Type="http://schemas.openxmlformats.org/officeDocument/2006/relationships/hyperlink" Target="https://www.figma.com/design/AzQaoPVLY9UdbDRMcrxRKx/Tech-%EA%B3%A0%EB%8F%84%ED%99%94?node-id=205-1003&amp;t=P9OpDBzHDlKHc7Kc-4" TargetMode="External"/><Relationship Id="rId4" Type="http://schemas.openxmlformats.org/officeDocument/2006/relationships/hyperlink" Target="https://www.figma.com/design/AzQaoPVLY9UdbDRMcrxRKx/Tech-%EA%B3%A0%EB%8F%84%ED%99%94?node-id=205-1003&amp;t=P9OpDBzHDlKHc7Kc-4" TargetMode="External"/><Relationship Id="rId9" Type="http://schemas.openxmlformats.org/officeDocument/2006/relationships/hyperlink" Target="https://www.figma.com/design/AzQaoPVLY9UdbDRMcrxRKx/Tech-%EA%B3%A0%EB%8F%84%ED%99%94?node-id=205-1003&amp;t=P9OpDBzHDlKHc7Kc-4" TargetMode="External"/><Relationship Id="rId5" Type="http://schemas.openxmlformats.org/officeDocument/2006/relationships/hyperlink" Target="https://smartscoretech.atlassian.net/browse/QA-14823" TargetMode="External"/><Relationship Id="rId6" Type="http://schemas.openxmlformats.org/officeDocument/2006/relationships/hyperlink" Target="https://www.figma.com/design/AzQaoPVLY9UdbDRMcrxRKx/Tech-%EA%B3%A0%EB%8F%84%ED%99%94?node-id=205-1003&amp;t=P9OpDBzHDlKHc7Kc-4" TargetMode="External"/><Relationship Id="rId7" Type="http://schemas.openxmlformats.org/officeDocument/2006/relationships/hyperlink" Target="https://www.figma.com/design/AzQaoPVLY9UdbDRMcrxRKx/Tech-%EA%B3%A0%EB%8F%84%ED%99%94?node-id=205-1003&amp;t=P9OpDBzHDlKHc7Kc-4" TargetMode="External"/><Relationship Id="rId8" Type="http://schemas.openxmlformats.org/officeDocument/2006/relationships/hyperlink" Target="https://www.figma.com/design/AzQaoPVLY9UdbDRMcrxRKx/Tech-%EA%B3%A0%EB%8F%84%ED%99%94?node-id=205-1003&amp;t=P9OpDBzHDlKHc7Kc-4" TargetMode="External"/><Relationship Id="rId11" Type="http://schemas.openxmlformats.org/officeDocument/2006/relationships/hyperlink" Target="https://www.figma.com/design/AzQaoPVLY9UdbDRMcrxRKx/Tech-%EA%B3%A0%EB%8F%84%ED%99%94?node-id=205-1003&amp;t=P9OpDBzHDlKHc7Kc-4" TargetMode="External"/><Relationship Id="rId10" Type="http://schemas.openxmlformats.org/officeDocument/2006/relationships/hyperlink" Target="https://www.figma.com/design/AzQaoPVLY9UdbDRMcrxRKx/Tech-%EA%B3%A0%EB%8F%84%ED%99%94?node-id=205-1003&amp;t=P9OpDBzHDlKHc7Kc-4" TargetMode="External"/><Relationship Id="rId13" Type="http://schemas.openxmlformats.org/officeDocument/2006/relationships/hyperlink" Target="https://www.figma.com/design/AzQaoPVLY9UdbDRMcrxRKx/Tech-%EA%B3%A0%EB%8F%84%ED%99%94?node-id=205-1003&amp;t=P9OpDBzHDlKHc7Kc-4" TargetMode="External"/><Relationship Id="rId12" Type="http://schemas.openxmlformats.org/officeDocument/2006/relationships/hyperlink" Target="https://www.figma.com/design/AzQaoPVLY9UdbDRMcrxRKx/Tech-%EA%B3%A0%EB%8F%84%ED%99%94?node-id=205-1003&amp;t=P9OpDBzHDlKHc7Kc-4" TargetMode="External"/><Relationship Id="rId1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smartscoretech.atlassian.net/browse/QA-14879" TargetMode="External"/><Relationship Id="rId190" Type="http://schemas.openxmlformats.org/officeDocument/2006/relationships/hyperlink" Target="https://www.figma.com/design/AzQaoPVLY9UdbDRMcrxRKx/Tech-%EA%B3%A0%EB%8F%84%ED%99%94?node-id=1511-2979&amp;t=P9OpDBzHDlKHc7Kc-4" TargetMode="External"/><Relationship Id="rId42" Type="http://schemas.openxmlformats.org/officeDocument/2006/relationships/hyperlink" Target="https://smartscoretech.atlassian.net/browse/QA-14849" TargetMode="External"/><Relationship Id="rId41" Type="http://schemas.openxmlformats.org/officeDocument/2006/relationships/hyperlink" Target="https://www.figma.com/design/AzQaoPVLY9UdbDRMcrxRKx/Tech-%EA%B3%A0%EB%8F%84%ED%99%94?node-id=1507-6132&amp;t=P9OpDBzHDlKHc7Kc-4" TargetMode="External"/><Relationship Id="rId44" Type="http://schemas.openxmlformats.org/officeDocument/2006/relationships/hyperlink" Target="https://www.figma.com/design/AzQaoPVLY9UdbDRMcrxRKx/Tech-%EA%B3%A0%EB%8F%84%ED%99%94?node-id=1507-6132&amp;t=P9OpDBzHDlKHc7Kc-4" TargetMode="External"/><Relationship Id="rId194" Type="http://schemas.openxmlformats.org/officeDocument/2006/relationships/hyperlink" Target="https://www.figma.com/design/AzQaoPVLY9UdbDRMcrxRKx/Tech-%EA%B3%A0%EB%8F%84%ED%99%94?node-id=1511-2979&amp;t=P9OpDBzHDlKHc7Kc-4" TargetMode="External"/><Relationship Id="rId43" Type="http://schemas.openxmlformats.org/officeDocument/2006/relationships/hyperlink" Target="https://www.figma.com/design/AzQaoPVLY9UdbDRMcrxRKx/Tech-%EA%B3%A0%EB%8F%84%ED%99%94?node-id=1507-6132&amp;t=P9OpDBzHDlKHc7Kc-4" TargetMode="External"/><Relationship Id="rId193" Type="http://schemas.openxmlformats.org/officeDocument/2006/relationships/hyperlink" Target="https://www.figma.com/design/AzQaoPVLY9UdbDRMcrxRKx/Tech-%EA%B3%A0%EB%8F%84%ED%99%94?node-id=1511-2979&amp;t=P9OpDBzHDlKHc7Kc-4" TargetMode="External"/><Relationship Id="rId46" Type="http://schemas.openxmlformats.org/officeDocument/2006/relationships/hyperlink" Target="https://www.figma.com/design/AzQaoPVLY9UdbDRMcrxRKx/Tech-%EA%B3%A0%EB%8F%84%ED%99%94?node-id=1507-6132&amp;t=P9OpDBzHDlKHc7Kc-4" TargetMode="External"/><Relationship Id="rId192" Type="http://schemas.openxmlformats.org/officeDocument/2006/relationships/hyperlink" Target="https://www.figma.com/design/AzQaoPVLY9UdbDRMcrxRKx/Tech-%EA%B3%A0%EB%8F%84%ED%99%94?node-id=1511-2979&amp;t=P9OpDBzHDlKHc7Kc-4" TargetMode="External"/><Relationship Id="rId45" Type="http://schemas.openxmlformats.org/officeDocument/2006/relationships/hyperlink" Target="https://www.figma.com/design/AzQaoPVLY9UdbDRMcrxRKx/Tech-%EA%B3%A0%EB%8F%84%ED%99%94?node-id=1507-6132&amp;t=P9OpDBzHDlKHc7Kc-4" TargetMode="External"/><Relationship Id="rId191" Type="http://schemas.openxmlformats.org/officeDocument/2006/relationships/hyperlink" Target="https://www.figma.com/design/AzQaoPVLY9UdbDRMcrxRKx/Tech-%EA%B3%A0%EB%8F%84%ED%99%94?node-id=1511-2979&amp;t=P9OpDBzHDlKHc7Kc-4" TargetMode="External"/><Relationship Id="rId48" Type="http://schemas.openxmlformats.org/officeDocument/2006/relationships/hyperlink" Target="https://www.figma.com/design/AzQaoPVLY9UdbDRMcrxRKx/Tech-%EA%B3%A0%EB%8F%84%ED%99%94?node-id=1507-6132&amp;t=P9OpDBzHDlKHc7Kc-4" TargetMode="External"/><Relationship Id="rId187" Type="http://schemas.openxmlformats.org/officeDocument/2006/relationships/hyperlink" Target="https://www.figma.com/design/AzQaoPVLY9UdbDRMcrxRKx/Tech-%EA%B3%A0%EB%8F%84%ED%99%94?node-id=2734-64089&amp;t=P9OpDBzHDlKHc7Kc-4" TargetMode="External"/><Relationship Id="rId47" Type="http://schemas.openxmlformats.org/officeDocument/2006/relationships/hyperlink" Target="https://www.figma.com/design/AzQaoPVLY9UdbDRMcrxRKx/Tech-%EA%B3%A0%EB%8F%84%ED%99%94?node-id=1507-6132&amp;t=P9OpDBzHDlKHc7Kc-4" TargetMode="External"/><Relationship Id="rId186" Type="http://schemas.openxmlformats.org/officeDocument/2006/relationships/hyperlink" Target="https://www.figma.com/design/AzQaoPVLY9UdbDRMcrxRKx/Tech-%EA%B3%A0%EB%8F%84%ED%99%94?node-id=1511-2979&amp;t=P9OpDBzHDlKHc7Kc-4" TargetMode="External"/><Relationship Id="rId185" Type="http://schemas.openxmlformats.org/officeDocument/2006/relationships/hyperlink" Target="https://www.figma.com/design/AzQaoPVLY9UdbDRMcrxRKx/Tech-%EA%B3%A0%EB%8F%84%ED%99%94?node-id=2734-64081&amp;t=P9OpDBzHDlKHc7Kc-4" TargetMode="External"/><Relationship Id="rId49" Type="http://schemas.openxmlformats.org/officeDocument/2006/relationships/hyperlink" Target="https://www.figma.com/design/AzQaoPVLY9UdbDRMcrxRKx/Tech-%EA%B3%A0%EB%8F%84%ED%99%94?node-id=1507-6132&amp;t=P9OpDBzHDlKHc7Kc-4" TargetMode="External"/><Relationship Id="rId184" Type="http://schemas.openxmlformats.org/officeDocument/2006/relationships/hyperlink" Target="https://www.figma.com/design/AzQaoPVLY9UdbDRMcrxRKx/Tech-%EA%B3%A0%EB%8F%84%ED%99%94?node-id=1511-2979&amp;t=P9OpDBzHDlKHc7Kc-4" TargetMode="External"/><Relationship Id="rId189" Type="http://schemas.openxmlformats.org/officeDocument/2006/relationships/hyperlink" Target="https://www.figma.com/design/AzQaoPVLY9UdbDRMcrxRKx/Tech-%EA%B3%A0%EB%8F%84%ED%99%94?node-id=2734-64097&amp;t=P9OpDBzHDlKHc7Kc-4" TargetMode="External"/><Relationship Id="rId188" Type="http://schemas.openxmlformats.org/officeDocument/2006/relationships/hyperlink" Target="https://www.figma.com/design/AzQaoPVLY9UdbDRMcrxRKx/Tech-%EA%B3%A0%EB%8F%84%ED%99%94?node-id=1511-2979&amp;t=P9OpDBzHDlKHc7Kc-4" TargetMode="External"/><Relationship Id="rId31" Type="http://schemas.openxmlformats.org/officeDocument/2006/relationships/hyperlink" Target="https://www.figma.com/design/AzQaoPVLY9UdbDRMcrxRKx/Tech-%EA%B3%A0%EB%8F%84%ED%99%94?node-id=1507-6132&amp;t=P9OpDBzHDlKHc7Kc-4" TargetMode="External"/><Relationship Id="rId30" Type="http://schemas.openxmlformats.org/officeDocument/2006/relationships/hyperlink" Target="https://www.figma.com/design/AzQaoPVLY9UdbDRMcrxRKx/Tech-%EA%B3%A0%EB%8F%84%ED%99%94?node-id=1507-6132&amp;t=P9OpDBzHDlKHc7Kc-4" TargetMode="External"/><Relationship Id="rId33" Type="http://schemas.openxmlformats.org/officeDocument/2006/relationships/hyperlink" Target="https://smartscoretech.atlassian.net/browse/QA-14841" TargetMode="External"/><Relationship Id="rId183" Type="http://schemas.openxmlformats.org/officeDocument/2006/relationships/hyperlink" Target="https://www.figma.com/design/AzQaoPVLY9UdbDRMcrxRKx/Tech-%EA%B3%A0%EB%8F%84%ED%99%94?node-id=2734-64073&amp;t=P9OpDBzHDlKHc7Kc-4" TargetMode="External"/><Relationship Id="rId32" Type="http://schemas.openxmlformats.org/officeDocument/2006/relationships/hyperlink" Target="https://www.figma.com/design/AzQaoPVLY9UdbDRMcrxRKx/Tech-%EA%B3%A0%EB%8F%84%ED%99%94?node-id=1507-6132&amp;t=P9OpDBzHDlKHc7Kc-4" TargetMode="External"/><Relationship Id="rId182" Type="http://schemas.openxmlformats.org/officeDocument/2006/relationships/hyperlink" Target="https://www.figma.com/design/AzQaoPVLY9UdbDRMcrxRKx/Tech-%EA%B3%A0%EB%8F%84%ED%99%94?node-id=1511-2979&amp;t=P9OpDBzHDlKHc7Kc-4" TargetMode="External"/><Relationship Id="rId35" Type="http://schemas.openxmlformats.org/officeDocument/2006/relationships/hyperlink" Target="https://www.figma.com/design/AzQaoPVLY9UdbDRMcrxRKx/Tech-%EA%B3%A0%EB%8F%84%ED%99%94?node-id=1507-6132&amp;t=P9OpDBzHDlKHc7Kc-4" TargetMode="External"/><Relationship Id="rId181" Type="http://schemas.openxmlformats.org/officeDocument/2006/relationships/hyperlink" Target="https://www.figma.com/design/AzQaoPVLY9UdbDRMcrxRKx/Tech-%EA%B3%A0%EB%8F%84%ED%99%94?node-id=2734-64065&amp;t=P9OpDBzHDlKHc7Kc-4" TargetMode="External"/><Relationship Id="rId34" Type="http://schemas.openxmlformats.org/officeDocument/2006/relationships/hyperlink" Target="https://www.figma.com/design/AzQaoPVLY9UdbDRMcrxRKx/Tech-%EA%B3%A0%EB%8F%84%ED%99%94?node-id=1507-6132&amp;t=P9OpDBzHDlKHc7Kc-4" TargetMode="External"/><Relationship Id="rId180" Type="http://schemas.openxmlformats.org/officeDocument/2006/relationships/hyperlink" Target="https://www.figma.com/design/AzQaoPVLY9UdbDRMcrxRKx/Tech-%EA%B3%A0%EB%8F%84%ED%99%94?node-id=2734-64065&amp;t=P9OpDBzHDlKHc7Kc-4" TargetMode="External"/><Relationship Id="rId37" Type="http://schemas.openxmlformats.org/officeDocument/2006/relationships/hyperlink" Target="https://www.figma.com/design/AzQaoPVLY9UdbDRMcrxRKx/Tech-%EA%B3%A0%EB%8F%84%ED%99%94?node-id=1507-6132&amp;t=P9OpDBzHDlKHc7Kc-4" TargetMode="External"/><Relationship Id="rId176" Type="http://schemas.openxmlformats.org/officeDocument/2006/relationships/hyperlink" Target="https://www.figma.com/design/AzQaoPVLY9UdbDRMcrxRKx/Tech-%EA%B3%A0%EB%8F%84%ED%99%94?node-id=2719-46716&amp;t=P9OpDBzHDlKHc7Kc-4" TargetMode="External"/><Relationship Id="rId297" Type="http://schemas.openxmlformats.org/officeDocument/2006/relationships/hyperlink" Target="https://www.figma.com/design/AzQaoPVLY9UdbDRMcrxRKx/Tech-%EA%B3%A0%EB%8F%84%ED%99%94?node-id=2092-8251&amp;t=P9OpDBzHDlKHc7Kc-4" TargetMode="External"/><Relationship Id="rId36" Type="http://schemas.openxmlformats.org/officeDocument/2006/relationships/hyperlink" Target="https://smartscoretech.atlassian.net/browse/QA-14840" TargetMode="External"/><Relationship Id="rId175" Type="http://schemas.openxmlformats.org/officeDocument/2006/relationships/hyperlink" Target="https://www.figma.com/design/AzQaoPVLY9UdbDRMcrxRKx/Tech-%EA%B3%A0%EB%8F%84%ED%99%94?node-id=2719-46716&amp;t=P9OpDBzHDlKHc7Kc-4" TargetMode="External"/><Relationship Id="rId296" Type="http://schemas.openxmlformats.org/officeDocument/2006/relationships/hyperlink" Target="https://www.figma.com/design/AzQaoPVLY9UdbDRMcrxRKx/Tech-%EA%B3%A0%EB%8F%84%ED%99%94?node-id=2092-8251&amp;t=P9OpDBzHDlKHc7Kc-4" TargetMode="External"/><Relationship Id="rId39" Type="http://schemas.openxmlformats.org/officeDocument/2006/relationships/hyperlink" Target="https://www.figma.com/design/AzQaoPVLY9UdbDRMcrxRKx/Tech-%EA%B3%A0%EB%8F%84%ED%99%94?node-id=1507-6132&amp;t=P9OpDBzHDlKHc7Kc-4" TargetMode="External"/><Relationship Id="rId174" Type="http://schemas.openxmlformats.org/officeDocument/2006/relationships/hyperlink" Target="https://www.figma.com/design/AzQaoPVLY9UdbDRMcrxRKx/Tech-%EA%B3%A0%EB%8F%84%ED%99%94?node-id=1511-2979&amp;t=P9OpDBzHDlKHc7Kc-4" TargetMode="External"/><Relationship Id="rId295" Type="http://schemas.openxmlformats.org/officeDocument/2006/relationships/hyperlink" Target="https://www.figma.com/design/AzQaoPVLY9UdbDRMcrxRKx/Tech-%EA%B3%A0%EB%8F%84%ED%99%94?node-id=2092-8251&amp;t=P9OpDBzHDlKHc7Kc-4" TargetMode="External"/><Relationship Id="rId38" Type="http://schemas.openxmlformats.org/officeDocument/2006/relationships/hyperlink" Target="https://www.figma.com/design/AzQaoPVLY9UdbDRMcrxRKx/Tech-%EA%B3%A0%EB%8F%84%ED%99%94?node-id=1507-6132&amp;t=P9OpDBzHDlKHc7Kc-4" TargetMode="External"/><Relationship Id="rId173" Type="http://schemas.openxmlformats.org/officeDocument/2006/relationships/hyperlink" Target="https://www.figma.com/design/AzQaoPVLY9UdbDRMcrxRKx/Tech-%EA%B3%A0%EB%8F%84%ED%99%94?node-id=4818-16755&amp;t=P9OpDBzHDlKHc7Kc-4" TargetMode="External"/><Relationship Id="rId294" Type="http://schemas.openxmlformats.org/officeDocument/2006/relationships/hyperlink" Target="https://www.figma.com/design/AzQaoPVLY9UdbDRMcrxRKx/Tech-%EA%B3%A0%EB%8F%84%ED%99%94?node-id=2092-8251&amp;t=P9OpDBzHDlKHc7Kc-4" TargetMode="External"/><Relationship Id="rId179" Type="http://schemas.openxmlformats.org/officeDocument/2006/relationships/hyperlink" Target="https://www.figma.com/design/AzQaoPVLY9UdbDRMcrxRKx/Tech-%EA%B3%A0%EB%8F%84%ED%99%94?node-id=2734-64065&amp;t=P9OpDBzHDlKHc7Kc-4" TargetMode="External"/><Relationship Id="rId178" Type="http://schemas.openxmlformats.org/officeDocument/2006/relationships/hyperlink" Target="https://www.figma.com/design/AzQaoPVLY9UdbDRMcrxRKx/Tech-%EA%B3%A0%EB%8F%84%ED%99%94?node-id=1511-2979&amp;t=P9OpDBzHDlKHc7Kc-4" TargetMode="External"/><Relationship Id="rId299" Type="http://schemas.openxmlformats.org/officeDocument/2006/relationships/hyperlink" Target="https://www.figma.com/design/AzQaoPVLY9UdbDRMcrxRKx/Tech-%EA%B3%A0%EB%8F%84%ED%99%94?node-id=2092-8251&amp;t=P9OpDBzHDlKHc7Kc-4" TargetMode="External"/><Relationship Id="rId177" Type="http://schemas.openxmlformats.org/officeDocument/2006/relationships/hyperlink" Target="https://www.figma.com/design/AzQaoPVLY9UdbDRMcrxRKx/Tech-%EA%B3%A0%EB%8F%84%ED%99%94?node-id=2719-46716&amp;t=P9OpDBzHDlKHc7Kc-4" TargetMode="External"/><Relationship Id="rId298" Type="http://schemas.openxmlformats.org/officeDocument/2006/relationships/hyperlink" Target="https://www.figma.com/design/AzQaoPVLY9UdbDRMcrxRKx/Tech-%EA%B3%A0%EB%8F%84%ED%99%94?node-id=2092-8251&amp;t=P9OpDBzHDlKHc7Kc-4" TargetMode="External"/><Relationship Id="rId20" Type="http://schemas.openxmlformats.org/officeDocument/2006/relationships/hyperlink" Target="https://www.figma.com/design/AzQaoPVLY9UdbDRMcrxRKx/Tech-%EA%B3%A0%EB%8F%84%ED%99%94?node-id=1506-4579&amp;t=P9OpDBzHDlKHc7Kc-4" TargetMode="External"/><Relationship Id="rId22" Type="http://schemas.openxmlformats.org/officeDocument/2006/relationships/hyperlink" Target="https://smartscoretech.atlassian.net/browse/QA-14831" TargetMode="External"/><Relationship Id="rId21" Type="http://schemas.openxmlformats.org/officeDocument/2006/relationships/hyperlink" Target="https://www.figma.com/design/AzQaoPVLY9UdbDRMcrxRKx/Tech-%EA%B3%A0%EB%8F%84%ED%99%94?node-id=1506-4579&amp;t=P9OpDBzHDlKHc7Kc-4" TargetMode="External"/><Relationship Id="rId24" Type="http://schemas.openxmlformats.org/officeDocument/2006/relationships/hyperlink" Target="https://www.figma.com/design/AzQaoPVLY9UdbDRMcrxRKx/Tech-%EA%B3%A0%EB%8F%84%ED%99%94?node-id=1507-6132&amp;t=P9OpDBzHDlKHc7Kc-4" TargetMode="External"/><Relationship Id="rId23" Type="http://schemas.openxmlformats.org/officeDocument/2006/relationships/hyperlink" Target="https://www.figma.com/design/AzQaoPVLY9UdbDRMcrxRKx/Tech-%EA%B3%A0%EB%8F%84%ED%99%94?node-id=1506-4579&amp;t=P9OpDBzHDlKHc7Kc-4" TargetMode="External"/><Relationship Id="rId26" Type="http://schemas.openxmlformats.org/officeDocument/2006/relationships/hyperlink" Target="https://www.figma.com/design/AzQaoPVLY9UdbDRMcrxRKx/Tech-%EA%B3%A0%EB%8F%84%ED%99%94?node-id=1507-6132&amp;t=P9OpDBzHDlKHc7Kc-4" TargetMode="External"/><Relationship Id="rId25" Type="http://schemas.openxmlformats.org/officeDocument/2006/relationships/hyperlink" Target="https://www.figma.com/design/AzQaoPVLY9UdbDRMcrxRKx/Tech-%EA%B3%A0%EB%8F%84%ED%99%94?node-id=1507-6132&amp;t=P9OpDBzHDlKHc7Kc-4" TargetMode="External"/><Relationship Id="rId28" Type="http://schemas.openxmlformats.org/officeDocument/2006/relationships/hyperlink" Target="https://smartscoretech.atlassian.net/browse/QA-14840" TargetMode="External"/><Relationship Id="rId27" Type="http://schemas.openxmlformats.org/officeDocument/2006/relationships/hyperlink" Target="https://www.figma.com/design/AzQaoPVLY9UdbDRMcrxRKx/Tech-%EA%B3%A0%EB%8F%84%ED%99%94?node-id=1507-6132&amp;t=P9OpDBzHDlKHc7Kc-4" TargetMode="External"/><Relationship Id="rId29" Type="http://schemas.openxmlformats.org/officeDocument/2006/relationships/hyperlink" Target="https://www.figma.com/design/AzQaoPVLY9UdbDRMcrxRKx/Tech-%EA%B3%A0%EB%8F%84%ED%99%94?node-id=1507-6132&amp;t=P9OpDBzHDlKHc7Kc-4" TargetMode="External"/><Relationship Id="rId11" Type="http://schemas.openxmlformats.org/officeDocument/2006/relationships/hyperlink" Target="https://www.figma.com/design/AzQaoPVLY9UdbDRMcrxRKx/Tech-%EA%B3%A0%EB%8F%84%ED%99%94?node-id=1506-4579&amp;t=P9OpDBzHDlKHc7Kc-4" TargetMode="External"/><Relationship Id="rId10" Type="http://schemas.openxmlformats.org/officeDocument/2006/relationships/hyperlink" Target="https://www.figma.com/design/AzQaoPVLY9UdbDRMcrxRKx/Tech-%EA%B3%A0%EB%8F%84%ED%99%94?node-id=1506-4579&amp;t=P9OpDBzHDlKHc7Kc-4" TargetMode="External"/><Relationship Id="rId13" Type="http://schemas.openxmlformats.org/officeDocument/2006/relationships/hyperlink" Target="https://smartscoretech.atlassian.net/browse/QA-14844" TargetMode="External"/><Relationship Id="rId12" Type="http://schemas.openxmlformats.org/officeDocument/2006/relationships/hyperlink" Target="https://www.figma.com/design/AzQaoPVLY9UdbDRMcrxRKx/Tech-%EA%B3%A0%EB%8F%84%ED%99%94?node-id=1506-4579&amp;t=P9OpDBzHDlKHc7Kc-4" TargetMode="External"/><Relationship Id="rId15" Type="http://schemas.openxmlformats.org/officeDocument/2006/relationships/hyperlink" Target="https://www.figma.com/design/AzQaoPVLY9UdbDRMcrxRKx/Tech-%EA%B3%A0%EB%8F%84%ED%99%94?node-id=1506-4579&amp;t=P9OpDBzHDlKHc7Kc-4" TargetMode="External"/><Relationship Id="rId198" Type="http://schemas.openxmlformats.org/officeDocument/2006/relationships/hyperlink" Target="https://www.figma.com/design/AzQaoPVLY9UdbDRMcrxRKx/Tech-%EA%B3%A0%EB%8F%84%ED%99%94?node-id=1511-2979&amp;t=P9OpDBzHDlKHc7Kc-4" TargetMode="External"/><Relationship Id="rId14" Type="http://schemas.openxmlformats.org/officeDocument/2006/relationships/hyperlink" Target="https://www.figma.com/design/AzQaoPVLY9UdbDRMcrxRKx/Tech-%EA%B3%A0%EB%8F%84%ED%99%94?node-id=1506-4579&amp;t=P9OpDBzHDlKHc7Kc-4" TargetMode="External"/><Relationship Id="rId197" Type="http://schemas.openxmlformats.org/officeDocument/2006/relationships/hyperlink" Target="https://www.figma.com/design/AzQaoPVLY9UdbDRMcrxRKx/Tech-%EA%B3%A0%EB%8F%84%ED%99%94?node-id=2734-65333&amp;t=P9OpDBzHDlKHc7Kc-4" TargetMode="External"/><Relationship Id="rId17" Type="http://schemas.openxmlformats.org/officeDocument/2006/relationships/hyperlink" Target="https://www.figma.com/design/AzQaoPVLY9UdbDRMcrxRKx/Tech-%EA%B3%A0%EB%8F%84%ED%99%94?node-id=1506-4579&amp;t=P9OpDBzHDlKHc7Kc-4" TargetMode="External"/><Relationship Id="rId196" Type="http://schemas.openxmlformats.org/officeDocument/2006/relationships/hyperlink" Target="https://www.figma.com/design/AzQaoPVLY9UdbDRMcrxRKx/Tech-%EA%B3%A0%EB%8F%84%ED%99%94?node-id=1511-2979&amp;t=P9OpDBzHDlKHc7Kc-4" TargetMode="External"/><Relationship Id="rId16" Type="http://schemas.openxmlformats.org/officeDocument/2006/relationships/hyperlink" Target="https://smartscoretech.atlassian.net/browse/QA-14844" TargetMode="External"/><Relationship Id="rId195" Type="http://schemas.openxmlformats.org/officeDocument/2006/relationships/hyperlink" Target="https://www.figma.com/design/AzQaoPVLY9UdbDRMcrxRKx/Tech-%EA%B3%A0%EB%8F%84%ED%99%94?node-id=1511-2979&amp;t=P9OpDBzHDlKHc7Kc-4" TargetMode="External"/><Relationship Id="rId19" Type="http://schemas.openxmlformats.org/officeDocument/2006/relationships/hyperlink" Target="https://www.figma.com/design/AzQaoPVLY9UdbDRMcrxRKx/Tech-%EA%B3%A0%EB%8F%84%ED%99%94?node-id=1506-4579&amp;t=P9OpDBzHDlKHc7Kc-4" TargetMode="External"/><Relationship Id="rId18" Type="http://schemas.openxmlformats.org/officeDocument/2006/relationships/hyperlink" Target="https://smartscoretech.atlassian.net/browse/QA-14844" TargetMode="External"/><Relationship Id="rId199" Type="http://schemas.openxmlformats.org/officeDocument/2006/relationships/hyperlink" Target="https://www.figma.com/design/AzQaoPVLY9UdbDRMcrxRKx/Tech-%EA%B3%A0%EB%8F%84%ED%99%94?node-id=1733-4867&amp;t=P9OpDBzHDlKHc7Kc-4" TargetMode="External"/><Relationship Id="rId84" Type="http://schemas.openxmlformats.org/officeDocument/2006/relationships/hyperlink" Target="https://www.figma.com/design/AzQaoPVLY9UdbDRMcrxRKx/Tech-%EA%B3%A0%EB%8F%84%ED%99%94?node-id=1511-2979&amp;t=P9OpDBzHDlKHc7Kc-4" TargetMode="External"/><Relationship Id="rId83" Type="http://schemas.openxmlformats.org/officeDocument/2006/relationships/hyperlink" Target="https://www.figma.com/design/AzQaoPVLY9UdbDRMcrxRKx/Tech-%EA%B3%A0%EB%8F%84%ED%99%94?node-id=1511-2979&amp;t=P9OpDBzHDlKHc7Kc-4" TargetMode="External"/><Relationship Id="rId86" Type="http://schemas.openxmlformats.org/officeDocument/2006/relationships/hyperlink" Target="https://www.figma.com/design/AzQaoPVLY9UdbDRMcrxRKx/Tech-%EA%B3%A0%EB%8F%84%ED%99%94?node-id=1511-2979&amp;t=P9OpDBzHDlKHc7Kc-4" TargetMode="External"/><Relationship Id="rId85" Type="http://schemas.openxmlformats.org/officeDocument/2006/relationships/hyperlink" Target="https://www.figma.com/design/AzQaoPVLY9UdbDRMcrxRKx/Tech-%EA%B3%A0%EB%8F%84%ED%99%94?node-id=1511-2979&amp;t=P9OpDBzHDlKHc7Kc-4" TargetMode="External"/><Relationship Id="rId88" Type="http://schemas.openxmlformats.org/officeDocument/2006/relationships/hyperlink" Target="https://www.figma.com/design/AzQaoPVLY9UdbDRMcrxRKx/Tech-%EA%B3%A0%EB%8F%84%ED%99%94?node-id=1511-2979&amp;t=P9OpDBzHDlKHc7Kc-4" TargetMode="External"/><Relationship Id="rId150" Type="http://schemas.openxmlformats.org/officeDocument/2006/relationships/hyperlink" Target="https://www.figma.com/design/AzQaoPVLY9UdbDRMcrxRKx/Tech-%EA%B3%A0%EB%8F%84%ED%99%94?node-id=4818-16755&amp;t=P9OpDBzHDlKHc7Kc-4" TargetMode="External"/><Relationship Id="rId271" Type="http://schemas.openxmlformats.org/officeDocument/2006/relationships/hyperlink" Target="https://www.figma.com/design/AzQaoPVLY9UdbDRMcrxRKx/Tech-%EA%B3%A0%EB%8F%84%ED%99%94?node-id=1745-9197&amp;t=P9OpDBzHDlKHc7Kc-4" TargetMode="External"/><Relationship Id="rId87" Type="http://schemas.openxmlformats.org/officeDocument/2006/relationships/hyperlink" Target="https://www.figma.com/design/AzQaoPVLY9UdbDRMcrxRKx/Tech-%EA%B3%A0%EB%8F%84%ED%99%94?node-id=1511-2979&amp;t=P9OpDBzHDlKHc7Kc-4" TargetMode="External"/><Relationship Id="rId270" Type="http://schemas.openxmlformats.org/officeDocument/2006/relationships/hyperlink" Target="https://www.figma.com/design/AzQaoPVLY9UdbDRMcrxRKx/Tech-%EA%B3%A0%EB%8F%84%ED%99%94?node-id=1745-9197&amp;t=P9OpDBzHDlKHc7Kc-4" TargetMode="External"/><Relationship Id="rId89" Type="http://schemas.openxmlformats.org/officeDocument/2006/relationships/hyperlink" Target="https://www.figma.com/design/AzQaoPVLY9UdbDRMcrxRKx/Tech-%EA%B3%A0%EB%8F%84%ED%99%94?node-id=1511-2979&amp;t=P9OpDBzHDlKHc7Kc-4" TargetMode="External"/><Relationship Id="rId80" Type="http://schemas.openxmlformats.org/officeDocument/2006/relationships/hyperlink" Target="https://www.figma.com/design/AzQaoPVLY9UdbDRMcrxRKx/Tech-%EA%B3%A0%EB%8F%84%ED%99%94?node-id=1511-2979&amp;t=P9OpDBzHDlKHc7Kc-4" TargetMode="External"/><Relationship Id="rId82" Type="http://schemas.openxmlformats.org/officeDocument/2006/relationships/hyperlink" Target="https://www.figma.com/design/AzQaoPVLY9UdbDRMcrxRKx/Tech-%EA%B3%A0%EB%8F%84%ED%99%94?node-id=1511-2979&amp;t=P9OpDBzHDlKHc7Kc-4" TargetMode="External"/><Relationship Id="rId81" Type="http://schemas.openxmlformats.org/officeDocument/2006/relationships/hyperlink" Target="https://www.figma.com/design/AzQaoPVLY9UdbDRMcrxRKx/Tech-%EA%B3%A0%EB%8F%84%ED%99%94?node-id=1511-2979&amp;t=P9OpDBzHDlKHc7Kc-4" TargetMode="External"/><Relationship Id="rId1" Type="http://schemas.openxmlformats.org/officeDocument/2006/relationships/hyperlink" Target="https://www.figma.com/design/AzQaoPVLY9UdbDRMcrxRKx/Tech-%EA%B3%A0%EB%8F%84%ED%99%94?node-id=1506-4579&amp;t=P9OpDBzHDlKHc7Kc-4" TargetMode="External"/><Relationship Id="rId2" Type="http://schemas.openxmlformats.org/officeDocument/2006/relationships/hyperlink" Target="https://smartscoretech.atlassian.net/browse/QA-14828" TargetMode="External"/><Relationship Id="rId3" Type="http://schemas.openxmlformats.org/officeDocument/2006/relationships/hyperlink" Target="https://www.figma.com/design/AzQaoPVLY9UdbDRMcrxRKx/Tech-%EA%B3%A0%EB%8F%84%ED%99%94?node-id=1506-4579&amp;t=P9OpDBzHDlKHc7Kc-4" TargetMode="External"/><Relationship Id="rId149" Type="http://schemas.openxmlformats.org/officeDocument/2006/relationships/hyperlink" Target="https://smartscoretech.atlassian.net/browse/QA-14888" TargetMode="External"/><Relationship Id="rId4" Type="http://schemas.openxmlformats.org/officeDocument/2006/relationships/hyperlink" Target="https://www.figma.com/design/AzQaoPVLY9UdbDRMcrxRKx/Tech-%EA%B3%A0%EB%8F%84%ED%99%94?node-id=1506-4579&amp;t=P9OpDBzHDlKHc7Kc-4" TargetMode="External"/><Relationship Id="rId148" Type="http://schemas.openxmlformats.org/officeDocument/2006/relationships/hyperlink" Target="https://www.figma.com/design/AzQaoPVLY9UdbDRMcrxRKx/Tech-%EA%B3%A0%EB%8F%84%ED%99%94?node-id=4818-16755&amp;t=P9OpDBzHDlKHc7Kc-4" TargetMode="External"/><Relationship Id="rId269" Type="http://schemas.openxmlformats.org/officeDocument/2006/relationships/hyperlink" Target="https://www.figma.com/design/AzQaoPVLY9UdbDRMcrxRKx/Tech-%EA%B3%A0%EB%8F%84%ED%99%94?node-id=1745-9197&amp;t=P9OpDBzHDlKHc7Kc-4" TargetMode="External"/><Relationship Id="rId9" Type="http://schemas.openxmlformats.org/officeDocument/2006/relationships/hyperlink" Target="https://www.figma.com/design/AzQaoPVLY9UdbDRMcrxRKx/Tech-%EA%B3%A0%EB%8F%84%ED%99%94?node-id=1506-4579&amp;t=P9OpDBzHDlKHc7Kc-4" TargetMode="External"/><Relationship Id="rId143" Type="http://schemas.openxmlformats.org/officeDocument/2006/relationships/hyperlink" Target="https://www.figma.com/design/AzQaoPVLY9UdbDRMcrxRKx/Tech-%EA%B3%A0%EB%8F%84%ED%99%94?node-id=4818-16755&amp;t=P9OpDBzHDlKHc7Kc-4" TargetMode="External"/><Relationship Id="rId264" Type="http://schemas.openxmlformats.org/officeDocument/2006/relationships/hyperlink" Target="https://www.figma.com/design/AzQaoPVLY9UdbDRMcrxRKx/Tech-%EA%B3%A0%EB%8F%84%ED%99%94?node-id=1745-9197&amp;t=P9OpDBzHDlKHc7Kc-4" TargetMode="External"/><Relationship Id="rId142" Type="http://schemas.openxmlformats.org/officeDocument/2006/relationships/hyperlink" Target="https://www.figma.com/design/AzQaoPVLY9UdbDRMcrxRKx/Tech-%EA%B3%A0%EB%8F%84%ED%99%94?node-id=4818-16755&amp;t=P9OpDBzHDlKHc7Kc-4" TargetMode="External"/><Relationship Id="rId263" Type="http://schemas.openxmlformats.org/officeDocument/2006/relationships/hyperlink" Target="https://www.figma.com/design/AzQaoPVLY9UdbDRMcrxRKx/Tech-%EA%B3%A0%EB%8F%84%ED%99%94?node-id=1745-9197&amp;t=P9OpDBzHDlKHc7Kc-4" TargetMode="External"/><Relationship Id="rId141" Type="http://schemas.openxmlformats.org/officeDocument/2006/relationships/hyperlink" Target="https://www.figma.com/design/AzQaoPVLY9UdbDRMcrxRKx/Tech-%EA%B3%A0%EB%8F%84%ED%99%94?node-id=4818-16755&amp;t=P9OpDBzHDlKHc7Kc-4" TargetMode="External"/><Relationship Id="rId262" Type="http://schemas.openxmlformats.org/officeDocument/2006/relationships/hyperlink" Target="https://www.figma.com/design/AzQaoPVLY9UdbDRMcrxRKx/Tech-%EA%B3%A0%EB%8F%84%ED%99%94?node-id=1745-9197&amp;t=P9OpDBzHDlKHc7Kc-4" TargetMode="External"/><Relationship Id="rId140" Type="http://schemas.openxmlformats.org/officeDocument/2006/relationships/hyperlink" Target="https://www.figma.com/design/AzQaoPVLY9UdbDRMcrxRKx/Tech-%EA%B3%A0%EB%8F%84%ED%99%94?node-id=4818-16755&amp;t=P9OpDBzHDlKHc7Kc-4" TargetMode="External"/><Relationship Id="rId261" Type="http://schemas.openxmlformats.org/officeDocument/2006/relationships/hyperlink" Target="https://www.figma.com/design/AzQaoPVLY9UdbDRMcrxRKx/Tech-%EA%B3%A0%EB%8F%84%ED%99%94?node-id=1745-9197&amp;t=P9OpDBzHDlKHc7Kc-4" TargetMode="External"/><Relationship Id="rId5" Type="http://schemas.openxmlformats.org/officeDocument/2006/relationships/hyperlink" Target="https://www.figma.com/design/AzQaoPVLY9UdbDRMcrxRKx/Tech-%EA%B3%A0%EB%8F%84%ED%99%94?node-id=1506-4579&amp;t=P9OpDBzHDlKHc7Kc-4" TargetMode="External"/><Relationship Id="rId147" Type="http://schemas.openxmlformats.org/officeDocument/2006/relationships/hyperlink" Target="https://smartscoretech.atlassian.net/browse/QA-14887" TargetMode="External"/><Relationship Id="rId268" Type="http://schemas.openxmlformats.org/officeDocument/2006/relationships/hyperlink" Target="https://www.figma.com/design/AzQaoPVLY9UdbDRMcrxRKx/Tech-%EA%B3%A0%EB%8F%84%ED%99%94?node-id=1745-9197&amp;t=P9OpDBzHDlKHc7Kc-4" TargetMode="External"/><Relationship Id="rId6" Type="http://schemas.openxmlformats.org/officeDocument/2006/relationships/hyperlink" Target="https://www.figma.com/design/AzQaoPVLY9UdbDRMcrxRKx/Tech-%EA%B3%A0%EB%8F%84%ED%99%94?node-id=1506-4579&amp;t=P9OpDBzHDlKHc7Kc-4" TargetMode="External"/><Relationship Id="rId146" Type="http://schemas.openxmlformats.org/officeDocument/2006/relationships/hyperlink" Target="https://www.figma.com/design/AzQaoPVLY9UdbDRMcrxRKx/Tech-%EA%B3%A0%EB%8F%84%ED%99%94?node-id=4818-16755&amp;t=P9OpDBzHDlKHc7Kc-4" TargetMode="External"/><Relationship Id="rId267" Type="http://schemas.openxmlformats.org/officeDocument/2006/relationships/hyperlink" Target="https://www.figma.com/design/AzQaoPVLY9UdbDRMcrxRKx/Tech-%EA%B3%A0%EB%8F%84%ED%99%94?node-id=1745-9197&amp;t=P9OpDBzHDlKHc7Kc-4" TargetMode="External"/><Relationship Id="rId7" Type="http://schemas.openxmlformats.org/officeDocument/2006/relationships/hyperlink" Target="https://smartscoretech.atlassian.net/browse/QA-14831" TargetMode="External"/><Relationship Id="rId145" Type="http://schemas.openxmlformats.org/officeDocument/2006/relationships/hyperlink" Target="https://www.figma.com/design/AzQaoPVLY9UdbDRMcrxRKx/Tech-%EA%B3%A0%EB%8F%84%ED%99%94?node-id=4818-16755&amp;t=P9OpDBzHDlKHc7Kc-4" TargetMode="External"/><Relationship Id="rId266" Type="http://schemas.openxmlformats.org/officeDocument/2006/relationships/hyperlink" Target="https://www.figma.com/design/AzQaoPVLY9UdbDRMcrxRKx/Tech-%EA%B3%A0%EB%8F%84%ED%99%94?node-id=1745-9197&amp;t=P9OpDBzHDlKHc7Kc-4" TargetMode="External"/><Relationship Id="rId8" Type="http://schemas.openxmlformats.org/officeDocument/2006/relationships/hyperlink" Target="https://www.figma.com/design/AzQaoPVLY9UdbDRMcrxRKx/Tech-%EA%B3%A0%EB%8F%84%ED%99%94?node-id=1506-4579&amp;t=P9OpDBzHDlKHc7Kc-4" TargetMode="External"/><Relationship Id="rId144" Type="http://schemas.openxmlformats.org/officeDocument/2006/relationships/hyperlink" Target="https://smartscoretech.atlassian.net/browse/QA-14903" TargetMode="External"/><Relationship Id="rId265" Type="http://schemas.openxmlformats.org/officeDocument/2006/relationships/hyperlink" Target="https://www.figma.com/design/AzQaoPVLY9UdbDRMcrxRKx/Tech-%EA%B3%A0%EB%8F%84%ED%99%94?node-id=1745-9197&amp;t=P9OpDBzHDlKHc7Kc-4" TargetMode="External"/><Relationship Id="rId73" Type="http://schemas.openxmlformats.org/officeDocument/2006/relationships/hyperlink" Target="https://www.figma.com/design/AzQaoPVLY9UdbDRMcrxRKx/Tech-%EA%B3%A0%EB%8F%84%ED%99%94?node-id=1511-2979&amp;t=P9OpDBzHDlKHc7Kc-4" TargetMode="External"/><Relationship Id="rId72" Type="http://schemas.openxmlformats.org/officeDocument/2006/relationships/hyperlink" Target="https://www.figma.com/design/AzQaoPVLY9UdbDRMcrxRKx/Tech-%EA%B3%A0%EB%8F%84%ED%99%94?node-id=1511-2979&amp;t=P9OpDBzHDlKHc7Kc-4" TargetMode="External"/><Relationship Id="rId75" Type="http://schemas.openxmlformats.org/officeDocument/2006/relationships/hyperlink" Target="https://smartscoretech.atlassian.net/browse/QA-14840" TargetMode="External"/><Relationship Id="rId74" Type="http://schemas.openxmlformats.org/officeDocument/2006/relationships/hyperlink" Target="https://www.figma.com/design/AzQaoPVLY9UdbDRMcrxRKx/Tech-%EA%B3%A0%EB%8F%84%ED%99%94?node-id=1511-2979&amp;t=P9OpDBzHDlKHc7Kc-4" TargetMode="External"/><Relationship Id="rId77" Type="http://schemas.openxmlformats.org/officeDocument/2006/relationships/hyperlink" Target="https://www.figma.com/design/AzQaoPVLY9UdbDRMcrxRKx/Tech-%EA%B3%A0%EB%8F%84%ED%99%94?node-id=1511-2979&amp;t=P9OpDBzHDlKHc7Kc-4" TargetMode="External"/><Relationship Id="rId260" Type="http://schemas.openxmlformats.org/officeDocument/2006/relationships/hyperlink" Target="https://www.figma.com/design/AzQaoPVLY9UdbDRMcrxRKx/Tech-%EA%B3%A0%EB%8F%84%ED%99%94?node-id=1513-3068&amp;t=P9OpDBzHDlKHc7Kc-4" TargetMode="External"/><Relationship Id="rId76" Type="http://schemas.openxmlformats.org/officeDocument/2006/relationships/hyperlink" Target="https://www.figma.com/design/AzQaoPVLY9UdbDRMcrxRKx/Tech-%EA%B3%A0%EB%8F%84%ED%99%94?node-id=1511-2979&amp;t=P9OpDBzHDlKHc7Kc-4" TargetMode="External"/><Relationship Id="rId79" Type="http://schemas.openxmlformats.org/officeDocument/2006/relationships/hyperlink" Target="https://www.figma.com/design/AzQaoPVLY9UdbDRMcrxRKx/Tech-%EA%B3%A0%EB%8F%84%ED%99%94?node-id=1511-2979&amp;t=P9OpDBzHDlKHc7Kc-4" TargetMode="External"/><Relationship Id="rId78" Type="http://schemas.openxmlformats.org/officeDocument/2006/relationships/hyperlink" Target="https://www.figma.com/design/AzQaoPVLY9UdbDRMcrxRKx/Tech-%EA%B3%A0%EB%8F%84%ED%99%94?node-id=1511-2979&amp;t=P9OpDBzHDlKHc7Kc-4" TargetMode="External"/><Relationship Id="rId71" Type="http://schemas.openxmlformats.org/officeDocument/2006/relationships/hyperlink" Target="https://www.figma.com/design/AzQaoPVLY9UdbDRMcrxRKx/Tech-%EA%B3%A0%EB%8F%84%ED%99%94?node-id=1511-2979&amp;t=P9OpDBzHDlKHc7Kc-4" TargetMode="External"/><Relationship Id="rId70" Type="http://schemas.openxmlformats.org/officeDocument/2006/relationships/hyperlink" Target="https://smartscoretech.atlassian.net/browse/QA-14856" TargetMode="External"/><Relationship Id="rId139" Type="http://schemas.openxmlformats.org/officeDocument/2006/relationships/hyperlink" Target="https://smartscoretech.atlassian.net/browse/QA-14886" TargetMode="External"/><Relationship Id="rId138" Type="http://schemas.openxmlformats.org/officeDocument/2006/relationships/hyperlink" Target="https://www.figma.com/design/AzQaoPVLY9UdbDRMcrxRKx/Tech-%EA%B3%A0%EB%8F%84%ED%99%94?node-id=4818-16755&amp;t=P9OpDBzHDlKHc7Kc-4" TargetMode="External"/><Relationship Id="rId259" Type="http://schemas.openxmlformats.org/officeDocument/2006/relationships/hyperlink" Target="https://www.figma.com/design/AzQaoPVLY9UdbDRMcrxRKx/Tech-%EA%B3%A0%EB%8F%84%ED%99%94?node-id=1513-3068&amp;t=P9OpDBzHDlKHc7Kc-4" TargetMode="External"/><Relationship Id="rId137" Type="http://schemas.openxmlformats.org/officeDocument/2006/relationships/hyperlink" Target="https://www.figma.com/design/AzQaoPVLY9UdbDRMcrxRKx/Tech-%EA%B3%A0%EB%8F%84%ED%99%94?node-id=4818-16755&amp;t=P9OpDBzHDlKHc7Kc-4" TargetMode="External"/><Relationship Id="rId258" Type="http://schemas.openxmlformats.org/officeDocument/2006/relationships/hyperlink" Target="https://www.figma.com/design/AzQaoPVLY9UdbDRMcrxRKx/Tech-%EA%B3%A0%EB%8F%84%ED%99%94?node-id=1513-3068&amp;t=P9OpDBzHDlKHc7Kc-4" TargetMode="External"/><Relationship Id="rId132" Type="http://schemas.openxmlformats.org/officeDocument/2006/relationships/hyperlink" Target="https://www.figma.com/design/AzQaoPVLY9UdbDRMcrxRKx/Tech-%EA%B3%A0%EB%8F%84%ED%99%94?node-id=4818-16755&amp;t=P9OpDBzHDlKHc7Kc-4" TargetMode="External"/><Relationship Id="rId253" Type="http://schemas.openxmlformats.org/officeDocument/2006/relationships/hyperlink" Target="https://www.figma.com/design/AzQaoPVLY9UdbDRMcrxRKx/Tech-%EA%B3%A0%EB%8F%84%ED%99%94?node-id=1741-8579&amp;t=P9OpDBzHDlKHc7Kc-4" TargetMode="External"/><Relationship Id="rId131" Type="http://schemas.openxmlformats.org/officeDocument/2006/relationships/hyperlink" Target="https://www.figma.com/design/AzQaoPVLY9UdbDRMcrxRKx/Tech-%EA%B3%A0%EB%8F%84%ED%99%94?node-id=4818-16755&amp;t=P9OpDBzHDlKHc7Kc-4" TargetMode="External"/><Relationship Id="rId252" Type="http://schemas.openxmlformats.org/officeDocument/2006/relationships/hyperlink" Target="https://www.figma.com/design/AzQaoPVLY9UdbDRMcrxRKx/Tech-%EA%B3%A0%EB%8F%84%ED%99%94?node-id=1741-8579&amp;t=P9OpDBzHDlKHc7Kc-4" TargetMode="External"/><Relationship Id="rId130" Type="http://schemas.openxmlformats.org/officeDocument/2006/relationships/hyperlink" Target="https://smartscoretech.atlassian.net/browse/QA-14890" TargetMode="External"/><Relationship Id="rId251" Type="http://schemas.openxmlformats.org/officeDocument/2006/relationships/hyperlink" Target="https://www.figma.com/design/AzQaoPVLY9UdbDRMcrxRKx/Tech-%EA%B3%A0%EB%8F%84%ED%99%94?node-id=1741-8579&amp;t=P9OpDBzHDlKHc7Kc-4" TargetMode="External"/><Relationship Id="rId250" Type="http://schemas.openxmlformats.org/officeDocument/2006/relationships/hyperlink" Target="https://www.figma.com/design/AzQaoPVLY9UdbDRMcrxRKx/Tech-%EA%B3%A0%EB%8F%84%ED%99%94?node-id=1741-8579&amp;t=P9OpDBzHDlKHc7Kc-4" TargetMode="External"/><Relationship Id="rId136" Type="http://schemas.openxmlformats.org/officeDocument/2006/relationships/hyperlink" Target="https://www.figma.com/design/AzQaoPVLY9UdbDRMcrxRKx/Tech-%EA%B3%A0%EB%8F%84%ED%99%94?node-id=4818-16755&amp;t=P9OpDBzHDlKHc7Kc-4" TargetMode="External"/><Relationship Id="rId257" Type="http://schemas.openxmlformats.org/officeDocument/2006/relationships/hyperlink" Target="https://www.figma.com/design/AzQaoPVLY9UdbDRMcrxRKx/Tech-%EA%B3%A0%EB%8F%84%ED%99%94?node-id=1513-3068&amp;t=P9OpDBzHDlKHc7Kc-4" TargetMode="External"/><Relationship Id="rId135" Type="http://schemas.openxmlformats.org/officeDocument/2006/relationships/hyperlink" Target="https://smartscoretech.atlassian.net/browse/QA-14886" TargetMode="External"/><Relationship Id="rId256" Type="http://schemas.openxmlformats.org/officeDocument/2006/relationships/hyperlink" Target="https://www.figma.com/design/AzQaoPVLY9UdbDRMcrxRKx/Tech-%EA%B3%A0%EB%8F%84%ED%99%94?node-id=1741-8579&amp;t=P9OpDBzHDlKHc7Kc-4" TargetMode="External"/><Relationship Id="rId134" Type="http://schemas.openxmlformats.org/officeDocument/2006/relationships/hyperlink" Target="https://www.figma.com/design/AzQaoPVLY9UdbDRMcrxRKx/Tech-%EA%B3%A0%EB%8F%84%ED%99%94?node-id=4818-16755&amp;t=P9OpDBzHDlKHc7Kc-4" TargetMode="External"/><Relationship Id="rId255" Type="http://schemas.openxmlformats.org/officeDocument/2006/relationships/hyperlink" Target="https://www.figma.com/design/AzQaoPVLY9UdbDRMcrxRKx/Tech-%EA%B3%A0%EB%8F%84%ED%99%94?node-id=1741-8579&amp;t=P9OpDBzHDlKHc7Kc-4" TargetMode="External"/><Relationship Id="rId133" Type="http://schemas.openxmlformats.org/officeDocument/2006/relationships/hyperlink" Target="https://smartscoretech.atlassian.net/browse/QA-14907" TargetMode="External"/><Relationship Id="rId254" Type="http://schemas.openxmlformats.org/officeDocument/2006/relationships/hyperlink" Target="https://www.figma.com/design/AzQaoPVLY9UdbDRMcrxRKx/Tech-%EA%B3%A0%EB%8F%84%ED%99%94?node-id=1741-8579&amp;t=P9OpDBzHDlKHc7Kc-4" TargetMode="External"/><Relationship Id="rId62" Type="http://schemas.openxmlformats.org/officeDocument/2006/relationships/hyperlink" Target="https://www.figma.com/design/AzQaoPVLY9UdbDRMcrxRKx/Tech-%EA%B3%A0%EB%8F%84%ED%99%94?node-id=1507-6132&amp;t=P9OpDBzHDlKHc7Kc-4" TargetMode="External"/><Relationship Id="rId61" Type="http://schemas.openxmlformats.org/officeDocument/2006/relationships/hyperlink" Target="https://smartscoretech.atlassian.net/browse/QA-14865" TargetMode="External"/><Relationship Id="rId64" Type="http://schemas.openxmlformats.org/officeDocument/2006/relationships/hyperlink" Target="https://smartscoretech.atlassian.net/browse/QA-14854" TargetMode="External"/><Relationship Id="rId63" Type="http://schemas.openxmlformats.org/officeDocument/2006/relationships/hyperlink" Target="https://www.figma.com/design/AzQaoPVLY9UdbDRMcrxRKx/Tech-%EA%B3%A0%EB%8F%84%ED%99%94?node-id=1507-6132&amp;t=P9OpDBzHDlKHc7Kc-4" TargetMode="External"/><Relationship Id="rId66" Type="http://schemas.openxmlformats.org/officeDocument/2006/relationships/hyperlink" Target="https://www.figma.com/design/AzQaoPVLY9UdbDRMcrxRKx/Tech-%EA%B3%A0%EB%8F%84%ED%99%94?node-id=1507-6132&amp;t=P9OpDBzHDlKHc7Kc-4" TargetMode="External"/><Relationship Id="rId172" Type="http://schemas.openxmlformats.org/officeDocument/2006/relationships/hyperlink" Target="https://www.figma.com/design/AzQaoPVLY9UdbDRMcrxRKx/Tech-%EA%B3%A0%EB%8F%84%ED%99%94?node-id=4803-6020&amp;t=P9OpDBzHDlKHc7Kc-4" TargetMode="External"/><Relationship Id="rId293" Type="http://schemas.openxmlformats.org/officeDocument/2006/relationships/hyperlink" Target="https://www.figma.com/design/AzQaoPVLY9UdbDRMcrxRKx/Tech-%EA%B3%A0%EB%8F%84%ED%99%94?node-id=2092-8251&amp;t=P9OpDBzHDlKHc7Kc-4" TargetMode="External"/><Relationship Id="rId65" Type="http://schemas.openxmlformats.org/officeDocument/2006/relationships/hyperlink" Target="https://www.figma.com/design/AzQaoPVLY9UdbDRMcrxRKx/Tech-%EA%B3%A0%EB%8F%84%ED%99%94?node-id=1507-6132&amp;t=P9OpDBzHDlKHc7Kc-4" TargetMode="External"/><Relationship Id="rId171" Type="http://schemas.openxmlformats.org/officeDocument/2006/relationships/hyperlink" Target="https://www.figma.com/design/AzQaoPVLY9UdbDRMcrxRKx/Tech-%EA%B3%A0%EB%8F%84%ED%99%94?node-id=4803-6020&amp;t=P9OpDBzHDlKHc7Kc-4" TargetMode="External"/><Relationship Id="rId292" Type="http://schemas.openxmlformats.org/officeDocument/2006/relationships/hyperlink" Target="https://www.figma.com/design/AzQaoPVLY9UdbDRMcrxRKx/Tech-%EA%B3%A0%EB%8F%84%ED%99%94?node-id=2092-8251&amp;t=P9OpDBzHDlKHc7Kc-4" TargetMode="External"/><Relationship Id="rId68" Type="http://schemas.openxmlformats.org/officeDocument/2006/relationships/hyperlink" Target="https://smartscoretech.atlassian.net/browse/QA-14856" TargetMode="External"/><Relationship Id="rId170" Type="http://schemas.openxmlformats.org/officeDocument/2006/relationships/hyperlink" Target="https://www.figma.com/design/AzQaoPVLY9UdbDRMcrxRKx/Tech-%EA%B3%A0%EB%8F%84%ED%99%94?node-id=4818-16755&amp;t=P9OpDBzHDlKHc7Kc-4" TargetMode="External"/><Relationship Id="rId291" Type="http://schemas.openxmlformats.org/officeDocument/2006/relationships/hyperlink" Target="https://www.figma.com/design/AzQaoPVLY9UdbDRMcrxRKx/Tech-%EA%B3%A0%EB%8F%84%ED%99%94?node-id=1513-3068&amp;t=P9OpDBzHDlKHc7Kc-4" TargetMode="External"/><Relationship Id="rId67" Type="http://schemas.openxmlformats.org/officeDocument/2006/relationships/hyperlink" Target="https://www.figma.com/design/AzQaoPVLY9UdbDRMcrxRKx/Tech-%EA%B3%A0%EB%8F%84%ED%99%94?node-id=1507-6132&amp;t=P9OpDBzHDlKHc7Kc-4" TargetMode="External"/><Relationship Id="rId290" Type="http://schemas.openxmlformats.org/officeDocument/2006/relationships/hyperlink" Target="https://www.figma.com/design/AzQaoPVLY9UdbDRMcrxRKx/Tech-%EA%B3%A0%EB%8F%84%ED%99%94?node-id=1513-3068&amp;t=P9OpDBzHDlKHc7Kc-4" TargetMode="External"/><Relationship Id="rId60" Type="http://schemas.openxmlformats.org/officeDocument/2006/relationships/hyperlink" Target="https://www.figma.com/design/AzQaoPVLY9UdbDRMcrxRKx/Tech-%EA%B3%A0%EB%8F%84%ED%99%94?node-id=1507-6132&amp;t=P9OpDBzHDlKHc7Kc-4" TargetMode="External"/><Relationship Id="rId165" Type="http://schemas.openxmlformats.org/officeDocument/2006/relationships/hyperlink" Target="https://www.figma.com/design/AzQaoPVLY9UdbDRMcrxRKx/Tech-%EA%B3%A0%EB%8F%84%ED%99%94?node-id=4818-16755&amp;t=P9OpDBzHDlKHc7Kc-4" TargetMode="External"/><Relationship Id="rId286" Type="http://schemas.openxmlformats.org/officeDocument/2006/relationships/hyperlink" Target="https://www.figma.com/design/AzQaoPVLY9UdbDRMcrxRKx/Tech-%EA%B3%A0%EB%8F%84%ED%99%94?node-id=1513-3068&amp;t=P9OpDBzHDlKHc7Kc-4" TargetMode="External"/><Relationship Id="rId69" Type="http://schemas.openxmlformats.org/officeDocument/2006/relationships/hyperlink" Target="https://www.figma.com/design/AzQaoPVLY9UdbDRMcrxRKx/Tech-%EA%B3%A0%EB%8F%84%ED%99%94?node-id=1507-6132&amp;t=P9OpDBzHDlKHc7Kc-4" TargetMode="External"/><Relationship Id="rId164" Type="http://schemas.openxmlformats.org/officeDocument/2006/relationships/hyperlink" Target="https://www.figma.com/design/AzQaoPVLY9UdbDRMcrxRKx/Tech-%EA%B3%A0%EB%8F%84%ED%99%94?node-id=4818-16755&amp;t=P9OpDBzHDlKHc7Kc-4" TargetMode="External"/><Relationship Id="rId285" Type="http://schemas.openxmlformats.org/officeDocument/2006/relationships/hyperlink" Target="https://www.figma.com/design/AzQaoPVLY9UdbDRMcrxRKx/Tech-%EA%B3%A0%EB%8F%84%ED%99%94?node-id=1513-3068&amp;t=P9OpDBzHDlKHc7Kc-4" TargetMode="External"/><Relationship Id="rId163" Type="http://schemas.openxmlformats.org/officeDocument/2006/relationships/hyperlink" Target="https://www.figma.com/design/AzQaoPVLY9UdbDRMcrxRKx/Tech-%EA%B3%A0%EB%8F%84%ED%99%94?node-id=4818-16755&amp;t=P9OpDBzHDlKHc7Kc-4" TargetMode="External"/><Relationship Id="rId284" Type="http://schemas.openxmlformats.org/officeDocument/2006/relationships/hyperlink" Target="https://www.figma.com/design/AzQaoPVLY9UdbDRMcrxRKx/Tech-%EA%B3%A0%EB%8F%84%ED%99%94?node-id=1513-3068&amp;t=P9OpDBzHDlKHc7Kc-4" TargetMode="External"/><Relationship Id="rId162" Type="http://schemas.openxmlformats.org/officeDocument/2006/relationships/hyperlink" Target="https://smartscoretech.atlassian.net/browse/QA-14900" TargetMode="External"/><Relationship Id="rId283" Type="http://schemas.openxmlformats.org/officeDocument/2006/relationships/hyperlink" Target="https://www.figma.com/design/AzQaoPVLY9UdbDRMcrxRKx/Tech-%EA%B3%A0%EB%8F%84%ED%99%94?node-id=1513-3068&amp;t=P9OpDBzHDlKHc7Kc-4" TargetMode="External"/><Relationship Id="rId169" Type="http://schemas.openxmlformats.org/officeDocument/2006/relationships/hyperlink" Target="https://www.figma.com/design/AzQaoPVLY9UdbDRMcrxRKx/Tech-%EA%B3%A0%EB%8F%84%ED%99%94?node-id=4818-16755&amp;t=P9OpDBzHDlKHc7Kc-4" TargetMode="External"/><Relationship Id="rId168" Type="http://schemas.openxmlformats.org/officeDocument/2006/relationships/hyperlink" Target="https://www.figma.com/design/AzQaoPVLY9UdbDRMcrxRKx/Tech-%EA%B3%A0%EB%8F%84%ED%99%94?node-id=4818-16755&amp;t=P9OpDBzHDlKHc7Kc-4" TargetMode="External"/><Relationship Id="rId289" Type="http://schemas.openxmlformats.org/officeDocument/2006/relationships/hyperlink" Target="https://www.figma.com/design/AzQaoPVLY9UdbDRMcrxRKx/Tech-%EA%B3%A0%EB%8F%84%ED%99%94?node-id=1513-3068&amp;t=P9OpDBzHDlKHc7Kc-4" TargetMode="External"/><Relationship Id="rId167" Type="http://schemas.openxmlformats.org/officeDocument/2006/relationships/hyperlink" Target="https://www.figma.com/design/AzQaoPVLY9UdbDRMcrxRKx/Tech-%EA%B3%A0%EB%8F%84%ED%99%94?node-id=4818-16755&amp;t=P9OpDBzHDlKHc7Kc-4" TargetMode="External"/><Relationship Id="rId288" Type="http://schemas.openxmlformats.org/officeDocument/2006/relationships/hyperlink" Target="https://www.figma.com/design/AzQaoPVLY9UdbDRMcrxRKx/Tech-%EA%B3%A0%EB%8F%84%ED%99%94?node-id=1513-3068&amp;t=P9OpDBzHDlKHc7Kc-4" TargetMode="External"/><Relationship Id="rId166" Type="http://schemas.openxmlformats.org/officeDocument/2006/relationships/hyperlink" Target="https://www.figma.com/design/AzQaoPVLY9UdbDRMcrxRKx/Tech-%EA%B3%A0%EB%8F%84%ED%99%94?node-id=4818-16755&amp;t=P9OpDBzHDlKHc7Kc-4" TargetMode="External"/><Relationship Id="rId287" Type="http://schemas.openxmlformats.org/officeDocument/2006/relationships/hyperlink" Target="https://www.figma.com/design/AzQaoPVLY9UdbDRMcrxRKx/Tech-%EA%B3%A0%EB%8F%84%ED%99%94?node-id=1513-3068&amp;t=P9OpDBzHDlKHc7Kc-4" TargetMode="External"/><Relationship Id="rId51" Type="http://schemas.openxmlformats.org/officeDocument/2006/relationships/hyperlink" Target="https://www.figma.com/design/AzQaoPVLY9UdbDRMcrxRKx/Tech-%EA%B3%A0%EB%8F%84%ED%99%94?node-id=1507-6132&amp;t=P9OpDBzHDlKHc7Kc-4" TargetMode="External"/><Relationship Id="rId50" Type="http://schemas.openxmlformats.org/officeDocument/2006/relationships/hyperlink" Target="https://www.figma.com/design/AzQaoPVLY9UdbDRMcrxRKx/Tech-%EA%B3%A0%EB%8F%84%ED%99%94?node-id=1507-6132&amp;t=P9OpDBzHDlKHc7Kc-4" TargetMode="External"/><Relationship Id="rId53" Type="http://schemas.openxmlformats.org/officeDocument/2006/relationships/hyperlink" Target="https://www.figma.com/design/AzQaoPVLY9UdbDRMcrxRKx/Tech-%EA%B3%A0%EB%8F%84%ED%99%94?node-id=1507-6132&amp;t=P9OpDBzHDlKHc7Kc-4" TargetMode="External"/><Relationship Id="rId52" Type="http://schemas.openxmlformats.org/officeDocument/2006/relationships/hyperlink" Target="https://smartscoretech.atlassian.net/browse/QA-14863" TargetMode="External"/><Relationship Id="rId55" Type="http://schemas.openxmlformats.org/officeDocument/2006/relationships/hyperlink" Target="https://www.figma.com/design/AzQaoPVLY9UdbDRMcrxRKx/Tech-%EA%B3%A0%EB%8F%84%ED%99%94?node-id=1507-6132&amp;t=P9OpDBzHDlKHc7Kc-4" TargetMode="External"/><Relationship Id="rId161" Type="http://schemas.openxmlformats.org/officeDocument/2006/relationships/hyperlink" Target="https://www.figma.com/design/AzQaoPVLY9UdbDRMcrxRKx/Tech-%EA%B3%A0%EB%8F%84%ED%99%94?node-id=4818-16755&amp;t=P9OpDBzHDlKHc7Kc-4" TargetMode="External"/><Relationship Id="rId282" Type="http://schemas.openxmlformats.org/officeDocument/2006/relationships/hyperlink" Target="https://www.figma.com/design/AzQaoPVLY9UdbDRMcrxRKx/Tech-%EA%B3%A0%EB%8F%84%ED%99%94?node-id=1513-3068&amp;t=P9OpDBzHDlKHc7Kc-4" TargetMode="External"/><Relationship Id="rId54" Type="http://schemas.openxmlformats.org/officeDocument/2006/relationships/hyperlink" Target="https://smartscoretech.atlassian.net/browse/QA-14846" TargetMode="External"/><Relationship Id="rId160" Type="http://schemas.openxmlformats.org/officeDocument/2006/relationships/hyperlink" Target="https://www.figma.com/design/AzQaoPVLY9UdbDRMcrxRKx/Tech-%EA%B3%A0%EB%8F%84%ED%99%94?node-id=4818-16755&amp;t=P9OpDBzHDlKHc7Kc-4" TargetMode="External"/><Relationship Id="rId281" Type="http://schemas.openxmlformats.org/officeDocument/2006/relationships/hyperlink" Target="https://www.figma.com/design/AzQaoPVLY9UdbDRMcrxRKx/Tech-%EA%B3%A0%EB%8F%84%ED%99%94?node-id=1745-9197&amp;t=P9OpDBzHDlKHc7Kc-4" TargetMode="External"/><Relationship Id="rId57" Type="http://schemas.openxmlformats.org/officeDocument/2006/relationships/hyperlink" Target="https://smartscoretech.atlassian.net/browse/QA-14865" TargetMode="External"/><Relationship Id="rId280" Type="http://schemas.openxmlformats.org/officeDocument/2006/relationships/hyperlink" Target="https://www.figma.com/design/AzQaoPVLY9UdbDRMcrxRKx/Tech-%EA%B3%A0%EB%8F%84%ED%99%94?node-id=1745-9197&amp;t=P9OpDBzHDlKHc7Kc-4" TargetMode="External"/><Relationship Id="rId56" Type="http://schemas.openxmlformats.org/officeDocument/2006/relationships/hyperlink" Target="https://www.figma.com/design/AzQaoPVLY9UdbDRMcrxRKx/Tech-%EA%B3%A0%EB%8F%84%ED%99%94?node-id=1507-6132&amp;t=P9OpDBzHDlKHc7Kc-4" TargetMode="External"/><Relationship Id="rId159" Type="http://schemas.openxmlformats.org/officeDocument/2006/relationships/hyperlink" Target="https://www.figma.com/design/AzQaoPVLY9UdbDRMcrxRKx/Tech-%EA%B3%A0%EB%8F%84%ED%99%94?node-id=4818-16755&amp;t=P9OpDBzHDlKHc7Kc-4" TargetMode="External"/><Relationship Id="rId59" Type="http://schemas.openxmlformats.org/officeDocument/2006/relationships/hyperlink" Target="https://www.figma.com/design/AzQaoPVLY9UdbDRMcrxRKx/Tech-%EA%B3%A0%EB%8F%84%ED%99%94?node-id=1507-6132&amp;t=P9OpDBzHDlKHc7Kc-4" TargetMode="External"/><Relationship Id="rId154" Type="http://schemas.openxmlformats.org/officeDocument/2006/relationships/hyperlink" Target="https://smartscoretech.atlassian.net/browse/QA-14900" TargetMode="External"/><Relationship Id="rId275" Type="http://schemas.openxmlformats.org/officeDocument/2006/relationships/hyperlink" Target="https://www.figma.com/design/AzQaoPVLY9UdbDRMcrxRKx/Tech-%EA%B3%A0%EB%8F%84%ED%99%94?node-id=1745-9197&amp;t=P9OpDBzHDlKHc7Kc-4" TargetMode="External"/><Relationship Id="rId58" Type="http://schemas.openxmlformats.org/officeDocument/2006/relationships/hyperlink" Target="https://www.figma.com/design/AzQaoPVLY9UdbDRMcrxRKx/Tech-%EA%B3%A0%EB%8F%84%ED%99%94?node-id=1507-6132&amp;t=P9OpDBzHDlKHc7Kc-4" TargetMode="External"/><Relationship Id="rId153" Type="http://schemas.openxmlformats.org/officeDocument/2006/relationships/hyperlink" Target="https://www.figma.com/design/AzQaoPVLY9UdbDRMcrxRKx/Tech-%EA%B3%A0%EB%8F%84%ED%99%94?node-id=4818-16755&amp;t=P9OpDBzHDlKHc7Kc-4" TargetMode="External"/><Relationship Id="rId274" Type="http://schemas.openxmlformats.org/officeDocument/2006/relationships/hyperlink" Target="https://www.figma.com/design/AzQaoPVLY9UdbDRMcrxRKx/Tech-%EA%B3%A0%EB%8F%84%ED%99%94?node-id=1745-9197&amp;t=P9OpDBzHDlKHc7Kc-4" TargetMode="External"/><Relationship Id="rId152" Type="http://schemas.openxmlformats.org/officeDocument/2006/relationships/hyperlink" Target="https://smartscoretech.atlassian.net/browse/QA-14894" TargetMode="External"/><Relationship Id="rId273" Type="http://schemas.openxmlformats.org/officeDocument/2006/relationships/hyperlink" Target="https://www.figma.com/design/AzQaoPVLY9UdbDRMcrxRKx/Tech-%EA%B3%A0%EB%8F%84%ED%99%94?node-id=1745-9197&amp;t=P9OpDBzHDlKHc7Kc-4" TargetMode="External"/><Relationship Id="rId151" Type="http://schemas.openxmlformats.org/officeDocument/2006/relationships/hyperlink" Target="https://www.figma.com/design/AzQaoPVLY9UdbDRMcrxRKx/Tech-%EA%B3%A0%EB%8F%84%ED%99%94?node-id=4818-16755&amp;t=P9OpDBzHDlKHc7Kc-4" TargetMode="External"/><Relationship Id="rId272" Type="http://schemas.openxmlformats.org/officeDocument/2006/relationships/hyperlink" Target="https://www.figma.com/design/AzQaoPVLY9UdbDRMcrxRKx/Tech-%EA%B3%A0%EB%8F%84%ED%99%94?node-id=1745-9197&amp;t=P9OpDBzHDlKHc7Kc-4" TargetMode="External"/><Relationship Id="rId158" Type="http://schemas.openxmlformats.org/officeDocument/2006/relationships/hyperlink" Target="https://smartscoretech.atlassian.net/browse/QA-14901" TargetMode="External"/><Relationship Id="rId279" Type="http://schemas.openxmlformats.org/officeDocument/2006/relationships/hyperlink" Target="https://www.figma.com/design/AzQaoPVLY9UdbDRMcrxRKx/Tech-%EA%B3%A0%EB%8F%84%ED%99%94?node-id=1745-9197&amp;t=P9OpDBzHDlKHc7Kc-4" TargetMode="External"/><Relationship Id="rId157" Type="http://schemas.openxmlformats.org/officeDocument/2006/relationships/hyperlink" Target="https://www.figma.com/design/AzQaoPVLY9UdbDRMcrxRKx/Tech-%EA%B3%A0%EB%8F%84%ED%99%94?node-id=4818-16755&amp;t=P9OpDBzHDlKHc7Kc-4" TargetMode="External"/><Relationship Id="rId278" Type="http://schemas.openxmlformats.org/officeDocument/2006/relationships/hyperlink" Target="https://www.figma.com/design/AzQaoPVLY9UdbDRMcrxRKx/Tech-%EA%B3%A0%EB%8F%84%ED%99%94?node-id=1745-9197&amp;t=P9OpDBzHDlKHc7Kc-4" TargetMode="External"/><Relationship Id="rId156" Type="http://schemas.openxmlformats.org/officeDocument/2006/relationships/hyperlink" Target="https://www.figma.com/design/AzQaoPVLY9UdbDRMcrxRKx/Tech-%EA%B3%A0%EB%8F%84%ED%99%94?node-id=4818-16755&amp;t=P9OpDBzHDlKHc7Kc-4" TargetMode="External"/><Relationship Id="rId277" Type="http://schemas.openxmlformats.org/officeDocument/2006/relationships/hyperlink" Target="https://www.figma.com/design/AzQaoPVLY9UdbDRMcrxRKx/Tech-%EA%B3%A0%EB%8F%84%ED%99%94?node-id=1745-9197&amp;t=P9OpDBzHDlKHc7Kc-4" TargetMode="External"/><Relationship Id="rId155" Type="http://schemas.openxmlformats.org/officeDocument/2006/relationships/hyperlink" Target="https://www.figma.com/design/AzQaoPVLY9UdbDRMcrxRKx/Tech-%EA%B3%A0%EB%8F%84%ED%99%94?node-id=4818-16755&amp;t=P9OpDBzHDlKHc7Kc-4" TargetMode="External"/><Relationship Id="rId276" Type="http://schemas.openxmlformats.org/officeDocument/2006/relationships/hyperlink" Target="https://www.figma.com/design/AzQaoPVLY9UdbDRMcrxRKx/Tech-%EA%B3%A0%EB%8F%84%ED%99%94?node-id=1745-9197&amp;t=P9OpDBzHDlKHc7Kc-4" TargetMode="External"/><Relationship Id="rId107" Type="http://schemas.openxmlformats.org/officeDocument/2006/relationships/hyperlink" Target="https://www.figma.com/design/AzQaoPVLY9UdbDRMcrxRKx/Tech-%EA%B3%A0%EB%8F%84%ED%99%94?node-id=1511-2979&amp;t=P9OpDBzHDlKHc7Kc-4" TargetMode="External"/><Relationship Id="rId228" Type="http://schemas.openxmlformats.org/officeDocument/2006/relationships/hyperlink" Target="https://www.figma.com/design/AzQaoPVLY9UdbDRMcrxRKx/Tech-%EA%B3%A0%EB%8F%84%ED%99%94?node-id=2734-65341&amp;t=P9OpDBzHDlKHc7Kc-4" TargetMode="External"/><Relationship Id="rId106" Type="http://schemas.openxmlformats.org/officeDocument/2006/relationships/hyperlink" Target="https://www.figma.com/design/AzQaoPVLY9UdbDRMcrxRKx/Tech-%EA%B3%A0%EB%8F%84%ED%99%94?node-id=1511-2979&amp;t=P9OpDBzHDlKHc7Kc-4" TargetMode="External"/><Relationship Id="rId227" Type="http://schemas.openxmlformats.org/officeDocument/2006/relationships/hyperlink" Target="https://www.figma.com/design/AzQaoPVLY9UdbDRMcrxRKx/Tech-%EA%B3%A0%EB%8F%84%ED%99%94?node-id=2734-65333&amp;t=P9OpDBzHDlKHc7Kc-4" TargetMode="External"/><Relationship Id="rId105" Type="http://schemas.openxmlformats.org/officeDocument/2006/relationships/hyperlink" Target="https://www.figma.com/design/AzQaoPVLY9UdbDRMcrxRKx/Tech-%EA%B3%A0%EB%8F%84%ED%99%94?node-id=1511-2979&amp;t=P9OpDBzHDlKHc7Kc-4" TargetMode="External"/><Relationship Id="rId226" Type="http://schemas.openxmlformats.org/officeDocument/2006/relationships/hyperlink" Target="https://www.figma.com/design/AzQaoPVLY9UdbDRMcrxRKx/Tech-%EA%B3%A0%EB%8F%84%ED%99%94?node-id=2734-65333&amp;t=P9OpDBzHDlKHc7Kc-4" TargetMode="External"/><Relationship Id="rId104" Type="http://schemas.openxmlformats.org/officeDocument/2006/relationships/hyperlink" Target="https://www.figma.com/design/AzQaoPVLY9UdbDRMcrxRKx/Tech-%EA%B3%A0%EB%8F%84%ED%99%94?node-id=1511-2979&amp;t=P9OpDBzHDlKHc7Kc-4" TargetMode="External"/><Relationship Id="rId225" Type="http://schemas.openxmlformats.org/officeDocument/2006/relationships/hyperlink" Target="https://www.figma.com/design/AzQaoPVLY9UdbDRMcrxRKx/Tech-%EA%B3%A0%EB%8F%84%ED%99%94?node-id=2734-65333&amp;t=P9OpDBzHDlKHc7Kc-4" TargetMode="External"/><Relationship Id="rId109" Type="http://schemas.openxmlformats.org/officeDocument/2006/relationships/hyperlink" Target="https://www.figma.com/design/AzQaoPVLY9UdbDRMcrxRKx/Tech-%EA%B3%A0%EB%8F%84%ED%99%94?node-id=1511-2979&amp;t=P9OpDBzHDlKHc7Kc-4" TargetMode="External"/><Relationship Id="rId108" Type="http://schemas.openxmlformats.org/officeDocument/2006/relationships/hyperlink" Target="https://smartscoretech.atlassian.net/browse/QA-14870" TargetMode="External"/><Relationship Id="rId229" Type="http://schemas.openxmlformats.org/officeDocument/2006/relationships/hyperlink" Target="https://www.figma.com/design/AzQaoPVLY9UdbDRMcrxRKx/Tech-%EA%B3%A0%EB%8F%84%ED%99%94?node-id=2734-65341&amp;t=P9OpDBzHDlKHc7Kc-4" TargetMode="External"/><Relationship Id="rId220" Type="http://schemas.openxmlformats.org/officeDocument/2006/relationships/hyperlink" Target="https://www.figma.com/design/AzQaoPVLY9UdbDRMcrxRKx/Tech-%EA%B3%A0%EB%8F%84%ED%99%94?node-id=2734-65322&amp;t=P9OpDBzHDlKHc7Kc-4" TargetMode="External"/><Relationship Id="rId103" Type="http://schemas.openxmlformats.org/officeDocument/2006/relationships/hyperlink" Target="https://www.figma.com/design/AzQaoPVLY9UdbDRMcrxRKx/Tech-%EA%B3%A0%EB%8F%84%ED%99%94?node-id=1511-2979&amp;t=P9OpDBzHDlKHc7Kc-4" TargetMode="External"/><Relationship Id="rId224" Type="http://schemas.openxmlformats.org/officeDocument/2006/relationships/hyperlink" Target="https://www.figma.com/design/AzQaoPVLY9UdbDRMcrxRKx/Tech-%EA%B3%A0%EB%8F%84%ED%99%94?node-id=2734-65333&amp;t=P9OpDBzHDlKHc7Kc-4" TargetMode="External"/><Relationship Id="rId102" Type="http://schemas.openxmlformats.org/officeDocument/2006/relationships/hyperlink" Target="https://www.figma.com/design/AzQaoPVLY9UdbDRMcrxRKx/Tech-%EA%B3%A0%EB%8F%84%ED%99%94?node-id=1511-2979&amp;t=P9OpDBzHDlKHc7Kc-4" TargetMode="External"/><Relationship Id="rId223" Type="http://schemas.openxmlformats.org/officeDocument/2006/relationships/hyperlink" Target="https://www.figma.com/design/AzQaoPVLY9UdbDRMcrxRKx/Tech-%EA%B3%A0%EB%8F%84%ED%99%94?node-id=2734-65333&amp;t=P9OpDBzHDlKHc7Kc-4" TargetMode="External"/><Relationship Id="rId101" Type="http://schemas.openxmlformats.org/officeDocument/2006/relationships/hyperlink" Target="https://www.figma.com/design/AzQaoPVLY9UdbDRMcrxRKx/Tech-%EA%B3%A0%EB%8F%84%ED%99%94?node-id=1511-2979&amp;t=P9OpDBzHDlKHc7Kc-4" TargetMode="External"/><Relationship Id="rId222" Type="http://schemas.openxmlformats.org/officeDocument/2006/relationships/hyperlink" Target="https://www.figma.com/design/AzQaoPVLY9UdbDRMcrxRKx/Tech-%EA%B3%A0%EB%8F%84%ED%99%94?node-id=2734-65333&amp;t=P9OpDBzHDlKHc7Kc-4" TargetMode="External"/><Relationship Id="rId100" Type="http://schemas.openxmlformats.org/officeDocument/2006/relationships/hyperlink" Target="https://www.figma.com/design/AzQaoPVLY9UdbDRMcrxRKx/Tech-%EA%B3%A0%EB%8F%84%ED%99%94?node-id=1511-2979&amp;t=P9OpDBzHDlKHc7Kc-4" TargetMode="External"/><Relationship Id="rId221" Type="http://schemas.openxmlformats.org/officeDocument/2006/relationships/hyperlink" Target="https://www.figma.com/design/AzQaoPVLY9UdbDRMcrxRKx/Tech-%EA%B3%A0%EB%8F%84%ED%99%94?node-id=2734-65333&amp;t=P9OpDBzHDlKHc7Kc-4" TargetMode="External"/><Relationship Id="rId217" Type="http://schemas.openxmlformats.org/officeDocument/2006/relationships/hyperlink" Target="https://www.figma.com/design/AzQaoPVLY9UdbDRMcrxRKx/Tech-%EA%B3%A0%EB%8F%84%ED%99%94?node-id=2734-65322&amp;t=P9OpDBzHDlKHc7Kc-4" TargetMode="External"/><Relationship Id="rId216" Type="http://schemas.openxmlformats.org/officeDocument/2006/relationships/hyperlink" Target="https://www.figma.com/design/AzQaoPVLY9UdbDRMcrxRKx/Tech-%EA%B3%A0%EB%8F%84%ED%99%94?node-id=2734-65322&amp;t=P9OpDBzHDlKHc7Kc-4" TargetMode="External"/><Relationship Id="rId215" Type="http://schemas.openxmlformats.org/officeDocument/2006/relationships/hyperlink" Target="https://www.figma.com/design/AzQaoPVLY9UdbDRMcrxRKx/Tech-%EA%B3%A0%EB%8F%84%ED%99%94?node-id=2734-65322&amp;t=P9OpDBzHDlKHc7Kc-4" TargetMode="External"/><Relationship Id="rId214" Type="http://schemas.openxmlformats.org/officeDocument/2006/relationships/hyperlink" Target="https://www.figma.com/design/AzQaoPVLY9UdbDRMcrxRKx/Tech-%EA%B3%A0%EB%8F%84%ED%99%94?node-id=2734-65322&amp;t=P9OpDBzHDlKHc7Kc-4" TargetMode="External"/><Relationship Id="rId219" Type="http://schemas.openxmlformats.org/officeDocument/2006/relationships/hyperlink" Target="https://www.figma.com/design/AzQaoPVLY9UdbDRMcrxRKx/Tech-%EA%B3%A0%EB%8F%84%ED%99%94?node-id=2734-65322&amp;t=P9OpDBzHDlKHc7Kc-4" TargetMode="External"/><Relationship Id="rId218" Type="http://schemas.openxmlformats.org/officeDocument/2006/relationships/hyperlink" Target="https://www.figma.com/design/AzQaoPVLY9UdbDRMcrxRKx/Tech-%EA%B3%A0%EB%8F%84%ED%99%94?node-id=2734-65322&amp;t=P9OpDBzHDlKHc7Kc-4" TargetMode="External"/><Relationship Id="rId330" Type="http://schemas.openxmlformats.org/officeDocument/2006/relationships/hyperlink" Target="https://www.figma.com/design/AzQaoPVLY9UdbDRMcrxRKx/Tech-%EA%B3%A0%EB%8F%84%ED%99%94?node-id=2092-8251&amp;t=P9OpDBzHDlKHc7Kc-4" TargetMode="External"/><Relationship Id="rId213" Type="http://schemas.openxmlformats.org/officeDocument/2006/relationships/hyperlink" Target="https://www.figma.com/design/AzQaoPVLY9UdbDRMcrxRKx/Tech-%EA%B3%A0%EB%8F%84%ED%99%94?node-id=2734-65322&amp;t=P9OpDBzHDlKHc7Kc-4" TargetMode="External"/><Relationship Id="rId334" Type="http://schemas.openxmlformats.org/officeDocument/2006/relationships/drawing" Target="../drawings/drawing7.xml"/><Relationship Id="rId212" Type="http://schemas.openxmlformats.org/officeDocument/2006/relationships/hyperlink" Target="https://www.figma.com/design/AzQaoPVLY9UdbDRMcrxRKx/Tech-%EA%B3%A0%EB%8F%84%ED%99%94?node-id=2734-65322&amp;t=P9OpDBzHDlKHc7Kc-4" TargetMode="External"/><Relationship Id="rId333" Type="http://schemas.openxmlformats.org/officeDocument/2006/relationships/hyperlink" Target="https://www.figma.com/design/AzQaoPVLY9UdbDRMcrxRKx/Tech-%EA%B3%A0%EB%8F%84%ED%99%94?node-id=2092-8251&amp;t=P9OpDBzHDlKHc7Kc-4" TargetMode="External"/><Relationship Id="rId211" Type="http://schemas.openxmlformats.org/officeDocument/2006/relationships/hyperlink" Target="https://www.figma.com/design/AzQaoPVLY9UdbDRMcrxRKx/Tech-%EA%B3%A0%EB%8F%84%ED%99%94?node-id=2734-65322&amp;t=P9OpDBzHDlKHc7Kc-4" TargetMode="External"/><Relationship Id="rId332" Type="http://schemas.openxmlformats.org/officeDocument/2006/relationships/hyperlink" Target="https://www.figma.com/design/AzQaoPVLY9UdbDRMcrxRKx/Tech-%EA%B3%A0%EB%8F%84%ED%99%94?node-id=2092-8251&amp;t=P9OpDBzHDlKHc7Kc-4" TargetMode="External"/><Relationship Id="rId210" Type="http://schemas.openxmlformats.org/officeDocument/2006/relationships/hyperlink" Target="https://www.figma.com/design/AzQaoPVLY9UdbDRMcrxRKx/Tech-%EA%B3%A0%EB%8F%84%ED%99%94?node-id=2734-65322&amp;t=P9OpDBzHDlKHc7Kc-4" TargetMode="External"/><Relationship Id="rId331" Type="http://schemas.openxmlformats.org/officeDocument/2006/relationships/hyperlink" Target="https://www.figma.com/design/AzQaoPVLY9UdbDRMcrxRKx/Tech-%EA%B3%A0%EB%8F%84%ED%99%94?node-id=2092-8251&amp;t=P9OpDBzHDlKHc7Kc-4" TargetMode="External"/><Relationship Id="rId129" Type="http://schemas.openxmlformats.org/officeDocument/2006/relationships/hyperlink" Target="https://www.figma.com/design/AzQaoPVLY9UdbDRMcrxRKx/Tech-%EA%B3%A0%EB%8F%84%ED%99%94?node-id=4818-16755&amp;t=P9OpDBzHDlKHc7Kc-4" TargetMode="External"/><Relationship Id="rId128" Type="http://schemas.openxmlformats.org/officeDocument/2006/relationships/hyperlink" Target="https://www.figma.com/design/AzQaoPVLY9UdbDRMcrxRKx/Tech-%EA%B3%A0%EB%8F%84%ED%99%94?node-id=4818-16755&amp;t=P9OpDBzHDlKHc7Kc-4" TargetMode="External"/><Relationship Id="rId249" Type="http://schemas.openxmlformats.org/officeDocument/2006/relationships/hyperlink" Target="https://www.figma.com/design/AzQaoPVLY9UdbDRMcrxRKx/Tech-%EA%B3%A0%EB%8F%84%ED%99%94?node-id=1741-8579&amp;t=P9OpDBzHDlKHc7Kc-4" TargetMode="External"/><Relationship Id="rId127" Type="http://schemas.openxmlformats.org/officeDocument/2006/relationships/hyperlink" Target="https://www.figma.com/design/AzQaoPVLY9UdbDRMcrxRKx/Tech-%EA%B3%A0%EB%8F%84%ED%99%94?node-id=4818-16755&amp;t=P9OpDBzHDlKHc7Kc-4" TargetMode="External"/><Relationship Id="rId248" Type="http://schemas.openxmlformats.org/officeDocument/2006/relationships/hyperlink" Target="https://www.figma.com/design/AzQaoPVLY9UdbDRMcrxRKx/Tech-%EA%B3%A0%EB%8F%84%ED%99%94?node-id=1741-8579&amp;t=P9OpDBzHDlKHc7Kc-4" TargetMode="External"/><Relationship Id="rId126" Type="http://schemas.openxmlformats.org/officeDocument/2006/relationships/hyperlink" Target="https://www.figma.com/design/AzQaoPVLY9UdbDRMcrxRKx/Tech-%EA%B3%A0%EB%8F%84%ED%99%94?node-id=4818-16755&amp;t=P9OpDBzHDlKHc7Kc-4" TargetMode="External"/><Relationship Id="rId247" Type="http://schemas.openxmlformats.org/officeDocument/2006/relationships/hyperlink" Target="https://www.figma.com/design/AzQaoPVLY9UdbDRMcrxRKx/Tech-%EA%B3%A0%EB%8F%84%ED%99%94?node-id=1741-8579&amp;t=P9OpDBzHDlKHc7Kc-4" TargetMode="External"/><Relationship Id="rId121" Type="http://schemas.openxmlformats.org/officeDocument/2006/relationships/hyperlink" Target="https://smartscoretech.atlassian.net/browse/QA-14885" TargetMode="External"/><Relationship Id="rId242" Type="http://schemas.openxmlformats.org/officeDocument/2006/relationships/hyperlink" Target="https://www.figma.com/design/AzQaoPVLY9UdbDRMcrxRKx/Tech-%EA%B3%A0%EB%8F%84%ED%99%94?node-id=1513-3068&amp;t=P9OpDBzHDlKHc7Kc-4" TargetMode="External"/><Relationship Id="rId120" Type="http://schemas.openxmlformats.org/officeDocument/2006/relationships/hyperlink" Target="https://www.figma.com/design/AzQaoPVLY9UdbDRMcrxRKx/Tech-%EA%B3%A0%EB%8F%84%ED%99%94?node-id=1511-2979&amp;t=P9OpDBzHDlKHc7Kc-4" TargetMode="External"/><Relationship Id="rId241" Type="http://schemas.openxmlformats.org/officeDocument/2006/relationships/hyperlink" Target="https://www.figma.com/design/AzQaoPVLY9UdbDRMcrxRKx/Tech-%EA%B3%A0%EB%8F%84%ED%99%94?node-id=1513-3068&amp;t=P9OpDBzHDlKHc7Kc-4" TargetMode="External"/><Relationship Id="rId240" Type="http://schemas.openxmlformats.org/officeDocument/2006/relationships/hyperlink" Target="https://www.figma.com/design/AzQaoPVLY9UdbDRMcrxRKx/Tech-%EA%B3%A0%EB%8F%84%ED%99%94?node-id=1513-3068&amp;t=P9OpDBzHDlKHc7Kc-4" TargetMode="External"/><Relationship Id="rId125" Type="http://schemas.openxmlformats.org/officeDocument/2006/relationships/hyperlink" Target="https://www.figma.com/design/AzQaoPVLY9UdbDRMcrxRKx/Tech-%EA%B3%A0%EB%8F%84%ED%99%94?node-id=4818-16755&amp;t=P9OpDBzHDlKHc7Kc-4" TargetMode="External"/><Relationship Id="rId246" Type="http://schemas.openxmlformats.org/officeDocument/2006/relationships/hyperlink" Target="https://www.figma.com/design/AzQaoPVLY9UdbDRMcrxRKx/Tech-%EA%B3%A0%EB%8F%84%ED%99%94?node-id=1741-8579&amp;t=P9OpDBzHDlKHc7Kc-4" TargetMode="External"/><Relationship Id="rId124" Type="http://schemas.openxmlformats.org/officeDocument/2006/relationships/hyperlink" Target="https://www.figma.com/design/AzQaoPVLY9UdbDRMcrxRKx/Tech-%EA%B3%A0%EB%8F%84%ED%99%94?node-id=4818-16755&amp;t=P9OpDBzHDlKHc7Kc-4" TargetMode="External"/><Relationship Id="rId245" Type="http://schemas.openxmlformats.org/officeDocument/2006/relationships/hyperlink" Target="https://www.figma.com/design/AzQaoPVLY9UdbDRMcrxRKx/Tech-%EA%B3%A0%EB%8F%84%ED%99%94?node-id=1741-8579&amp;t=P9OpDBzHDlKHc7Kc-4" TargetMode="External"/><Relationship Id="rId123" Type="http://schemas.openxmlformats.org/officeDocument/2006/relationships/hyperlink" Target="https://www.figma.com/design/AzQaoPVLY9UdbDRMcrxRKx/Tech-%EA%B3%A0%EB%8F%84%ED%99%94?node-id=4818-16755&amp;t=P9OpDBzHDlKHc7Kc-4" TargetMode="External"/><Relationship Id="rId244" Type="http://schemas.openxmlformats.org/officeDocument/2006/relationships/hyperlink" Target="https://www.figma.com/design/AzQaoPVLY9UdbDRMcrxRKx/Tech-%EA%B3%A0%EB%8F%84%ED%99%94?node-id=1513-3068&amp;t=P9OpDBzHDlKHc7Kc-4" TargetMode="External"/><Relationship Id="rId122" Type="http://schemas.openxmlformats.org/officeDocument/2006/relationships/hyperlink" Target="https://www.figma.com/design/AzQaoPVLY9UdbDRMcrxRKx/Tech-%EA%B3%A0%EB%8F%84%ED%99%94?node-id=4818-16755&amp;t=P9OpDBzHDlKHc7Kc-4" TargetMode="External"/><Relationship Id="rId243" Type="http://schemas.openxmlformats.org/officeDocument/2006/relationships/hyperlink" Target="https://www.figma.com/design/AzQaoPVLY9UdbDRMcrxRKx/Tech-%EA%B3%A0%EB%8F%84%ED%99%94?node-id=1513-3068&amp;t=P9OpDBzHDlKHc7Kc-4" TargetMode="External"/><Relationship Id="rId95" Type="http://schemas.openxmlformats.org/officeDocument/2006/relationships/hyperlink" Target="https://www.figma.com/design/AzQaoPVLY9UdbDRMcrxRKx/Tech-%EA%B3%A0%EB%8F%84%ED%99%94?node-id=1511-2979&amp;t=P9OpDBzHDlKHc7Kc-4" TargetMode="External"/><Relationship Id="rId94" Type="http://schemas.openxmlformats.org/officeDocument/2006/relationships/hyperlink" Target="https://www.figma.com/design/AzQaoPVLY9UdbDRMcrxRKx/Tech-%EA%B3%A0%EB%8F%84%ED%99%94?node-id=1511-2979&amp;t=P9OpDBzHDlKHc7Kc-4" TargetMode="External"/><Relationship Id="rId97" Type="http://schemas.openxmlformats.org/officeDocument/2006/relationships/hyperlink" Target="https://www.figma.com/design/AzQaoPVLY9UdbDRMcrxRKx/Tech-%EA%B3%A0%EB%8F%84%ED%99%94?node-id=1511-2979&amp;t=P9OpDBzHDlKHc7Kc-4" TargetMode="External"/><Relationship Id="rId96" Type="http://schemas.openxmlformats.org/officeDocument/2006/relationships/hyperlink" Target="https://www.figma.com/design/AzQaoPVLY9UdbDRMcrxRKx/Tech-%EA%B3%A0%EB%8F%84%ED%99%94?node-id=1511-2979&amp;t=P9OpDBzHDlKHc7Kc-4" TargetMode="External"/><Relationship Id="rId99" Type="http://schemas.openxmlformats.org/officeDocument/2006/relationships/hyperlink" Target="https://www.figma.com/design/AzQaoPVLY9UdbDRMcrxRKx/Tech-%EA%B3%A0%EB%8F%84%ED%99%94?node-id=1511-2979&amp;t=P9OpDBzHDlKHc7Kc-4" TargetMode="External"/><Relationship Id="rId98" Type="http://schemas.openxmlformats.org/officeDocument/2006/relationships/hyperlink" Target="https://www.figma.com/design/AzQaoPVLY9UdbDRMcrxRKx/Tech-%EA%B3%A0%EB%8F%84%ED%99%94?node-id=1511-2979&amp;t=P9OpDBzHDlKHc7Kc-4" TargetMode="External"/><Relationship Id="rId91" Type="http://schemas.openxmlformats.org/officeDocument/2006/relationships/hyperlink" Target="https://smartscoretech.atlassian.net/browse/QA-14868" TargetMode="External"/><Relationship Id="rId90" Type="http://schemas.openxmlformats.org/officeDocument/2006/relationships/hyperlink" Target="https://www.figma.com/design/AzQaoPVLY9UdbDRMcrxRKx/Tech-%EA%B3%A0%EB%8F%84%ED%99%94?node-id=1511-2979&amp;t=P9OpDBzHDlKHc7Kc-4" TargetMode="External"/><Relationship Id="rId93" Type="http://schemas.openxmlformats.org/officeDocument/2006/relationships/hyperlink" Target="https://www.figma.com/design/AzQaoPVLY9UdbDRMcrxRKx/Tech-%EA%B3%A0%EB%8F%84%ED%99%94?node-id=1511-2979&amp;t=P9OpDBzHDlKHc7Kc-4" TargetMode="External"/><Relationship Id="rId92" Type="http://schemas.openxmlformats.org/officeDocument/2006/relationships/hyperlink" Target="https://www.figma.com/design/AzQaoPVLY9UdbDRMcrxRKx/Tech-%EA%B3%A0%EB%8F%84%ED%99%94?node-id=1511-2979&amp;t=P9OpDBzHDlKHc7Kc-4" TargetMode="External"/><Relationship Id="rId118" Type="http://schemas.openxmlformats.org/officeDocument/2006/relationships/hyperlink" Target="https://www.figma.com/design/AzQaoPVLY9UdbDRMcrxRKx/Tech-%EA%B3%A0%EB%8F%84%ED%99%94?node-id=1511-2979&amp;t=P9OpDBzHDlKHc7Kc-4" TargetMode="External"/><Relationship Id="rId239" Type="http://schemas.openxmlformats.org/officeDocument/2006/relationships/hyperlink" Target="https://www.figma.com/design/AzQaoPVLY9UdbDRMcrxRKx/Tech-%EA%B3%A0%EB%8F%84%ED%99%94?node-id=2734-65341&amp;t=P9OpDBzHDlKHc7Kc-4" TargetMode="External"/><Relationship Id="rId117" Type="http://schemas.openxmlformats.org/officeDocument/2006/relationships/hyperlink" Target="https://www.figma.com/design/AzQaoPVLY9UdbDRMcrxRKx/Tech-%EA%B3%A0%EB%8F%84%ED%99%94?node-id=1511-2979&amp;t=P9OpDBzHDlKHc7Kc-4" TargetMode="External"/><Relationship Id="rId238" Type="http://schemas.openxmlformats.org/officeDocument/2006/relationships/hyperlink" Target="https://www.figma.com/design/AzQaoPVLY9UdbDRMcrxRKx/Tech-%EA%B3%A0%EB%8F%84%ED%99%94?node-id=2734-65341&amp;t=P9OpDBzHDlKHc7Kc-4" TargetMode="External"/><Relationship Id="rId116" Type="http://schemas.openxmlformats.org/officeDocument/2006/relationships/hyperlink" Target="https://www.figma.com/design/AzQaoPVLY9UdbDRMcrxRKx/Tech-%EA%B3%A0%EB%8F%84%ED%99%94?node-id=1511-2979&amp;t=P9OpDBzHDlKHc7Kc-4" TargetMode="External"/><Relationship Id="rId237" Type="http://schemas.openxmlformats.org/officeDocument/2006/relationships/hyperlink" Target="https://www.figma.com/design/AzQaoPVLY9UdbDRMcrxRKx/Tech-%EA%B3%A0%EB%8F%84%ED%99%94?node-id=2734-65341&amp;t=P9OpDBzHDlKHc7Kc-4" TargetMode="External"/><Relationship Id="rId115" Type="http://schemas.openxmlformats.org/officeDocument/2006/relationships/hyperlink" Target="https://www.figma.com/design/AzQaoPVLY9UdbDRMcrxRKx/Tech-%EA%B3%A0%EB%8F%84%ED%99%94?node-id=1511-2979&amp;t=P9OpDBzHDlKHc7Kc-4" TargetMode="External"/><Relationship Id="rId236" Type="http://schemas.openxmlformats.org/officeDocument/2006/relationships/hyperlink" Target="https://www.figma.com/design/AzQaoPVLY9UdbDRMcrxRKx/Tech-%EA%B3%A0%EB%8F%84%ED%99%94?node-id=2734-65341&amp;t=P9OpDBzHDlKHc7Kc-4" TargetMode="External"/><Relationship Id="rId119" Type="http://schemas.openxmlformats.org/officeDocument/2006/relationships/hyperlink" Target="https://www.figma.com/design/AzQaoPVLY9UdbDRMcrxRKx/Tech-%EA%B3%A0%EB%8F%84%ED%99%94?node-id=1511-2979&amp;t=P9OpDBzHDlKHc7Kc-4" TargetMode="External"/><Relationship Id="rId110" Type="http://schemas.openxmlformats.org/officeDocument/2006/relationships/hyperlink" Target="https://www.figma.com/design/AzQaoPVLY9UdbDRMcrxRKx/Tech-%EA%B3%A0%EB%8F%84%ED%99%94?node-id=1511-2979&amp;t=P9OpDBzHDlKHc7Kc-4" TargetMode="External"/><Relationship Id="rId231" Type="http://schemas.openxmlformats.org/officeDocument/2006/relationships/hyperlink" Target="https://www.figma.com/design/AzQaoPVLY9UdbDRMcrxRKx/Tech-%EA%B3%A0%EB%8F%84%ED%99%94?node-id=2734-65341&amp;t=P9OpDBzHDlKHc7Kc-4" TargetMode="External"/><Relationship Id="rId230" Type="http://schemas.openxmlformats.org/officeDocument/2006/relationships/hyperlink" Target="https://www.figma.com/design/AzQaoPVLY9UdbDRMcrxRKx/Tech-%EA%B3%A0%EB%8F%84%ED%99%94?node-id=2734-65341&amp;t=P9OpDBzHDlKHc7Kc-4" TargetMode="External"/><Relationship Id="rId114" Type="http://schemas.openxmlformats.org/officeDocument/2006/relationships/hyperlink" Target="https://www.figma.com/design/AzQaoPVLY9UdbDRMcrxRKx/Tech-%EA%B3%A0%EB%8F%84%ED%99%94?node-id=1511-2979&amp;t=P9OpDBzHDlKHc7Kc-4" TargetMode="External"/><Relationship Id="rId235" Type="http://schemas.openxmlformats.org/officeDocument/2006/relationships/hyperlink" Target="https://www.figma.com/design/AzQaoPVLY9UdbDRMcrxRKx/Tech-%EA%B3%A0%EB%8F%84%ED%99%94?node-id=2734-65341&amp;t=P9OpDBzHDlKHc7Kc-4" TargetMode="External"/><Relationship Id="rId113" Type="http://schemas.openxmlformats.org/officeDocument/2006/relationships/hyperlink" Target="https://www.figma.com/design/AzQaoPVLY9UdbDRMcrxRKx/Tech-%EA%B3%A0%EB%8F%84%ED%99%94?node-id=1511-2979&amp;t=P9OpDBzHDlKHc7Kc-4" TargetMode="External"/><Relationship Id="rId234" Type="http://schemas.openxmlformats.org/officeDocument/2006/relationships/hyperlink" Target="https://www.figma.com/design/AzQaoPVLY9UdbDRMcrxRKx/Tech-%EA%B3%A0%EB%8F%84%ED%99%94?node-id=2734-65341&amp;t=P9OpDBzHDlKHc7Kc-4" TargetMode="External"/><Relationship Id="rId112" Type="http://schemas.openxmlformats.org/officeDocument/2006/relationships/hyperlink" Target="https://www.figma.com/design/AzQaoPVLY9UdbDRMcrxRKx/Tech-%EA%B3%A0%EB%8F%84%ED%99%94?node-id=1511-2979&amp;t=P9OpDBzHDlKHc7Kc-4" TargetMode="External"/><Relationship Id="rId233" Type="http://schemas.openxmlformats.org/officeDocument/2006/relationships/hyperlink" Target="https://www.figma.com/design/AzQaoPVLY9UdbDRMcrxRKx/Tech-%EA%B3%A0%EB%8F%84%ED%99%94?node-id=2734-65341&amp;t=P9OpDBzHDlKHc7Kc-4" TargetMode="External"/><Relationship Id="rId111" Type="http://schemas.openxmlformats.org/officeDocument/2006/relationships/hyperlink" Target="https://smartscoretech.atlassian.net/browse/QA-14871" TargetMode="External"/><Relationship Id="rId232" Type="http://schemas.openxmlformats.org/officeDocument/2006/relationships/hyperlink" Target="https://www.figma.com/design/AzQaoPVLY9UdbDRMcrxRKx/Tech-%EA%B3%A0%EB%8F%84%ED%99%94?node-id=2734-65341&amp;t=P9OpDBzHDlKHc7Kc-4" TargetMode="External"/><Relationship Id="rId305" Type="http://schemas.openxmlformats.org/officeDocument/2006/relationships/hyperlink" Target="https://www.figma.com/design/AzQaoPVLY9UdbDRMcrxRKx/Tech-%EA%B3%A0%EB%8F%84%ED%99%94?node-id=2092-8251&amp;t=P9OpDBzHDlKHc7Kc-4" TargetMode="External"/><Relationship Id="rId304" Type="http://schemas.openxmlformats.org/officeDocument/2006/relationships/hyperlink" Target="https://www.figma.com/design/AzQaoPVLY9UdbDRMcrxRKx/Tech-%EA%B3%A0%EB%8F%84%ED%99%94?node-id=2092-8251&amp;t=P9OpDBzHDlKHc7Kc-4" TargetMode="External"/><Relationship Id="rId303" Type="http://schemas.openxmlformats.org/officeDocument/2006/relationships/hyperlink" Target="https://www.figma.com/design/AzQaoPVLY9UdbDRMcrxRKx/Tech-%EA%B3%A0%EB%8F%84%ED%99%94?node-id=2092-8251&amp;t=P9OpDBzHDlKHc7Kc-4" TargetMode="External"/><Relationship Id="rId302" Type="http://schemas.openxmlformats.org/officeDocument/2006/relationships/hyperlink" Target="https://www.figma.com/design/AzQaoPVLY9UdbDRMcrxRKx/Tech-%EA%B3%A0%EB%8F%84%ED%99%94?node-id=2092-8251&amp;t=P9OpDBzHDlKHc7Kc-4" TargetMode="External"/><Relationship Id="rId309" Type="http://schemas.openxmlformats.org/officeDocument/2006/relationships/hyperlink" Target="https://www.figma.com/design/AzQaoPVLY9UdbDRMcrxRKx/Tech-%EA%B3%A0%EB%8F%84%ED%99%94?node-id=2092-8251&amp;t=P9OpDBzHDlKHc7Kc-4" TargetMode="External"/><Relationship Id="rId308" Type="http://schemas.openxmlformats.org/officeDocument/2006/relationships/hyperlink" Target="https://www.figma.com/design/AzQaoPVLY9UdbDRMcrxRKx/Tech-%EA%B3%A0%EB%8F%84%ED%99%94?node-id=2092-8251&amp;t=P9OpDBzHDlKHc7Kc-4" TargetMode="External"/><Relationship Id="rId307" Type="http://schemas.openxmlformats.org/officeDocument/2006/relationships/hyperlink" Target="https://www.figma.com/design/AzQaoPVLY9UdbDRMcrxRKx/Tech-%EA%B3%A0%EB%8F%84%ED%99%94?node-id=2092-8251&amp;t=P9OpDBzHDlKHc7Kc-4" TargetMode="External"/><Relationship Id="rId306" Type="http://schemas.openxmlformats.org/officeDocument/2006/relationships/hyperlink" Target="https://www.figma.com/design/AzQaoPVLY9UdbDRMcrxRKx/Tech-%EA%B3%A0%EB%8F%84%ED%99%94?node-id=2092-8251&amp;t=P9OpDBzHDlKHc7Kc-4" TargetMode="External"/><Relationship Id="rId301" Type="http://schemas.openxmlformats.org/officeDocument/2006/relationships/hyperlink" Target="https://www.figma.com/design/AzQaoPVLY9UdbDRMcrxRKx/Tech-%EA%B3%A0%EB%8F%84%ED%99%94?node-id=2092-8251&amp;t=P9OpDBzHDlKHc7Kc-4" TargetMode="External"/><Relationship Id="rId300" Type="http://schemas.openxmlformats.org/officeDocument/2006/relationships/hyperlink" Target="https://www.figma.com/design/AzQaoPVLY9UdbDRMcrxRKx/Tech-%EA%B3%A0%EB%8F%84%ED%99%94?node-id=2092-8251&amp;t=P9OpDBzHDlKHc7Kc-4" TargetMode="External"/><Relationship Id="rId206" Type="http://schemas.openxmlformats.org/officeDocument/2006/relationships/hyperlink" Target="https://www.figma.com/design/AzQaoPVLY9UdbDRMcrxRKx/Tech-%EA%B3%A0%EB%8F%84%ED%99%94?node-id=1733-4867&amp;t=P9OpDBzHDlKHc7Kc-4" TargetMode="External"/><Relationship Id="rId327" Type="http://schemas.openxmlformats.org/officeDocument/2006/relationships/hyperlink" Target="https://www.figma.com/design/AzQaoPVLY9UdbDRMcrxRKx/Tech-%EA%B3%A0%EB%8F%84%ED%99%94?node-id=2092-8251&amp;t=P9OpDBzHDlKHc7Kc-4" TargetMode="External"/><Relationship Id="rId205" Type="http://schemas.openxmlformats.org/officeDocument/2006/relationships/hyperlink" Target="https://www.figma.com/design/AzQaoPVLY9UdbDRMcrxRKx/Tech-%EA%B3%A0%EB%8F%84%ED%99%94?node-id=1733-4867&amp;t=P9OpDBzHDlKHc7Kc-4" TargetMode="External"/><Relationship Id="rId326" Type="http://schemas.openxmlformats.org/officeDocument/2006/relationships/hyperlink" Target="https://www.figma.com/design/AzQaoPVLY9UdbDRMcrxRKx/Tech-%EA%B3%A0%EB%8F%84%ED%99%94?node-id=2092-8251&amp;t=P9OpDBzHDlKHc7Kc-4" TargetMode="External"/><Relationship Id="rId204" Type="http://schemas.openxmlformats.org/officeDocument/2006/relationships/hyperlink" Target="https://www.figma.com/design/AzQaoPVLY9UdbDRMcrxRKx/Tech-%EA%B3%A0%EB%8F%84%ED%99%94?node-id=1733-4867&amp;t=P9OpDBzHDlKHc7Kc-4" TargetMode="External"/><Relationship Id="rId325" Type="http://schemas.openxmlformats.org/officeDocument/2006/relationships/hyperlink" Target="https://www.figma.com/design/AzQaoPVLY9UdbDRMcrxRKx/Tech-%EA%B3%A0%EB%8F%84%ED%99%94?node-id=2092-8251&amp;t=P9OpDBzHDlKHc7Kc-4" TargetMode="External"/><Relationship Id="rId203" Type="http://schemas.openxmlformats.org/officeDocument/2006/relationships/hyperlink" Target="https://www.figma.com/design/AzQaoPVLY9UdbDRMcrxRKx/Tech-%EA%B3%A0%EB%8F%84%ED%99%94?node-id=1733-4867&amp;t=P9OpDBzHDlKHc7Kc-4" TargetMode="External"/><Relationship Id="rId324" Type="http://schemas.openxmlformats.org/officeDocument/2006/relationships/hyperlink" Target="https://www.figma.com/design/AzQaoPVLY9UdbDRMcrxRKx/Tech-%EA%B3%A0%EB%8F%84%ED%99%94?node-id=2092-8251&amp;t=P9OpDBzHDlKHc7Kc-4" TargetMode="External"/><Relationship Id="rId209" Type="http://schemas.openxmlformats.org/officeDocument/2006/relationships/hyperlink" Target="https://www.figma.com/design/AzQaoPVLY9UdbDRMcrxRKx/Tech-%EA%B3%A0%EB%8F%84%ED%99%94?node-id=2734-65322&amp;t=P9OpDBzHDlKHc7Kc-4" TargetMode="External"/><Relationship Id="rId208" Type="http://schemas.openxmlformats.org/officeDocument/2006/relationships/hyperlink" Target="https://www.figma.com/design/AzQaoPVLY9UdbDRMcrxRKx/Tech-%EA%B3%A0%EB%8F%84%ED%99%94?node-id=1733-4867&amp;t=P9OpDBzHDlKHc7Kc-4" TargetMode="External"/><Relationship Id="rId329" Type="http://schemas.openxmlformats.org/officeDocument/2006/relationships/hyperlink" Target="https://www.figma.com/design/AzQaoPVLY9UdbDRMcrxRKx/Tech-%EA%B3%A0%EB%8F%84%ED%99%94?node-id=2092-8251&amp;t=P9OpDBzHDlKHc7Kc-4" TargetMode="External"/><Relationship Id="rId207" Type="http://schemas.openxmlformats.org/officeDocument/2006/relationships/hyperlink" Target="https://www.figma.com/design/AzQaoPVLY9UdbDRMcrxRKx/Tech-%EA%B3%A0%EB%8F%84%ED%99%94?node-id=1733-4867&amp;t=P9OpDBzHDlKHc7Kc-4" TargetMode="External"/><Relationship Id="rId328" Type="http://schemas.openxmlformats.org/officeDocument/2006/relationships/hyperlink" Target="https://www.figma.com/design/AzQaoPVLY9UdbDRMcrxRKx/Tech-%EA%B3%A0%EB%8F%84%ED%99%94?node-id=2092-8251&amp;t=P9OpDBzHDlKHc7Kc-4" TargetMode="External"/><Relationship Id="rId202" Type="http://schemas.openxmlformats.org/officeDocument/2006/relationships/hyperlink" Target="https://www.figma.com/design/AzQaoPVLY9UdbDRMcrxRKx/Tech-%EA%B3%A0%EB%8F%84%ED%99%94?node-id=1733-4867&amp;t=P9OpDBzHDlKHc7Kc-4" TargetMode="External"/><Relationship Id="rId323" Type="http://schemas.openxmlformats.org/officeDocument/2006/relationships/hyperlink" Target="https://www.figma.com/design/AzQaoPVLY9UdbDRMcrxRKx/Tech-%EA%B3%A0%EB%8F%84%ED%99%94?node-id=2092-8251&amp;t=P9OpDBzHDlKHc7Kc-4" TargetMode="External"/><Relationship Id="rId201" Type="http://schemas.openxmlformats.org/officeDocument/2006/relationships/hyperlink" Target="https://www.figma.com/design/AzQaoPVLY9UdbDRMcrxRKx/Tech-%EA%B3%A0%EB%8F%84%ED%99%94?node-id=1733-4867&amp;t=P9OpDBzHDlKHc7Kc-4" TargetMode="External"/><Relationship Id="rId322" Type="http://schemas.openxmlformats.org/officeDocument/2006/relationships/hyperlink" Target="https://www.figma.com/design/AzQaoPVLY9UdbDRMcrxRKx/Tech-%EA%B3%A0%EB%8F%84%ED%99%94?node-id=2092-8251&amp;t=P9OpDBzHDlKHc7Kc-4" TargetMode="External"/><Relationship Id="rId200" Type="http://schemas.openxmlformats.org/officeDocument/2006/relationships/hyperlink" Target="https://www.figma.com/design/AzQaoPVLY9UdbDRMcrxRKx/Tech-%EA%B3%A0%EB%8F%84%ED%99%94?node-id=1733-4867&amp;t=P9OpDBzHDlKHc7Kc-4" TargetMode="External"/><Relationship Id="rId321" Type="http://schemas.openxmlformats.org/officeDocument/2006/relationships/hyperlink" Target="https://www.figma.com/design/AzQaoPVLY9UdbDRMcrxRKx/Tech-%EA%B3%A0%EB%8F%84%ED%99%94?node-id=2092-8251&amp;t=P9OpDBzHDlKHc7Kc-4" TargetMode="External"/><Relationship Id="rId320" Type="http://schemas.openxmlformats.org/officeDocument/2006/relationships/hyperlink" Target="https://www.figma.com/design/AzQaoPVLY9UdbDRMcrxRKx/Tech-%EA%B3%A0%EB%8F%84%ED%99%94?node-id=2092-8251&amp;t=P9OpDBzHDlKHc7Kc-4" TargetMode="External"/><Relationship Id="rId316" Type="http://schemas.openxmlformats.org/officeDocument/2006/relationships/hyperlink" Target="https://www.figma.com/design/AzQaoPVLY9UdbDRMcrxRKx/Tech-%EA%B3%A0%EB%8F%84%ED%99%94?node-id=2092-8251&amp;t=P9OpDBzHDlKHc7Kc-4" TargetMode="External"/><Relationship Id="rId315" Type="http://schemas.openxmlformats.org/officeDocument/2006/relationships/hyperlink" Target="https://www.figma.com/design/AzQaoPVLY9UdbDRMcrxRKx/Tech-%EA%B3%A0%EB%8F%84%ED%99%94?node-id=2092-8251&amp;t=P9OpDBzHDlKHc7Kc-4" TargetMode="External"/><Relationship Id="rId314" Type="http://schemas.openxmlformats.org/officeDocument/2006/relationships/hyperlink" Target="https://www.figma.com/design/AzQaoPVLY9UdbDRMcrxRKx/Tech-%EA%B3%A0%EB%8F%84%ED%99%94?node-id=2092-8251&amp;t=P9OpDBzHDlKHc7Kc-4" TargetMode="External"/><Relationship Id="rId313" Type="http://schemas.openxmlformats.org/officeDocument/2006/relationships/hyperlink" Target="https://www.figma.com/design/AzQaoPVLY9UdbDRMcrxRKx/Tech-%EA%B3%A0%EB%8F%84%ED%99%94?node-id=2092-8251&amp;t=P9OpDBzHDlKHc7Kc-4" TargetMode="External"/><Relationship Id="rId319" Type="http://schemas.openxmlformats.org/officeDocument/2006/relationships/hyperlink" Target="https://www.figma.com/design/AzQaoPVLY9UdbDRMcrxRKx/Tech-%EA%B3%A0%EB%8F%84%ED%99%94?node-id=2092-8251&amp;t=P9OpDBzHDlKHc7Kc-4" TargetMode="External"/><Relationship Id="rId318" Type="http://schemas.openxmlformats.org/officeDocument/2006/relationships/hyperlink" Target="https://www.figma.com/design/AzQaoPVLY9UdbDRMcrxRKx/Tech-%EA%B3%A0%EB%8F%84%ED%99%94?node-id=2092-8251&amp;t=P9OpDBzHDlKHc7Kc-4" TargetMode="External"/><Relationship Id="rId317" Type="http://schemas.openxmlformats.org/officeDocument/2006/relationships/hyperlink" Target="https://www.figma.com/design/AzQaoPVLY9UdbDRMcrxRKx/Tech-%EA%B3%A0%EB%8F%84%ED%99%94?node-id=2092-8251&amp;t=P9OpDBzHDlKHc7Kc-4" TargetMode="External"/><Relationship Id="rId312" Type="http://schemas.openxmlformats.org/officeDocument/2006/relationships/hyperlink" Target="https://www.figma.com/design/AzQaoPVLY9UdbDRMcrxRKx/Tech-%EA%B3%A0%EB%8F%84%ED%99%94?node-id=2092-8251&amp;t=P9OpDBzHDlKHc7Kc-4" TargetMode="External"/><Relationship Id="rId311" Type="http://schemas.openxmlformats.org/officeDocument/2006/relationships/hyperlink" Target="https://www.figma.com/design/AzQaoPVLY9UdbDRMcrxRKx/Tech-%EA%B3%A0%EB%8F%84%ED%99%94?node-id=2092-8251&amp;t=P9OpDBzHDlKHc7Kc-4" TargetMode="External"/><Relationship Id="rId310" Type="http://schemas.openxmlformats.org/officeDocument/2006/relationships/hyperlink" Target="https://www.figma.com/design/AzQaoPVLY9UdbDRMcrxRKx/Tech-%EA%B3%A0%EB%8F%84%ED%99%94?node-id=2092-8251&amp;t=P9OpDBzHDlKHc7Kc-4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AzQaoPVLY9UdbDRMcrxRKx/Tech-%EA%B3%A0%EB%8F%84%ED%99%94?node-id=902-6839&amp;t=fBNr0AGQOSJcHCXA-4" TargetMode="External"/><Relationship Id="rId42" Type="http://schemas.openxmlformats.org/officeDocument/2006/relationships/hyperlink" Target="https://www.figma.com/design/AzQaoPVLY9UdbDRMcrxRKx/Tech-%EA%B3%A0%EB%8F%84%ED%99%94?node-id=902-6839&amp;t=fBNr0AGQOSJcHCXA-4" TargetMode="External"/><Relationship Id="rId41" Type="http://schemas.openxmlformats.org/officeDocument/2006/relationships/hyperlink" Target="https://www.figma.com/design/AzQaoPVLY9UdbDRMcrxRKx/Tech-%EA%B3%A0%EB%8F%84%ED%99%94?node-id=902-6839&amp;t=fBNr0AGQOSJcHCXA-4" TargetMode="External"/><Relationship Id="rId44" Type="http://schemas.openxmlformats.org/officeDocument/2006/relationships/hyperlink" Target="https://www.figma.com/design/AzQaoPVLY9UdbDRMcrxRKx/Tech-%EA%B3%A0%EB%8F%84%ED%99%94?node-id=902-6839&amp;t=fBNr0AGQOSJcHCXA-4" TargetMode="External"/><Relationship Id="rId43" Type="http://schemas.openxmlformats.org/officeDocument/2006/relationships/hyperlink" Target="https://www.figma.com/design/AzQaoPVLY9UdbDRMcrxRKx/Tech-%EA%B3%A0%EB%8F%84%ED%99%94?node-id=902-6839&amp;t=fBNr0AGQOSJcHCXA-4" TargetMode="External"/><Relationship Id="rId46" Type="http://schemas.openxmlformats.org/officeDocument/2006/relationships/hyperlink" Target="https://www.figma.com/design/AzQaoPVLY9UdbDRMcrxRKx/Tech-%EA%B3%A0%EB%8F%84%ED%99%94?node-id=902-6839&amp;t=fBNr0AGQOSJcHCXA-4" TargetMode="External"/><Relationship Id="rId45" Type="http://schemas.openxmlformats.org/officeDocument/2006/relationships/hyperlink" Target="https://www.figma.com/design/AzQaoPVLY9UdbDRMcrxRKx/Tech-%EA%B3%A0%EB%8F%84%ED%99%94?node-id=902-6839&amp;t=fBNr0AGQOSJcHCXA-4" TargetMode="External"/><Relationship Id="rId48" Type="http://schemas.openxmlformats.org/officeDocument/2006/relationships/hyperlink" Target="https://www.figma.com/design/AzQaoPVLY9UdbDRMcrxRKx/Tech-%EA%B3%A0%EB%8F%84%ED%99%94?node-id=902-6839&amp;t=fBNr0AGQOSJcHCXA-4" TargetMode="External"/><Relationship Id="rId47" Type="http://schemas.openxmlformats.org/officeDocument/2006/relationships/hyperlink" Target="https://www.figma.com/design/AzQaoPVLY9UdbDRMcrxRKx/Tech-%EA%B3%A0%EB%8F%84%ED%99%94?node-id=902-6839&amp;t=fBNr0AGQOSJcHCXA-4" TargetMode="External"/><Relationship Id="rId49" Type="http://schemas.openxmlformats.org/officeDocument/2006/relationships/hyperlink" Target="https://www.figma.com/design/AzQaoPVLY9UdbDRMcrxRKx/Tech-%EA%B3%A0%EB%8F%84%ED%99%94?node-id=902-6839&amp;t=fBNr0AGQOSJcHCXA-4" TargetMode="External"/><Relationship Id="rId31" Type="http://schemas.openxmlformats.org/officeDocument/2006/relationships/hyperlink" Target="https://www.figma.com/design/AzQaoPVLY9UdbDRMcrxRKx/Tech-%EA%B3%A0%EB%8F%84%ED%99%94?node-id=902-6839&amp;t=fBNr0AGQOSJcHCXA-4" TargetMode="External"/><Relationship Id="rId30" Type="http://schemas.openxmlformats.org/officeDocument/2006/relationships/hyperlink" Target="https://www.figma.com/design/AzQaoPVLY9UdbDRMcrxRKx/Tech-%EA%B3%A0%EB%8F%84%ED%99%94?node-id=902-6839&amp;t=fBNr0AGQOSJcHCXA-4" TargetMode="External"/><Relationship Id="rId33" Type="http://schemas.openxmlformats.org/officeDocument/2006/relationships/hyperlink" Target="https://www.figma.com/design/AzQaoPVLY9UdbDRMcrxRKx/Tech-%EA%B3%A0%EB%8F%84%ED%99%94?node-id=902-6839&amp;t=fBNr0AGQOSJcHCXA-4" TargetMode="External"/><Relationship Id="rId32" Type="http://schemas.openxmlformats.org/officeDocument/2006/relationships/hyperlink" Target="https://www.figma.com/design/AzQaoPVLY9UdbDRMcrxRKx/Tech-%EA%B3%A0%EB%8F%84%ED%99%94?node-id=902-6839&amp;t=fBNr0AGQOSJcHCXA-4" TargetMode="External"/><Relationship Id="rId35" Type="http://schemas.openxmlformats.org/officeDocument/2006/relationships/hyperlink" Target="https://www.figma.com/design/AzQaoPVLY9UdbDRMcrxRKx/Tech-%EA%B3%A0%EB%8F%84%ED%99%94?node-id=902-6839&amp;t=fBNr0AGQOSJcHCXA-4" TargetMode="External"/><Relationship Id="rId34" Type="http://schemas.openxmlformats.org/officeDocument/2006/relationships/hyperlink" Target="https://www.figma.com/design/AzQaoPVLY9UdbDRMcrxRKx/Tech-%EA%B3%A0%EB%8F%84%ED%99%94?node-id=902-6839&amp;t=fBNr0AGQOSJcHCXA-4" TargetMode="External"/><Relationship Id="rId37" Type="http://schemas.openxmlformats.org/officeDocument/2006/relationships/hyperlink" Target="https://www.figma.com/design/AzQaoPVLY9UdbDRMcrxRKx/Tech-%EA%B3%A0%EB%8F%84%ED%99%94?node-id=902-6839&amp;t=fBNr0AGQOSJcHCXA-4" TargetMode="External"/><Relationship Id="rId36" Type="http://schemas.openxmlformats.org/officeDocument/2006/relationships/hyperlink" Target="https://www.figma.com/design/AzQaoPVLY9UdbDRMcrxRKx/Tech-%EA%B3%A0%EB%8F%84%ED%99%94?node-id=902-6839&amp;t=fBNr0AGQOSJcHCXA-4" TargetMode="External"/><Relationship Id="rId39" Type="http://schemas.openxmlformats.org/officeDocument/2006/relationships/hyperlink" Target="https://www.figma.com/design/AzQaoPVLY9UdbDRMcrxRKx/Tech-%EA%B3%A0%EB%8F%84%ED%99%94?node-id=902-6839&amp;t=fBNr0AGQOSJcHCXA-4" TargetMode="External"/><Relationship Id="rId38" Type="http://schemas.openxmlformats.org/officeDocument/2006/relationships/hyperlink" Target="https://www.figma.com/design/AzQaoPVLY9UdbDRMcrxRKx/Tech-%EA%B3%A0%EB%8F%84%ED%99%94?node-id=902-6839&amp;t=fBNr0AGQOSJcHCXA-4" TargetMode="External"/><Relationship Id="rId20" Type="http://schemas.openxmlformats.org/officeDocument/2006/relationships/hyperlink" Target="https://www.figma.com/design/AzQaoPVLY9UdbDRMcrxRKx/Tech-%EA%B3%A0%EB%8F%84%ED%99%94?node-id=2340-5660&amp;t=fBNr0AGQOSJcHCXA-4" TargetMode="External"/><Relationship Id="rId22" Type="http://schemas.openxmlformats.org/officeDocument/2006/relationships/hyperlink" Target="https://www.figma.com/design/AzQaoPVLY9UdbDRMcrxRKx/Tech-%EA%B3%A0%EB%8F%84%ED%99%94?node-id=2340-5660&amp;t=fBNr0AGQOSJcHCXA-4" TargetMode="External"/><Relationship Id="rId21" Type="http://schemas.openxmlformats.org/officeDocument/2006/relationships/hyperlink" Target="https://www.figma.com/design/AzQaoPVLY9UdbDRMcrxRKx/Tech-%EA%B3%A0%EB%8F%84%ED%99%94?node-id=2340-5660&amp;t=fBNr0AGQOSJcHCXA-4" TargetMode="External"/><Relationship Id="rId24" Type="http://schemas.openxmlformats.org/officeDocument/2006/relationships/hyperlink" Target="https://www.figma.com/design/AzQaoPVLY9UdbDRMcrxRKx/Tech-%EA%B3%A0%EB%8F%84%ED%99%94?node-id=902-6839&amp;t=fBNr0AGQOSJcHCXA-4" TargetMode="External"/><Relationship Id="rId23" Type="http://schemas.openxmlformats.org/officeDocument/2006/relationships/hyperlink" Target="https://www.figma.com/design/AzQaoPVLY9UdbDRMcrxRKx/Tech-%EA%B3%A0%EB%8F%84%ED%99%94?node-id=902-6839&amp;t=fBNr0AGQOSJcHCXA-4" TargetMode="External"/><Relationship Id="rId26" Type="http://schemas.openxmlformats.org/officeDocument/2006/relationships/hyperlink" Target="https://www.figma.com/design/AzQaoPVLY9UdbDRMcrxRKx/Tech-%EA%B3%A0%EB%8F%84%ED%99%94?node-id=902-6839&amp;t=fBNr0AGQOSJcHCXA-4" TargetMode="External"/><Relationship Id="rId25" Type="http://schemas.openxmlformats.org/officeDocument/2006/relationships/hyperlink" Target="https://smartscoretech.atlassian.net/browse/QA-14821" TargetMode="External"/><Relationship Id="rId28" Type="http://schemas.openxmlformats.org/officeDocument/2006/relationships/hyperlink" Target="https://www.figma.com/design/AzQaoPVLY9UdbDRMcrxRKx/Tech-%EA%B3%A0%EB%8F%84%ED%99%94?node-id=902-6839&amp;t=fBNr0AGQOSJcHCXA-4" TargetMode="External"/><Relationship Id="rId27" Type="http://schemas.openxmlformats.org/officeDocument/2006/relationships/hyperlink" Target="https://www.figma.com/design/AzQaoPVLY9UdbDRMcrxRKx/Tech-%EA%B3%A0%EB%8F%84%ED%99%94?node-id=902-6839&amp;t=fBNr0AGQOSJcHCXA-4" TargetMode="External"/><Relationship Id="rId29" Type="http://schemas.openxmlformats.org/officeDocument/2006/relationships/hyperlink" Target="https://www.figma.com/design/AzQaoPVLY9UdbDRMcrxRKx/Tech-%EA%B3%A0%EB%8F%84%ED%99%94?node-id=902-6839&amp;t=fBNr0AGQOSJcHCXA-4" TargetMode="External"/><Relationship Id="rId11" Type="http://schemas.openxmlformats.org/officeDocument/2006/relationships/hyperlink" Target="https://www.figma.com/design/AzQaoPVLY9UdbDRMcrxRKx/Tech-%EA%B3%A0%EB%8F%84%ED%99%94?node-id=902-6567&amp;t=fBNr0AGQOSJcHCXA-4" TargetMode="External"/><Relationship Id="rId10" Type="http://schemas.openxmlformats.org/officeDocument/2006/relationships/hyperlink" Target="https://www.figma.com/design/AzQaoPVLY9UdbDRMcrxRKx/Tech-%EA%B3%A0%EB%8F%84%ED%99%94?node-id=902-6567&amp;t=fBNr0AGQOSJcHCXA-4" TargetMode="External"/><Relationship Id="rId13" Type="http://schemas.openxmlformats.org/officeDocument/2006/relationships/hyperlink" Target="https://smartscoretech.atlassian.net/browse/QA-14829" TargetMode="External"/><Relationship Id="rId12" Type="http://schemas.openxmlformats.org/officeDocument/2006/relationships/hyperlink" Target="https://www.figma.com/design/AzQaoPVLY9UdbDRMcrxRKx/Tech-%EA%B3%A0%EB%8F%84%ED%99%94?node-id=2340-5660&amp;t=fBNr0AGQOSJcHCXA-4" TargetMode="External"/><Relationship Id="rId15" Type="http://schemas.openxmlformats.org/officeDocument/2006/relationships/hyperlink" Target="https://www.figma.com/design/AzQaoPVLY9UdbDRMcrxRKx/Tech-%EA%B3%A0%EB%8F%84%ED%99%94?node-id=2340-5660&amp;t=fBNr0AGQOSJcHCXA-4" TargetMode="External"/><Relationship Id="rId14" Type="http://schemas.openxmlformats.org/officeDocument/2006/relationships/hyperlink" Target="https://www.figma.com/design/AzQaoPVLY9UdbDRMcrxRKx/Tech-%EA%B3%A0%EB%8F%84%ED%99%94?node-id=2340-5660&amp;t=fBNr0AGQOSJcHCXA-4" TargetMode="External"/><Relationship Id="rId17" Type="http://schemas.openxmlformats.org/officeDocument/2006/relationships/hyperlink" Target="https://www.figma.com/design/AzQaoPVLY9UdbDRMcrxRKx/Tech-%EA%B3%A0%EB%8F%84%ED%99%94?node-id=2340-5660&amp;t=fBNr0AGQOSJcHCXA-4" TargetMode="External"/><Relationship Id="rId16" Type="http://schemas.openxmlformats.org/officeDocument/2006/relationships/hyperlink" Target="https://smartscoretech.atlassian.net/browse/QA-14829" TargetMode="External"/><Relationship Id="rId19" Type="http://schemas.openxmlformats.org/officeDocument/2006/relationships/hyperlink" Target="https://www.figma.com/design/AzQaoPVLY9UdbDRMcrxRKx/Tech-%EA%B3%A0%EB%8F%84%ED%99%94?node-id=2340-5660&amp;t=fBNr0AGQOSJcHCXA-4" TargetMode="External"/><Relationship Id="rId18" Type="http://schemas.openxmlformats.org/officeDocument/2006/relationships/hyperlink" Target="https://www.figma.com/design/AzQaoPVLY9UdbDRMcrxRKx/Tech-%EA%B3%A0%EB%8F%84%ED%99%94?node-id=2340-5660&amp;t=fBNr0AGQOSJcHCXA-4" TargetMode="External"/><Relationship Id="rId1" Type="http://schemas.openxmlformats.org/officeDocument/2006/relationships/hyperlink" Target="https://www.figma.com/design/AzQaoPVLY9UdbDRMcrxRKx/Tech-%EA%B3%A0%EB%8F%84%ED%99%94?node-id=902-6567&amp;t=fBNr0AGQOSJcHCXA-4" TargetMode="External"/><Relationship Id="rId2" Type="http://schemas.openxmlformats.org/officeDocument/2006/relationships/hyperlink" Target="https://smartscoretech.atlassian.net/browse/QA-14818" TargetMode="External"/><Relationship Id="rId3" Type="http://schemas.openxmlformats.org/officeDocument/2006/relationships/hyperlink" Target="https://www.figma.com/design/AzQaoPVLY9UdbDRMcrxRKx/Tech-%EA%B3%A0%EB%8F%84%ED%99%94?node-id=902-6567&amp;t=fBNr0AGQOSJcHCXA-4" TargetMode="External"/><Relationship Id="rId4" Type="http://schemas.openxmlformats.org/officeDocument/2006/relationships/hyperlink" Target="https://www.figma.com/design/AzQaoPVLY9UdbDRMcrxRKx/Tech-%EA%B3%A0%EB%8F%84%ED%99%94?node-id=902-6567&amp;t=fBNr0AGQOSJcHCXA-4" TargetMode="External"/><Relationship Id="rId9" Type="http://schemas.openxmlformats.org/officeDocument/2006/relationships/hyperlink" Target="https://www.figma.com/design/AzQaoPVLY9UdbDRMcrxRKx/Tech-%EA%B3%A0%EB%8F%84%ED%99%94?node-id=902-6567&amp;t=fBNr0AGQOSJcHCXA-4" TargetMode="External"/><Relationship Id="rId5" Type="http://schemas.openxmlformats.org/officeDocument/2006/relationships/hyperlink" Target="https://www.figma.com/design/AzQaoPVLY9UdbDRMcrxRKx/Tech-%EA%B3%A0%EB%8F%84%ED%99%94?node-id=902-6567&amp;t=fBNr0AGQOSJcHCXA-4" TargetMode="External"/><Relationship Id="rId6" Type="http://schemas.openxmlformats.org/officeDocument/2006/relationships/hyperlink" Target="https://www.figma.com/design/AzQaoPVLY9UdbDRMcrxRKx/Tech-%EA%B3%A0%EB%8F%84%ED%99%94?node-id=902-6567&amp;t=fBNr0AGQOSJcHCXA-4" TargetMode="External"/><Relationship Id="rId7" Type="http://schemas.openxmlformats.org/officeDocument/2006/relationships/hyperlink" Target="https://www.figma.com/design/AzQaoPVLY9UdbDRMcrxRKx/Tech-%EA%B3%A0%EB%8F%84%ED%99%94?node-id=902-6567&amp;t=fBNr0AGQOSJcHCXA-4" TargetMode="External"/><Relationship Id="rId8" Type="http://schemas.openxmlformats.org/officeDocument/2006/relationships/hyperlink" Target="https://www.figma.com/design/AzQaoPVLY9UdbDRMcrxRKx/Tech-%EA%B3%A0%EB%8F%84%ED%99%94?node-id=902-6567&amp;t=fBNr0AGQOSJcHCXA-4" TargetMode="External"/><Relationship Id="rId62" Type="http://schemas.openxmlformats.org/officeDocument/2006/relationships/hyperlink" Target="https://www.figma.com/design/AzQaoPVLY9UdbDRMcrxRKx/Tech-%EA%B3%A0%EB%8F%84%ED%99%94?node-id=902-6839&amp;t=fBNr0AGQOSJcHCXA-4" TargetMode="External"/><Relationship Id="rId61" Type="http://schemas.openxmlformats.org/officeDocument/2006/relationships/hyperlink" Target="https://www.figma.com/design/AzQaoPVLY9UdbDRMcrxRKx/Tech-%EA%B3%A0%EB%8F%84%ED%99%94?node-id=902-6839&amp;t=fBNr0AGQOSJcHCXA-4" TargetMode="External"/><Relationship Id="rId64" Type="http://schemas.openxmlformats.org/officeDocument/2006/relationships/drawing" Target="../drawings/drawing8.xml"/><Relationship Id="rId63" Type="http://schemas.openxmlformats.org/officeDocument/2006/relationships/hyperlink" Target="https://www.figma.com/design/AzQaoPVLY9UdbDRMcrxRKx/Tech-%EA%B3%A0%EB%8F%84%ED%99%94?node-id=902-6839&amp;t=fBNr0AGQOSJcHCXA-4" TargetMode="External"/><Relationship Id="rId60" Type="http://schemas.openxmlformats.org/officeDocument/2006/relationships/hyperlink" Target="https://www.figma.com/design/AzQaoPVLY9UdbDRMcrxRKx/Tech-%EA%B3%A0%EB%8F%84%ED%99%94?node-id=902-6839&amp;t=fBNr0AGQOSJcHCXA-4" TargetMode="External"/><Relationship Id="rId51" Type="http://schemas.openxmlformats.org/officeDocument/2006/relationships/hyperlink" Target="https://www.figma.com/design/AzQaoPVLY9UdbDRMcrxRKx/Tech-%EA%B3%A0%EB%8F%84%ED%99%94?node-id=902-6839&amp;t=fBNr0AGQOSJcHCXA-4" TargetMode="External"/><Relationship Id="rId50" Type="http://schemas.openxmlformats.org/officeDocument/2006/relationships/hyperlink" Target="https://smartscoretech.atlassian.net/browse/QA-14824" TargetMode="External"/><Relationship Id="rId53" Type="http://schemas.openxmlformats.org/officeDocument/2006/relationships/hyperlink" Target="https://www.figma.com/design/AzQaoPVLY9UdbDRMcrxRKx/Tech-%EA%B3%A0%EB%8F%84%ED%99%94?node-id=902-6839&amp;t=fBNr0AGQOSJcHCXA-4" TargetMode="External"/><Relationship Id="rId52" Type="http://schemas.openxmlformats.org/officeDocument/2006/relationships/hyperlink" Target="https://www.figma.com/design/AzQaoPVLY9UdbDRMcrxRKx/Tech-%EA%B3%A0%EB%8F%84%ED%99%94?node-id=902-6839&amp;t=fBNr0AGQOSJcHCXA-4" TargetMode="External"/><Relationship Id="rId55" Type="http://schemas.openxmlformats.org/officeDocument/2006/relationships/hyperlink" Target="https://www.figma.com/design/AzQaoPVLY9UdbDRMcrxRKx/Tech-%EA%B3%A0%EB%8F%84%ED%99%94?node-id=902-6839&amp;t=fBNr0AGQOSJcHCXA-4" TargetMode="External"/><Relationship Id="rId54" Type="http://schemas.openxmlformats.org/officeDocument/2006/relationships/hyperlink" Target="https://www.figma.com/design/AzQaoPVLY9UdbDRMcrxRKx/Tech-%EA%B3%A0%EB%8F%84%ED%99%94?node-id=902-6839&amp;t=fBNr0AGQOSJcHCXA-4" TargetMode="External"/><Relationship Id="rId57" Type="http://schemas.openxmlformats.org/officeDocument/2006/relationships/hyperlink" Target="https://www.figma.com/design/AzQaoPVLY9UdbDRMcrxRKx/Tech-%EA%B3%A0%EB%8F%84%ED%99%94?node-id=902-6839&amp;t=fBNr0AGQOSJcHCXA-4" TargetMode="External"/><Relationship Id="rId56" Type="http://schemas.openxmlformats.org/officeDocument/2006/relationships/hyperlink" Target="https://www.figma.com/design/AzQaoPVLY9UdbDRMcrxRKx/Tech-%EA%B3%A0%EB%8F%84%ED%99%94?node-id=902-6839&amp;t=fBNr0AGQOSJcHCXA-4" TargetMode="External"/><Relationship Id="rId59" Type="http://schemas.openxmlformats.org/officeDocument/2006/relationships/hyperlink" Target="https://www.figma.com/design/AzQaoPVLY9UdbDRMcrxRKx/Tech-%EA%B3%A0%EB%8F%84%ED%99%94?node-id=902-6839&amp;t=fBNr0AGQOSJcHCXA-4" TargetMode="External"/><Relationship Id="rId58" Type="http://schemas.openxmlformats.org/officeDocument/2006/relationships/hyperlink" Target="https://www.figma.com/design/AzQaoPVLY9UdbDRMcrxRKx/Tech-%EA%B3%A0%EB%8F%84%ED%99%94?node-id=902-6839&amp;t=fBNr0AGQOSJcHCXA-4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smartscoretech.atlassian.net/browse/QA-14838" TargetMode="External"/><Relationship Id="rId190" Type="http://schemas.openxmlformats.org/officeDocument/2006/relationships/hyperlink" Target="https://www.figma.com/design/AzQaoPVLY9UdbDRMcrxRKx/Tech-%EA%B3%A0%EB%8F%84%ED%99%94?node-id=2165-11287&amp;t=fBNr0AGQOSJcHCXA-4" TargetMode="External"/><Relationship Id="rId42" Type="http://schemas.openxmlformats.org/officeDocument/2006/relationships/hyperlink" Target="https://www.figma.com/design/AzQaoPVLY9UdbDRMcrxRKx/Tech-%EA%B3%A0%EB%8F%84%ED%99%94?node-id=2165-11287&amp;t=fBNr0AGQOSJcHCXA-4" TargetMode="External"/><Relationship Id="rId41" Type="http://schemas.openxmlformats.org/officeDocument/2006/relationships/hyperlink" Target="https://www.figma.com/design/AzQaoPVLY9UdbDRMcrxRKx/Tech-%EA%B3%A0%EB%8F%84%ED%99%94?node-id=2165-11287&amp;t=fBNr0AGQOSJcHCXA-4" TargetMode="External"/><Relationship Id="rId44" Type="http://schemas.openxmlformats.org/officeDocument/2006/relationships/hyperlink" Target="https://www.figma.com/design/AzQaoPVLY9UdbDRMcrxRKx/Tech-%EA%B3%A0%EB%8F%84%ED%99%94?node-id=2165-11287&amp;t=fBNr0AGQOSJcHCXA-4" TargetMode="External"/><Relationship Id="rId194" Type="http://schemas.openxmlformats.org/officeDocument/2006/relationships/hyperlink" Target="https://www.figma.com/design/AzQaoPVLY9UdbDRMcrxRKx/Tech-%EA%B3%A0%EB%8F%84%ED%99%94?node-id=2165-11287&amp;t=fBNr0AGQOSJcHCXA-4" TargetMode="External"/><Relationship Id="rId43" Type="http://schemas.openxmlformats.org/officeDocument/2006/relationships/hyperlink" Target="https://www.figma.com/design/AzQaoPVLY9UdbDRMcrxRKx/Tech-%EA%B3%A0%EB%8F%84%ED%99%94?node-id=2165-11287&amp;t=fBNr0AGQOSJcHCXA-4" TargetMode="External"/><Relationship Id="rId193" Type="http://schemas.openxmlformats.org/officeDocument/2006/relationships/hyperlink" Target="https://www.figma.com/design/AzQaoPVLY9UdbDRMcrxRKx/Tech-%EA%B3%A0%EB%8F%84%ED%99%94?node-id=2165-11287&amp;t=fBNr0AGQOSJcHCXA-4" TargetMode="External"/><Relationship Id="rId46" Type="http://schemas.openxmlformats.org/officeDocument/2006/relationships/hyperlink" Target="https://www.figma.com/design/AzQaoPVLY9UdbDRMcrxRKx/Tech-%EA%B3%A0%EB%8F%84%ED%99%94?node-id=2165-11287&amp;t=fBNr0AGQOSJcHCXA-4" TargetMode="External"/><Relationship Id="rId192" Type="http://schemas.openxmlformats.org/officeDocument/2006/relationships/hyperlink" Target="https://www.figma.com/design/AzQaoPVLY9UdbDRMcrxRKx/Tech-%EA%B3%A0%EB%8F%84%ED%99%94?node-id=2165-11287&amp;t=fBNr0AGQOSJcHCXA-4" TargetMode="External"/><Relationship Id="rId45" Type="http://schemas.openxmlformats.org/officeDocument/2006/relationships/hyperlink" Target="https://www.figma.com/design/AzQaoPVLY9UdbDRMcrxRKx/Tech-%EA%B3%A0%EB%8F%84%ED%99%94?node-id=2165-11287&amp;t=fBNr0AGQOSJcHCXA-4" TargetMode="External"/><Relationship Id="rId191" Type="http://schemas.openxmlformats.org/officeDocument/2006/relationships/hyperlink" Target="https://www.figma.com/design/AzQaoPVLY9UdbDRMcrxRKx/Tech-%EA%B3%A0%EB%8F%84%ED%99%94?node-id=2165-11287&amp;t=fBNr0AGQOSJcHCXA-4" TargetMode="External"/><Relationship Id="rId48" Type="http://schemas.openxmlformats.org/officeDocument/2006/relationships/hyperlink" Target="https://www.figma.com/design/AzQaoPVLY9UdbDRMcrxRKx/Tech-%EA%B3%A0%EB%8F%84%ED%99%94?node-id=2165-11287&amp;t=fBNr0AGQOSJcHCXA-4" TargetMode="External"/><Relationship Id="rId187" Type="http://schemas.openxmlformats.org/officeDocument/2006/relationships/hyperlink" Target="https://www.figma.com/design/AzQaoPVLY9UdbDRMcrxRKx/Tech-%EA%B3%A0%EB%8F%84%ED%99%94?node-id=2165-11287&amp;t=fBNr0AGQOSJcHCXA-4" TargetMode="External"/><Relationship Id="rId47" Type="http://schemas.openxmlformats.org/officeDocument/2006/relationships/hyperlink" Target="https://www.figma.com/design/AzQaoPVLY9UdbDRMcrxRKx/Tech-%EA%B3%A0%EB%8F%84%ED%99%94?node-id=2165-11287&amp;t=fBNr0AGQOSJcHCXA-4" TargetMode="External"/><Relationship Id="rId186" Type="http://schemas.openxmlformats.org/officeDocument/2006/relationships/hyperlink" Target="https://www.figma.com/design/AzQaoPVLY9UdbDRMcrxRKx/Tech-%EA%B3%A0%EB%8F%84%ED%99%94?node-id=2165-11287&amp;t=fBNr0AGQOSJcHCXA-4" TargetMode="External"/><Relationship Id="rId185" Type="http://schemas.openxmlformats.org/officeDocument/2006/relationships/hyperlink" Target="https://www.figma.com/design/AzQaoPVLY9UdbDRMcrxRKx/Tech-%EA%B3%A0%EB%8F%84%ED%99%94?node-id=2165-11287&amp;t=fBNr0AGQOSJcHCXA-4" TargetMode="External"/><Relationship Id="rId49" Type="http://schemas.openxmlformats.org/officeDocument/2006/relationships/hyperlink" Target="https://www.figma.com/design/AzQaoPVLY9UdbDRMcrxRKx/Tech-%EA%B3%A0%EB%8F%84%ED%99%94?node-id=2165-11287&amp;t=fBNr0AGQOSJcHCXA-4" TargetMode="External"/><Relationship Id="rId184" Type="http://schemas.openxmlformats.org/officeDocument/2006/relationships/hyperlink" Target="https://www.figma.com/design/AzQaoPVLY9UdbDRMcrxRKx/Tech-%EA%B3%A0%EB%8F%84%ED%99%94?node-id=2165-11287&amp;t=fBNr0AGQOSJcHCXA-4" TargetMode="External"/><Relationship Id="rId189" Type="http://schemas.openxmlformats.org/officeDocument/2006/relationships/hyperlink" Target="https://www.figma.com/design/AzQaoPVLY9UdbDRMcrxRKx/Tech-%EA%B3%A0%EB%8F%84%ED%99%94?node-id=2165-11287&amp;t=fBNr0AGQOSJcHCXA-4" TargetMode="External"/><Relationship Id="rId188" Type="http://schemas.openxmlformats.org/officeDocument/2006/relationships/hyperlink" Target="https://www.figma.com/design/AzQaoPVLY9UdbDRMcrxRKx/Tech-%EA%B3%A0%EB%8F%84%ED%99%94?node-id=2165-11287&amp;t=fBNr0AGQOSJcHCXA-4" TargetMode="External"/><Relationship Id="rId31" Type="http://schemas.openxmlformats.org/officeDocument/2006/relationships/hyperlink" Target="https://www.figma.com/design/AzQaoPVLY9UdbDRMcrxRKx/Tech-%EA%B3%A0%EB%8F%84%ED%99%94?node-id=2165-11287&amp;t=fBNr0AGQOSJcHCXA-4" TargetMode="External"/><Relationship Id="rId30" Type="http://schemas.openxmlformats.org/officeDocument/2006/relationships/hyperlink" Target="https://www.figma.com/design/AzQaoPVLY9UdbDRMcrxRKx/Tech-%EA%B3%A0%EB%8F%84%ED%99%94?node-id=2165-11287&amp;t=fBNr0AGQOSJcHCXA-4" TargetMode="External"/><Relationship Id="rId33" Type="http://schemas.openxmlformats.org/officeDocument/2006/relationships/hyperlink" Target="https://www.figma.com/design/AzQaoPVLY9UdbDRMcrxRKx/Tech-%EA%B3%A0%EB%8F%84%ED%99%94?node-id=2165-11287&amp;t=fBNr0AGQOSJcHCXA-4" TargetMode="External"/><Relationship Id="rId183" Type="http://schemas.openxmlformats.org/officeDocument/2006/relationships/hyperlink" Target="https://www.figma.com/design/AzQaoPVLY9UdbDRMcrxRKx/Tech-%EA%B3%A0%EB%8F%84%ED%99%94?node-id=2165-11287&amp;t=fBNr0AGQOSJcHCXA-4" TargetMode="External"/><Relationship Id="rId32" Type="http://schemas.openxmlformats.org/officeDocument/2006/relationships/hyperlink" Target="https://smartscoretech.atlassian.net/browse/QA-14836" TargetMode="External"/><Relationship Id="rId182" Type="http://schemas.openxmlformats.org/officeDocument/2006/relationships/hyperlink" Target="https://www.figma.com/design/AzQaoPVLY9UdbDRMcrxRKx/Tech-%EA%B3%A0%EB%8F%84%ED%99%94?node-id=2165-11287&amp;t=fBNr0AGQOSJcHCXA-4" TargetMode="External"/><Relationship Id="rId35" Type="http://schemas.openxmlformats.org/officeDocument/2006/relationships/hyperlink" Target="https://www.figma.com/design/AzQaoPVLY9UdbDRMcrxRKx/Tech-%EA%B3%A0%EB%8F%84%ED%99%94?node-id=2165-11287&amp;t=fBNr0AGQOSJcHCXA-4" TargetMode="External"/><Relationship Id="rId181" Type="http://schemas.openxmlformats.org/officeDocument/2006/relationships/hyperlink" Target="https://www.figma.com/design/AzQaoPVLY9UdbDRMcrxRKx/Tech-%EA%B3%A0%EB%8F%84%ED%99%94?node-id=2165-11287&amp;t=fBNr0AGQOSJcHCXA-4" TargetMode="External"/><Relationship Id="rId34" Type="http://schemas.openxmlformats.org/officeDocument/2006/relationships/hyperlink" Target="https://smartscoretech.atlassian.net/browse/QA-14836" TargetMode="External"/><Relationship Id="rId180" Type="http://schemas.openxmlformats.org/officeDocument/2006/relationships/hyperlink" Target="https://www.figma.com/design/AzQaoPVLY9UdbDRMcrxRKx/Tech-%EA%B3%A0%EB%8F%84%ED%99%94?node-id=2165-11287&amp;t=fBNr0AGQOSJcHCXA-4" TargetMode="External"/><Relationship Id="rId37" Type="http://schemas.openxmlformats.org/officeDocument/2006/relationships/hyperlink" Target="https://www.figma.com/design/AzQaoPVLY9UdbDRMcrxRKx/Tech-%EA%B3%A0%EB%8F%84%ED%99%94?node-id=2165-11287&amp;t=fBNr0AGQOSJcHCXA-4" TargetMode="External"/><Relationship Id="rId176" Type="http://schemas.openxmlformats.org/officeDocument/2006/relationships/hyperlink" Target="https://www.figma.com/design/AzQaoPVLY9UdbDRMcrxRKx/Tech-%EA%B3%A0%EB%8F%84%ED%99%94?node-id=2165-11287&amp;t=fBNr0AGQOSJcHCXA-4" TargetMode="External"/><Relationship Id="rId297" Type="http://schemas.openxmlformats.org/officeDocument/2006/relationships/hyperlink" Target="https://www.figma.com/design/AzQaoPVLY9UdbDRMcrxRKx/Tech-%EA%B3%A0%EB%8F%84%ED%99%94?node-id=2771-65581&amp;t=fBNr0AGQOSJcHCXA-4" TargetMode="External"/><Relationship Id="rId36" Type="http://schemas.openxmlformats.org/officeDocument/2006/relationships/hyperlink" Target="https://www.figma.com/design/AzQaoPVLY9UdbDRMcrxRKx/Tech-%EA%B3%A0%EB%8F%84%ED%99%94?node-id=2165-11287&amp;t=fBNr0AGQOSJcHCXA-4" TargetMode="External"/><Relationship Id="rId175" Type="http://schemas.openxmlformats.org/officeDocument/2006/relationships/hyperlink" Target="https://www.figma.com/design/AzQaoPVLY9UdbDRMcrxRKx/Tech-%EA%B3%A0%EB%8F%84%ED%99%94?node-id=2165-11287&amp;t=fBNr0AGQOSJcHCXA-4" TargetMode="External"/><Relationship Id="rId296" Type="http://schemas.openxmlformats.org/officeDocument/2006/relationships/hyperlink" Target="https://www.figma.com/design/AzQaoPVLY9UdbDRMcrxRKx/Tech-%EA%B3%A0%EB%8F%84%ED%99%94?node-id=2771-65581&amp;t=fBNr0AGQOSJcHCXA-4" TargetMode="External"/><Relationship Id="rId39" Type="http://schemas.openxmlformats.org/officeDocument/2006/relationships/hyperlink" Target="https://www.figma.com/design/AzQaoPVLY9UdbDRMcrxRKx/Tech-%EA%B3%A0%EB%8F%84%ED%99%94?node-id=2165-11287&amp;t=fBNr0AGQOSJcHCXA-4" TargetMode="External"/><Relationship Id="rId174" Type="http://schemas.openxmlformats.org/officeDocument/2006/relationships/hyperlink" Target="https://smartscoretech.atlassian.net/browse/QA-14852" TargetMode="External"/><Relationship Id="rId295" Type="http://schemas.openxmlformats.org/officeDocument/2006/relationships/hyperlink" Target="https://www.figma.com/design/AzQaoPVLY9UdbDRMcrxRKx/Tech-%EA%B3%A0%EB%8F%84%ED%99%94?node-id=2771-65581&amp;t=fBNr0AGQOSJcHCXA-4" TargetMode="External"/><Relationship Id="rId38" Type="http://schemas.openxmlformats.org/officeDocument/2006/relationships/hyperlink" Target="https://www.figma.com/design/AzQaoPVLY9UdbDRMcrxRKx/Tech-%EA%B3%A0%EB%8F%84%ED%99%94?node-id=2165-11287&amp;t=fBNr0AGQOSJcHCXA-4" TargetMode="External"/><Relationship Id="rId173" Type="http://schemas.openxmlformats.org/officeDocument/2006/relationships/hyperlink" Target="https://www.figma.com/design/AzQaoPVLY9UdbDRMcrxRKx/Tech-%EA%B3%A0%EB%8F%84%ED%99%94?node-id=2165-11287&amp;t=fBNr0AGQOSJcHCXA-4" TargetMode="External"/><Relationship Id="rId294" Type="http://schemas.openxmlformats.org/officeDocument/2006/relationships/hyperlink" Target="https://www.figma.com/design/AzQaoPVLY9UdbDRMcrxRKx/Tech-%EA%B3%A0%EB%8F%84%ED%99%94?node-id=2771-65581&amp;t=fBNr0AGQOSJcHCXA-4" TargetMode="External"/><Relationship Id="rId179" Type="http://schemas.openxmlformats.org/officeDocument/2006/relationships/hyperlink" Target="https://www.figma.com/design/AzQaoPVLY9UdbDRMcrxRKx/Tech-%EA%B3%A0%EB%8F%84%ED%99%94?node-id=2165-11287&amp;t=fBNr0AGQOSJcHCXA-4" TargetMode="External"/><Relationship Id="rId178" Type="http://schemas.openxmlformats.org/officeDocument/2006/relationships/hyperlink" Target="https://www.figma.com/design/AzQaoPVLY9UdbDRMcrxRKx/Tech-%EA%B3%A0%EB%8F%84%ED%99%94?node-id=2165-11287&amp;t=fBNr0AGQOSJcHCXA-4" TargetMode="External"/><Relationship Id="rId299" Type="http://schemas.openxmlformats.org/officeDocument/2006/relationships/hyperlink" Target="https://www.figma.com/design/AzQaoPVLY9UdbDRMcrxRKx/Tech-%EA%B3%A0%EB%8F%84%ED%99%94?node-id=2771-65581&amp;t=fBNr0AGQOSJcHCXA-4" TargetMode="External"/><Relationship Id="rId177" Type="http://schemas.openxmlformats.org/officeDocument/2006/relationships/hyperlink" Target="https://www.figma.com/design/AzQaoPVLY9UdbDRMcrxRKx/Tech-%EA%B3%A0%EB%8F%84%ED%99%94?node-id=2165-11287&amp;t=fBNr0AGQOSJcHCXA-4" TargetMode="External"/><Relationship Id="rId298" Type="http://schemas.openxmlformats.org/officeDocument/2006/relationships/hyperlink" Target="https://www.figma.com/design/AzQaoPVLY9UdbDRMcrxRKx/Tech-%EA%B3%A0%EB%8F%84%ED%99%94?node-id=2771-65581&amp;t=fBNr0AGQOSJcHCXA-4" TargetMode="External"/><Relationship Id="rId20" Type="http://schemas.openxmlformats.org/officeDocument/2006/relationships/hyperlink" Target="https://smartscoretech.atlassian.net/browse/QA-14836" TargetMode="External"/><Relationship Id="rId22" Type="http://schemas.openxmlformats.org/officeDocument/2006/relationships/hyperlink" Target="https://smartscoretech.atlassian.net/browse/QA-14836" TargetMode="External"/><Relationship Id="rId21" Type="http://schemas.openxmlformats.org/officeDocument/2006/relationships/hyperlink" Target="https://www.figma.com/design/AzQaoPVLY9UdbDRMcrxRKx/Tech-%EA%B3%A0%EB%8F%84%ED%99%94?node-id=2165-11287&amp;t=fBNr0AGQOSJcHCXA-4" TargetMode="External"/><Relationship Id="rId24" Type="http://schemas.openxmlformats.org/officeDocument/2006/relationships/hyperlink" Target="https://smartscoretech.atlassian.net/browse/QA-14845" TargetMode="External"/><Relationship Id="rId23" Type="http://schemas.openxmlformats.org/officeDocument/2006/relationships/hyperlink" Target="https://www.figma.com/design/AzQaoPVLY9UdbDRMcrxRKx/Tech-%EA%B3%A0%EB%8F%84%ED%99%94?node-id=2165-11287&amp;t=fBNr0AGQOSJcHCXA-4" TargetMode="External"/><Relationship Id="rId26" Type="http://schemas.openxmlformats.org/officeDocument/2006/relationships/hyperlink" Target="https://www.figma.com/design/AzQaoPVLY9UdbDRMcrxRKx/Tech-%EA%B3%A0%EB%8F%84%ED%99%94?node-id=2165-11287&amp;t=fBNr0AGQOSJcHCXA-4" TargetMode="External"/><Relationship Id="rId25" Type="http://schemas.openxmlformats.org/officeDocument/2006/relationships/hyperlink" Target="https://www.figma.com/design/AzQaoPVLY9UdbDRMcrxRKx/Tech-%EA%B3%A0%EB%8F%84%ED%99%94?node-id=2165-11287&amp;t=fBNr0AGQOSJcHCXA-4" TargetMode="External"/><Relationship Id="rId28" Type="http://schemas.openxmlformats.org/officeDocument/2006/relationships/hyperlink" Target="https://www.figma.com/design/AzQaoPVLY9UdbDRMcrxRKx/Tech-%EA%B3%A0%EB%8F%84%ED%99%94?node-id=2165-11287&amp;t=fBNr0AGQOSJcHCXA-4" TargetMode="External"/><Relationship Id="rId27" Type="http://schemas.openxmlformats.org/officeDocument/2006/relationships/hyperlink" Target="https://www.figma.com/design/AzQaoPVLY9UdbDRMcrxRKx/Tech-%EA%B3%A0%EB%8F%84%ED%99%94?node-id=2165-11287&amp;t=fBNr0AGQOSJcHCXA-4" TargetMode="External"/><Relationship Id="rId29" Type="http://schemas.openxmlformats.org/officeDocument/2006/relationships/hyperlink" Target="https://smartscoretech.atlassian.net/browse/QA-14838" TargetMode="External"/><Relationship Id="rId11" Type="http://schemas.openxmlformats.org/officeDocument/2006/relationships/hyperlink" Target="https://www.figma.com/design/AzQaoPVLY9UdbDRMcrxRKx/Tech-%EA%B3%A0%EB%8F%84%ED%99%94?node-id=2165-11287&amp;t=fBNr0AGQOSJcHCXA-4" TargetMode="External"/><Relationship Id="rId10" Type="http://schemas.openxmlformats.org/officeDocument/2006/relationships/hyperlink" Target="https://www.figma.com/design/AzQaoPVLY9UdbDRMcrxRKx/Tech-%EA%B3%A0%EB%8F%84%ED%99%94?node-id=2165-11287&amp;t=fBNr0AGQOSJcHCXA-4" TargetMode="External"/><Relationship Id="rId13" Type="http://schemas.openxmlformats.org/officeDocument/2006/relationships/hyperlink" Target="https://www.figma.com/design/AzQaoPVLY9UdbDRMcrxRKx/Tech-%EA%B3%A0%EB%8F%84%ED%99%94?node-id=2165-11287&amp;t=fBNr0AGQOSJcHCXA-4" TargetMode="External"/><Relationship Id="rId12" Type="http://schemas.openxmlformats.org/officeDocument/2006/relationships/hyperlink" Target="https://smartscoretech.atlassian.net/browse/QA-14845" TargetMode="External"/><Relationship Id="rId15" Type="http://schemas.openxmlformats.org/officeDocument/2006/relationships/hyperlink" Target="https://www.figma.com/design/AzQaoPVLY9UdbDRMcrxRKx/Tech-%EA%B3%A0%EB%8F%84%ED%99%94?node-id=2165-11287&amp;t=fBNr0AGQOSJcHCXA-4" TargetMode="External"/><Relationship Id="rId198" Type="http://schemas.openxmlformats.org/officeDocument/2006/relationships/hyperlink" Target="https://www.figma.com/design/AzQaoPVLY9UdbDRMcrxRKx/Tech-%EA%B3%A0%EB%8F%84%ED%99%94?node-id=2165-11287&amp;t=fBNr0AGQOSJcHCXA-4" TargetMode="External"/><Relationship Id="rId14" Type="http://schemas.openxmlformats.org/officeDocument/2006/relationships/hyperlink" Target="https://www.figma.com/design/AzQaoPVLY9UdbDRMcrxRKx/Tech-%EA%B3%A0%EB%8F%84%ED%99%94?node-id=2165-11287&amp;t=fBNr0AGQOSJcHCXA-4" TargetMode="External"/><Relationship Id="rId197" Type="http://schemas.openxmlformats.org/officeDocument/2006/relationships/hyperlink" Target="https://www.figma.com/design/AzQaoPVLY9UdbDRMcrxRKx/Tech-%EA%B3%A0%EB%8F%84%ED%99%94?node-id=2165-11287&amp;t=fBNr0AGQOSJcHCXA-4" TargetMode="External"/><Relationship Id="rId17" Type="http://schemas.openxmlformats.org/officeDocument/2006/relationships/hyperlink" Target="https://smartscoretech.atlassian.net/browse/QA-14838" TargetMode="External"/><Relationship Id="rId196" Type="http://schemas.openxmlformats.org/officeDocument/2006/relationships/hyperlink" Target="https://www.figma.com/design/AzQaoPVLY9UdbDRMcrxRKx/Tech-%EA%B3%A0%EB%8F%84%ED%99%94?node-id=2165-11287&amp;t=fBNr0AGQOSJcHCXA-4" TargetMode="External"/><Relationship Id="rId16" Type="http://schemas.openxmlformats.org/officeDocument/2006/relationships/hyperlink" Target="https://www.figma.com/design/AzQaoPVLY9UdbDRMcrxRKx/Tech-%EA%B3%A0%EB%8F%84%ED%99%94?node-id=2165-11287&amp;t=fBNr0AGQOSJcHCXA-4" TargetMode="External"/><Relationship Id="rId195" Type="http://schemas.openxmlformats.org/officeDocument/2006/relationships/hyperlink" Target="https://www.figma.com/design/AzQaoPVLY9UdbDRMcrxRKx/Tech-%EA%B3%A0%EB%8F%84%ED%99%94?node-id=2165-11287&amp;t=fBNr0AGQOSJcHCXA-4" TargetMode="External"/><Relationship Id="rId19" Type="http://schemas.openxmlformats.org/officeDocument/2006/relationships/hyperlink" Target="https://www.figma.com/design/AzQaoPVLY9UdbDRMcrxRKx/Tech-%EA%B3%A0%EB%8F%84%ED%99%94?node-id=2165-11287&amp;t=fBNr0AGQOSJcHCXA-4" TargetMode="External"/><Relationship Id="rId18" Type="http://schemas.openxmlformats.org/officeDocument/2006/relationships/hyperlink" Target="https://www.figma.com/design/AzQaoPVLY9UdbDRMcrxRKx/Tech-%EA%B3%A0%EB%8F%84%ED%99%94?node-id=2165-11287&amp;t=fBNr0AGQOSJcHCXA-4" TargetMode="External"/><Relationship Id="rId199" Type="http://schemas.openxmlformats.org/officeDocument/2006/relationships/hyperlink" Target="https://www.figma.com/design/AzQaoPVLY9UdbDRMcrxRKx/Tech-%EA%B3%A0%EB%8F%84%ED%99%94?node-id=2165-11287&amp;t=fBNr0AGQOSJcHCXA-4" TargetMode="External"/><Relationship Id="rId84" Type="http://schemas.openxmlformats.org/officeDocument/2006/relationships/hyperlink" Target="https://www.figma.com/design/AzQaoPVLY9UdbDRMcrxRKx/Tech-%EA%B3%A0%EB%8F%84%ED%99%94?node-id=2165-11287&amp;t=fBNr0AGQOSJcHCXA-4" TargetMode="External"/><Relationship Id="rId83" Type="http://schemas.openxmlformats.org/officeDocument/2006/relationships/hyperlink" Target="https://www.figma.com/design/AzQaoPVLY9UdbDRMcrxRKx/Tech-%EA%B3%A0%EB%8F%84%ED%99%94?node-id=2165-11287&amp;t=fBNr0AGQOSJcHCXA-4" TargetMode="External"/><Relationship Id="rId86" Type="http://schemas.openxmlformats.org/officeDocument/2006/relationships/hyperlink" Target="https://www.figma.com/design/AzQaoPVLY9UdbDRMcrxRKx/Tech-%EA%B3%A0%EB%8F%84%ED%99%94?node-id=2165-11287&amp;t=fBNr0AGQOSJcHCXA-4" TargetMode="External"/><Relationship Id="rId85" Type="http://schemas.openxmlformats.org/officeDocument/2006/relationships/hyperlink" Target="https://smartscoretech.atlassian.net/browse/QA-14838" TargetMode="External"/><Relationship Id="rId88" Type="http://schemas.openxmlformats.org/officeDocument/2006/relationships/hyperlink" Target="https://www.figma.com/design/AzQaoPVLY9UdbDRMcrxRKx/Tech-%EA%B3%A0%EB%8F%84%ED%99%94?node-id=2165-11287&amp;t=fBNr0AGQOSJcHCXA-4" TargetMode="External"/><Relationship Id="rId150" Type="http://schemas.openxmlformats.org/officeDocument/2006/relationships/hyperlink" Target="https://www.figma.com/design/AzQaoPVLY9UdbDRMcrxRKx/Tech-%EA%B3%A0%EB%8F%84%ED%99%94?node-id=2165-11287&amp;t=fBNr0AGQOSJcHCXA-4" TargetMode="External"/><Relationship Id="rId271" Type="http://schemas.openxmlformats.org/officeDocument/2006/relationships/hyperlink" Target="https://smartscoretech.atlassian.net/browse/QA-14867" TargetMode="External"/><Relationship Id="rId87" Type="http://schemas.openxmlformats.org/officeDocument/2006/relationships/hyperlink" Target="https://www.figma.com/design/AzQaoPVLY9UdbDRMcrxRKx/Tech-%EA%B3%A0%EB%8F%84%ED%99%94?node-id=2165-11287&amp;t=fBNr0AGQOSJcHCXA-4" TargetMode="External"/><Relationship Id="rId270" Type="http://schemas.openxmlformats.org/officeDocument/2006/relationships/hyperlink" Target="https://www.figma.com/design/AzQaoPVLY9UdbDRMcrxRKx/Tech-%EA%B3%A0%EB%8F%84%ED%99%94?node-id=2771-65574&amp;t=fBNr0AGQOSJcHCXA-4" TargetMode="External"/><Relationship Id="rId89" Type="http://schemas.openxmlformats.org/officeDocument/2006/relationships/hyperlink" Target="https://www.figma.com/design/AzQaoPVLY9UdbDRMcrxRKx/Tech-%EA%B3%A0%EB%8F%84%ED%99%94?node-id=2165-11287&amp;t=fBNr0AGQOSJcHCXA-4" TargetMode="External"/><Relationship Id="rId80" Type="http://schemas.openxmlformats.org/officeDocument/2006/relationships/hyperlink" Target="https://smartscoretech.atlassian.net/browse/QA-14845" TargetMode="External"/><Relationship Id="rId82" Type="http://schemas.openxmlformats.org/officeDocument/2006/relationships/hyperlink" Target="https://www.figma.com/design/AzQaoPVLY9UdbDRMcrxRKx/Tech-%EA%B3%A0%EB%8F%84%ED%99%94?node-id=2165-11287&amp;t=fBNr0AGQOSJcHCXA-4" TargetMode="External"/><Relationship Id="rId81" Type="http://schemas.openxmlformats.org/officeDocument/2006/relationships/hyperlink" Target="https://www.figma.com/design/AzQaoPVLY9UdbDRMcrxRKx/Tech-%EA%B3%A0%EB%8F%84%ED%99%94?node-id=2165-11287&amp;t=fBNr0AGQOSJcHCXA-4" TargetMode="External"/><Relationship Id="rId1" Type="http://schemas.openxmlformats.org/officeDocument/2006/relationships/hyperlink" Target="https://www.figma.com/design/AzQaoPVLY9UdbDRMcrxRKx/Tech-%EA%B3%A0%EB%8F%84%ED%99%94?node-id=2165-11287&amp;t=fBNr0AGQOSJcHCXA-4" TargetMode="External"/><Relationship Id="rId2" Type="http://schemas.openxmlformats.org/officeDocument/2006/relationships/hyperlink" Target="https://www.figma.com/design/AzQaoPVLY9UdbDRMcrxRKx/Tech-%EA%B3%A0%EB%8F%84%ED%99%94?node-id=2165-11287&amp;t=fBNr0AGQOSJcHCXA-4" TargetMode="External"/><Relationship Id="rId3" Type="http://schemas.openxmlformats.org/officeDocument/2006/relationships/hyperlink" Target="https://www.figma.com/design/AzQaoPVLY9UdbDRMcrxRKx/Tech-%EA%B3%A0%EB%8F%84%ED%99%94?node-id=2165-11287&amp;t=fBNr0AGQOSJcHCXA-4" TargetMode="External"/><Relationship Id="rId149" Type="http://schemas.openxmlformats.org/officeDocument/2006/relationships/hyperlink" Target="https://www.figma.com/design/AzQaoPVLY9UdbDRMcrxRKx/Tech-%EA%B3%A0%EB%8F%84%ED%99%94?node-id=2165-11287&amp;t=fBNr0AGQOSJcHCXA-4" TargetMode="External"/><Relationship Id="rId4" Type="http://schemas.openxmlformats.org/officeDocument/2006/relationships/hyperlink" Target="https://www.figma.com/design/AzQaoPVLY9UdbDRMcrxRKx/Tech-%EA%B3%A0%EB%8F%84%ED%99%94?node-id=2165-11287&amp;t=fBNr0AGQOSJcHCXA-4" TargetMode="External"/><Relationship Id="rId148" Type="http://schemas.openxmlformats.org/officeDocument/2006/relationships/hyperlink" Target="https://www.figma.com/design/AzQaoPVLY9UdbDRMcrxRKx/Tech-%EA%B3%A0%EB%8F%84%ED%99%94?node-id=2165-11287&amp;t=fBNr0AGQOSJcHCXA-4" TargetMode="External"/><Relationship Id="rId269" Type="http://schemas.openxmlformats.org/officeDocument/2006/relationships/hyperlink" Target="https://www.figma.com/design/AzQaoPVLY9UdbDRMcrxRKx/Tech-%EA%B3%A0%EB%8F%84%ED%99%94?node-id=2771-65574&amp;t=fBNr0AGQOSJcHCXA-4" TargetMode="External"/><Relationship Id="rId9" Type="http://schemas.openxmlformats.org/officeDocument/2006/relationships/hyperlink" Target="https://www.figma.com/design/AzQaoPVLY9UdbDRMcrxRKx/Tech-%EA%B3%A0%EB%8F%84%ED%99%94?node-id=2165-11287&amp;t=fBNr0AGQOSJcHCXA-4" TargetMode="External"/><Relationship Id="rId143" Type="http://schemas.openxmlformats.org/officeDocument/2006/relationships/hyperlink" Target="https://www.figma.com/design/AzQaoPVLY9UdbDRMcrxRKx/Tech-%EA%B3%A0%EB%8F%84%ED%99%94?node-id=2165-11287&amp;t=fBNr0AGQOSJcHCXA-4" TargetMode="External"/><Relationship Id="rId264" Type="http://schemas.openxmlformats.org/officeDocument/2006/relationships/hyperlink" Target="https://www.figma.com/design/AzQaoPVLY9UdbDRMcrxRKx/Tech-%EA%B3%A0%EB%8F%84%ED%99%94?node-id=2771-65567&amp;t=fBNr0AGQOSJcHCXA-4" TargetMode="External"/><Relationship Id="rId142" Type="http://schemas.openxmlformats.org/officeDocument/2006/relationships/hyperlink" Target="https://www.figma.com/design/AzQaoPVLY9UdbDRMcrxRKx/Tech-%EA%B3%A0%EB%8F%84%ED%99%94?node-id=2165-11287&amp;t=fBNr0AGQOSJcHCXA-4" TargetMode="External"/><Relationship Id="rId263" Type="http://schemas.openxmlformats.org/officeDocument/2006/relationships/hyperlink" Target="https://www.figma.com/design/AzQaoPVLY9UdbDRMcrxRKx/Tech-%EA%B3%A0%EB%8F%84%ED%99%94?node-id=2771-65567&amp;t=fBNr0AGQOSJcHCXA-4" TargetMode="External"/><Relationship Id="rId141" Type="http://schemas.openxmlformats.org/officeDocument/2006/relationships/hyperlink" Target="https://www.figma.com/design/AzQaoPVLY9UdbDRMcrxRKx/Tech-%EA%B3%A0%EB%8F%84%ED%99%94?node-id=2165-11287&amp;t=fBNr0AGQOSJcHCXA-4" TargetMode="External"/><Relationship Id="rId262" Type="http://schemas.openxmlformats.org/officeDocument/2006/relationships/hyperlink" Target="https://www.figma.com/design/AzQaoPVLY9UdbDRMcrxRKx/Tech-%EA%B3%A0%EB%8F%84%ED%99%94?node-id=2771-65567&amp;t=fBNr0AGQOSJcHCXA-4" TargetMode="External"/><Relationship Id="rId140" Type="http://schemas.openxmlformats.org/officeDocument/2006/relationships/hyperlink" Target="https://smartscoretech.atlassian.net/browse/QA-14851" TargetMode="External"/><Relationship Id="rId261" Type="http://schemas.openxmlformats.org/officeDocument/2006/relationships/hyperlink" Target="https://smartscoretech.atlassian.net/browse/QA-14861" TargetMode="External"/><Relationship Id="rId5" Type="http://schemas.openxmlformats.org/officeDocument/2006/relationships/hyperlink" Target="https://smartscoretech.atlassian.net/browse/QA-14845" TargetMode="External"/><Relationship Id="rId147" Type="http://schemas.openxmlformats.org/officeDocument/2006/relationships/hyperlink" Target="https://www.figma.com/design/AzQaoPVLY9UdbDRMcrxRKx/Tech-%EA%B3%A0%EB%8F%84%ED%99%94?node-id=2165-11287&amp;t=fBNr0AGQOSJcHCXA-4" TargetMode="External"/><Relationship Id="rId268" Type="http://schemas.openxmlformats.org/officeDocument/2006/relationships/hyperlink" Target="https://www.figma.com/design/AzQaoPVLY9UdbDRMcrxRKx/Tech-%EA%B3%A0%EB%8F%84%ED%99%94?node-id=2771-65574&amp;t=fBNr0AGQOSJcHCXA-4" TargetMode="External"/><Relationship Id="rId6" Type="http://schemas.openxmlformats.org/officeDocument/2006/relationships/hyperlink" Target="https://www.figma.com/design/AzQaoPVLY9UdbDRMcrxRKx/Tech-%EA%B3%A0%EB%8F%84%ED%99%94?node-id=2165-11287&amp;t=fBNr0AGQOSJcHCXA-4" TargetMode="External"/><Relationship Id="rId146" Type="http://schemas.openxmlformats.org/officeDocument/2006/relationships/hyperlink" Target="https://smartscoretech.atlassian.net/browse/QA-14851" TargetMode="External"/><Relationship Id="rId267" Type="http://schemas.openxmlformats.org/officeDocument/2006/relationships/hyperlink" Target="https://www.figma.com/design/AzQaoPVLY9UdbDRMcrxRKx/Tech-%EA%B3%A0%EB%8F%84%ED%99%94?node-id=2771-65574&amp;t=fBNr0AGQOSJcHCXA-4" TargetMode="External"/><Relationship Id="rId7" Type="http://schemas.openxmlformats.org/officeDocument/2006/relationships/hyperlink" Target="https://www.figma.com/design/AzQaoPVLY9UdbDRMcrxRKx/Tech-%EA%B3%A0%EB%8F%84%ED%99%94?node-id=2165-11287&amp;t=fBNr0AGQOSJcHCXA-4" TargetMode="External"/><Relationship Id="rId145" Type="http://schemas.openxmlformats.org/officeDocument/2006/relationships/hyperlink" Target="https://www.figma.com/design/AzQaoPVLY9UdbDRMcrxRKx/Tech-%EA%B3%A0%EB%8F%84%ED%99%94?node-id=2165-11287&amp;t=fBNr0AGQOSJcHCXA-4" TargetMode="External"/><Relationship Id="rId266" Type="http://schemas.openxmlformats.org/officeDocument/2006/relationships/hyperlink" Target="https://www.figma.com/design/AzQaoPVLY9UdbDRMcrxRKx/Tech-%EA%B3%A0%EB%8F%84%ED%99%94?node-id=2771-65574&amp;t=fBNr0AGQOSJcHCXA-4" TargetMode="External"/><Relationship Id="rId8" Type="http://schemas.openxmlformats.org/officeDocument/2006/relationships/hyperlink" Target="https://www.figma.com/design/AzQaoPVLY9UdbDRMcrxRKx/Tech-%EA%B3%A0%EB%8F%84%ED%99%94?node-id=2165-11287&amp;t=fBNr0AGQOSJcHCXA-4" TargetMode="External"/><Relationship Id="rId144" Type="http://schemas.openxmlformats.org/officeDocument/2006/relationships/hyperlink" Target="https://www.figma.com/design/AzQaoPVLY9UdbDRMcrxRKx/Tech-%EA%B3%A0%EB%8F%84%ED%99%94?node-id=2165-11287&amp;t=fBNr0AGQOSJcHCXA-4" TargetMode="External"/><Relationship Id="rId265" Type="http://schemas.openxmlformats.org/officeDocument/2006/relationships/hyperlink" Target="https://smartscoretech.atlassian.net/browse/QA-14860" TargetMode="External"/><Relationship Id="rId73" Type="http://schemas.openxmlformats.org/officeDocument/2006/relationships/hyperlink" Target="https://www.figma.com/design/AzQaoPVLY9UdbDRMcrxRKx/Tech-%EA%B3%A0%EB%8F%84%ED%99%94?node-id=2165-11287&amp;t=fBNr0AGQOSJcHCXA-4" TargetMode="External"/><Relationship Id="rId72" Type="http://schemas.openxmlformats.org/officeDocument/2006/relationships/hyperlink" Target="https://www.figma.com/design/AzQaoPVLY9UdbDRMcrxRKx/Tech-%EA%B3%A0%EB%8F%84%ED%99%94?node-id=2165-11287&amp;t=fBNr0AGQOSJcHCXA-4" TargetMode="External"/><Relationship Id="rId75" Type="http://schemas.openxmlformats.org/officeDocument/2006/relationships/hyperlink" Target="https://smartscoretech.atlassian.net/browse/QA-14838" TargetMode="External"/><Relationship Id="rId74" Type="http://schemas.openxmlformats.org/officeDocument/2006/relationships/hyperlink" Target="https://www.figma.com/design/AzQaoPVLY9UdbDRMcrxRKx/Tech-%EA%B3%A0%EB%8F%84%ED%99%94?node-id=2165-11287&amp;t=fBNr0AGQOSJcHCXA-4" TargetMode="External"/><Relationship Id="rId77" Type="http://schemas.openxmlformats.org/officeDocument/2006/relationships/hyperlink" Target="https://www.figma.com/design/AzQaoPVLY9UdbDRMcrxRKx/Tech-%EA%B3%A0%EB%8F%84%ED%99%94?node-id=2165-11287&amp;t=fBNr0AGQOSJcHCXA-4" TargetMode="External"/><Relationship Id="rId260" Type="http://schemas.openxmlformats.org/officeDocument/2006/relationships/hyperlink" Target="https://www.figma.com/design/AzQaoPVLY9UdbDRMcrxRKx/Tech-%EA%B3%A0%EB%8F%84%ED%99%94?node-id=2771-65567&amp;t=fBNr0AGQOSJcHCXA-4" TargetMode="External"/><Relationship Id="rId76" Type="http://schemas.openxmlformats.org/officeDocument/2006/relationships/hyperlink" Target="https://www.figma.com/design/AzQaoPVLY9UdbDRMcrxRKx/Tech-%EA%B3%A0%EB%8F%84%ED%99%94?node-id=2165-11287&amp;t=fBNr0AGQOSJcHCXA-4" TargetMode="External"/><Relationship Id="rId79" Type="http://schemas.openxmlformats.org/officeDocument/2006/relationships/hyperlink" Target="https://www.figma.com/design/AzQaoPVLY9UdbDRMcrxRKx/Tech-%EA%B3%A0%EB%8F%84%ED%99%94?node-id=2165-11287&amp;t=fBNr0AGQOSJcHCXA-4" TargetMode="External"/><Relationship Id="rId78" Type="http://schemas.openxmlformats.org/officeDocument/2006/relationships/hyperlink" Target="https://www.figma.com/design/AzQaoPVLY9UdbDRMcrxRKx/Tech-%EA%B3%A0%EB%8F%84%ED%99%94?node-id=2165-11287&amp;t=fBNr0AGQOSJcHCXA-4" TargetMode="External"/><Relationship Id="rId71" Type="http://schemas.openxmlformats.org/officeDocument/2006/relationships/hyperlink" Target="https://www.figma.com/design/AzQaoPVLY9UdbDRMcrxRKx/Tech-%EA%B3%A0%EB%8F%84%ED%99%94?node-id=2165-11287&amp;t=fBNr0AGQOSJcHCXA-4" TargetMode="External"/><Relationship Id="rId70" Type="http://schemas.openxmlformats.org/officeDocument/2006/relationships/hyperlink" Target="https://smartscoretech.atlassian.net/browse/QA-14845" TargetMode="External"/><Relationship Id="rId139" Type="http://schemas.openxmlformats.org/officeDocument/2006/relationships/hyperlink" Target="https://www.figma.com/design/AzQaoPVLY9UdbDRMcrxRKx/Tech-%EA%B3%A0%EB%8F%84%ED%99%94?node-id=2165-11287&amp;t=fBNr0AGQOSJcHCXA-4" TargetMode="External"/><Relationship Id="rId138" Type="http://schemas.openxmlformats.org/officeDocument/2006/relationships/hyperlink" Target="https://www.figma.com/design/AzQaoPVLY9UdbDRMcrxRKx/Tech-%EA%B3%A0%EB%8F%84%ED%99%94?node-id=2165-11287&amp;t=fBNr0AGQOSJcHCXA-4" TargetMode="External"/><Relationship Id="rId259" Type="http://schemas.openxmlformats.org/officeDocument/2006/relationships/hyperlink" Target="https://smartscoretech.atlassian.net/browse/QA-14861" TargetMode="External"/><Relationship Id="rId137" Type="http://schemas.openxmlformats.org/officeDocument/2006/relationships/hyperlink" Target="https://www.figma.com/design/AzQaoPVLY9UdbDRMcrxRKx/Tech-%EA%B3%A0%EB%8F%84%ED%99%94?node-id=2165-11287&amp;t=fBNr0AGQOSJcHCXA-4" TargetMode="External"/><Relationship Id="rId258" Type="http://schemas.openxmlformats.org/officeDocument/2006/relationships/hyperlink" Target="https://www.figma.com/design/AzQaoPVLY9UdbDRMcrxRKx/Tech-%EA%B3%A0%EB%8F%84%ED%99%94?node-id=2771-65567&amp;t=fBNr0AGQOSJcHCXA-4" TargetMode="External"/><Relationship Id="rId132" Type="http://schemas.openxmlformats.org/officeDocument/2006/relationships/hyperlink" Target="https://www.figma.com/design/AzQaoPVLY9UdbDRMcrxRKx/Tech-%EA%B3%A0%EB%8F%84%ED%99%94?node-id=2165-11287&amp;t=fBNr0AGQOSJcHCXA-4" TargetMode="External"/><Relationship Id="rId253" Type="http://schemas.openxmlformats.org/officeDocument/2006/relationships/hyperlink" Target="https://www.figma.com/design/AzQaoPVLY9UdbDRMcrxRKx/Tech-%EA%B3%A0%EB%8F%84%ED%99%94?node-id=2771-65567&amp;t=fBNr0AGQOSJcHCXA-4" TargetMode="External"/><Relationship Id="rId131" Type="http://schemas.openxmlformats.org/officeDocument/2006/relationships/hyperlink" Target="https://www.figma.com/design/AzQaoPVLY9UdbDRMcrxRKx/Tech-%EA%B3%A0%EB%8F%84%ED%99%94?node-id=2165-11287&amp;t=fBNr0AGQOSJcHCXA-4" TargetMode="External"/><Relationship Id="rId252" Type="http://schemas.openxmlformats.org/officeDocument/2006/relationships/hyperlink" Target="https://www.figma.com/design/AzQaoPVLY9UdbDRMcrxRKx/Tech-%EA%B3%A0%EB%8F%84%ED%99%94?node-id=2771-65560&amp;t=fBNr0AGQOSJcHCXA-4" TargetMode="External"/><Relationship Id="rId130" Type="http://schemas.openxmlformats.org/officeDocument/2006/relationships/hyperlink" Target="https://www.figma.com/design/AzQaoPVLY9UdbDRMcrxRKx/Tech-%EA%B3%A0%EB%8F%84%ED%99%94?node-id=2165-11287&amp;t=fBNr0AGQOSJcHCXA-4" TargetMode="External"/><Relationship Id="rId251" Type="http://schemas.openxmlformats.org/officeDocument/2006/relationships/hyperlink" Target="https://www.figma.com/design/AzQaoPVLY9UdbDRMcrxRKx/Tech-%EA%B3%A0%EB%8F%84%ED%99%94?node-id=2771-65560&amp;t=fBNr0AGQOSJcHCXA-4" TargetMode="External"/><Relationship Id="rId250" Type="http://schemas.openxmlformats.org/officeDocument/2006/relationships/hyperlink" Target="https://www.figma.com/design/AzQaoPVLY9UdbDRMcrxRKx/Tech-%EA%B3%A0%EB%8F%84%ED%99%94?node-id=2771-65560&amp;t=fBNr0AGQOSJcHCXA-4" TargetMode="External"/><Relationship Id="rId136" Type="http://schemas.openxmlformats.org/officeDocument/2006/relationships/hyperlink" Target="https://www.figma.com/design/AzQaoPVLY9UdbDRMcrxRKx/Tech-%EA%B3%A0%EB%8F%84%ED%99%94?node-id=2165-11287&amp;t=fBNr0AGQOSJcHCXA-4" TargetMode="External"/><Relationship Id="rId257" Type="http://schemas.openxmlformats.org/officeDocument/2006/relationships/hyperlink" Target="https://www.figma.com/design/AzQaoPVLY9UdbDRMcrxRKx/Tech-%EA%B3%A0%EB%8F%84%ED%99%94?node-id=2771-65567&amp;t=fBNr0AGQOSJcHCXA-4" TargetMode="External"/><Relationship Id="rId135" Type="http://schemas.openxmlformats.org/officeDocument/2006/relationships/hyperlink" Target="https://www.figma.com/design/AzQaoPVLY9UdbDRMcrxRKx/Tech-%EA%B3%A0%EB%8F%84%ED%99%94?node-id=2165-11287&amp;t=fBNr0AGQOSJcHCXA-4" TargetMode="External"/><Relationship Id="rId256" Type="http://schemas.openxmlformats.org/officeDocument/2006/relationships/hyperlink" Target="https://www.figma.com/design/AzQaoPVLY9UdbDRMcrxRKx/Tech-%EA%B3%A0%EB%8F%84%ED%99%94?node-id=2771-65567&amp;t=fBNr0AGQOSJcHCXA-4" TargetMode="External"/><Relationship Id="rId134" Type="http://schemas.openxmlformats.org/officeDocument/2006/relationships/hyperlink" Target="https://smartscoretech.atlassian.net/browse/QA-14851" TargetMode="External"/><Relationship Id="rId255" Type="http://schemas.openxmlformats.org/officeDocument/2006/relationships/hyperlink" Target="https://www.figma.com/design/AzQaoPVLY9UdbDRMcrxRKx/Tech-%EA%B3%A0%EB%8F%84%ED%99%94?node-id=2771-65567&amp;t=fBNr0AGQOSJcHCXA-4" TargetMode="External"/><Relationship Id="rId133" Type="http://schemas.openxmlformats.org/officeDocument/2006/relationships/hyperlink" Target="https://www.figma.com/design/AzQaoPVLY9UdbDRMcrxRKx/Tech-%EA%B3%A0%EB%8F%84%ED%99%94?node-id=2165-11287&amp;t=fBNr0AGQOSJcHCXA-4" TargetMode="External"/><Relationship Id="rId254" Type="http://schemas.openxmlformats.org/officeDocument/2006/relationships/hyperlink" Target="https://www.figma.com/design/AzQaoPVLY9UdbDRMcrxRKx/Tech-%EA%B3%A0%EB%8F%84%ED%99%94?node-id=2771-65567&amp;t=fBNr0AGQOSJcHCXA-4" TargetMode="External"/><Relationship Id="rId62" Type="http://schemas.openxmlformats.org/officeDocument/2006/relationships/hyperlink" Target="https://www.figma.com/design/AzQaoPVLY9UdbDRMcrxRKx/Tech-%EA%B3%A0%EB%8F%84%ED%99%94?node-id=2165-11287&amp;t=fBNr0AGQOSJcHCXA-4" TargetMode="External"/><Relationship Id="rId61" Type="http://schemas.openxmlformats.org/officeDocument/2006/relationships/hyperlink" Target="https://www.figma.com/design/AzQaoPVLY9UdbDRMcrxRKx/Tech-%EA%B3%A0%EB%8F%84%ED%99%94?node-id=2165-11287&amp;t=fBNr0AGQOSJcHCXA-4" TargetMode="External"/><Relationship Id="rId64" Type="http://schemas.openxmlformats.org/officeDocument/2006/relationships/hyperlink" Target="https://www.figma.com/design/AzQaoPVLY9UdbDRMcrxRKx/Tech-%EA%B3%A0%EB%8F%84%ED%99%94?node-id=2165-11287&amp;t=fBNr0AGQOSJcHCXA-4" TargetMode="External"/><Relationship Id="rId63" Type="http://schemas.openxmlformats.org/officeDocument/2006/relationships/hyperlink" Target="https://www.figma.com/design/AzQaoPVLY9UdbDRMcrxRKx/Tech-%EA%B3%A0%EB%8F%84%ED%99%94?node-id=2165-11287&amp;t=fBNr0AGQOSJcHCXA-4" TargetMode="External"/><Relationship Id="rId66" Type="http://schemas.openxmlformats.org/officeDocument/2006/relationships/hyperlink" Target="https://www.figma.com/design/AzQaoPVLY9UdbDRMcrxRKx/Tech-%EA%B3%A0%EB%8F%84%ED%99%94?node-id=2165-11287&amp;t=fBNr0AGQOSJcHCXA-4" TargetMode="External"/><Relationship Id="rId172" Type="http://schemas.openxmlformats.org/officeDocument/2006/relationships/hyperlink" Target="https://www.figma.com/design/AzQaoPVLY9UdbDRMcrxRKx/Tech-%EA%B3%A0%EB%8F%84%ED%99%94?node-id=2165-11287&amp;t=fBNr0AGQOSJcHCXA-4" TargetMode="External"/><Relationship Id="rId293" Type="http://schemas.openxmlformats.org/officeDocument/2006/relationships/hyperlink" Target="https://smartscoretech.atlassian.net/browse/QA-14869" TargetMode="External"/><Relationship Id="rId65" Type="http://schemas.openxmlformats.org/officeDocument/2006/relationships/hyperlink" Target="https://smartscoretech.atlassian.net/browse/QA-14838" TargetMode="External"/><Relationship Id="rId171" Type="http://schemas.openxmlformats.org/officeDocument/2006/relationships/hyperlink" Target="https://www.figma.com/design/AzQaoPVLY9UdbDRMcrxRKx/Tech-%EA%B3%A0%EB%8F%84%ED%99%94?node-id=2165-11287&amp;t=fBNr0AGQOSJcHCXA-4" TargetMode="External"/><Relationship Id="rId292" Type="http://schemas.openxmlformats.org/officeDocument/2006/relationships/hyperlink" Target="https://www.figma.com/design/AzQaoPVLY9UdbDRMcrxRKx/Tech-%EA%B3%A0%EB%8F%84%ED%99%94?node-id=2771-65581&amp;t=fBNr0AGQOSJcHCXA-4" TargetMode="External"/><Relationship Id="rId68" Type="http://schemas.openxmlformats.org/officeDocument/2006/relationships/hyperlink" Target="https://www.figma.com/design/AzQaoPVLY9UdbDRMcrxRKx/Tech-%EA%B3%A0%EB%8F%84%ED%99%94?node-id=2165-11287&amp;t=fBNr0AGQOSJcHCXA-4" TargetMode="External"/><Relationship Id="rId170" Type="http://schemas.openxmlformats.org/officeDocument/2006/relationships/hyperlink" Target="https://www.figma.com/design/AzQaoPVLY9UdbDRMcrxRKx/Tech-%EA%B3%A0%EB%8F%84%ED%99%94?node-id=2165-11287&amp;t=fBNr0AGQOSJcHCXA-4" TargetMode="External"/><Relationship Id="rId291" Type="http://schemas.openxmlformats.org/officeDocument/2006/relationships/hyperlink" Target="https://www.figma.com/design/AzQaoPVLY9UdbDRMcrxRKx/Tech-%EA%B3%A0%EB%8F%84%ED%99%94?node-id=2771-65581&amp;t=fBNr0AGQOSJcHCXA-4" TargetMode="External"/><Relationship Id="rId67" Type="http://schemas.openxmlformats.org/officeDocument/2006/relationships/hyperlink" Target="https://www.figma.com/design/AzQaoPVLY9UdbDRMcrxRKx/Tech-%EA%B3%A0%EB%8F%84%ED%99%94?node-id=2165-11287&amp;t=fBNr0AGQOSJcHCXA-4" TargetMode="External"/><Relationship Id="rId290" Type="http://schemas.openxmlformats.org/officeDocument/2006/relationships/hyperlink" Target="https://smartscoretech.atlassian.net/browse/QA-14860" TargetMode="External"/><Relationship Id="rId60" Type="http://schemas.openxmlformats.org/officeDocument/2006/relationships/hyperlink" Target="https://smartscoretech.atlassian.net/browse/QA-14845" TargetMode="External"/><Relationship Id="rId165" Type="http://schemas.openxmlformats.org/officeDocument/2006/relationships/hyperlink" Target="https://www.figma.com/design/AzQaoPVLY9UdbDRMcrxRKx/Tech-%EA%B3%A0%EB%8F%84%ED%99%94?node-id=2165-11287&amp;t=fBNr0AGQOSJcHCXA-4" TargetMode="External"/><Relationship Id="rId286" Type="http://schemas.openxmlformats.org/officeDocument/2006/relationships/hyperlink" Target="https://smartscoretech.atlassian.net/browse/QA-14867" TargetMode="External"/><Relationship Id="rId69" Type="http://schemas.openxmlformats.org/officeDocument/2006/relationships/hyperlink" Target="https://www.figma.com/design/AzQaoPVLY9UdbDRMcrxRKx/Tech-%EA%B3%A0%EB%8F%84%ED%99%94?node-id=2165-11287&amp;t=fBNr0AGQOSJcHCXA-4" TargetMode="External"/><Relationship Id="rId164" Type="http://schemas.openxmlformats.org/officeDocument/2006/relationships/hyperlink" Target="https://www.figma.com/design/AzQaoPVLY9UdbDRMcrxRKx/Tech-%EA%B3%A0%EB%8F%84%ED%99%94?node-id=2165-11287&amp;t=fBNr0AGQOSJcHCXA-4" TargetMode="External"/><Relationship Id="rId285" Type="http://schemas.openxmlformats.org/officeDocument/2006/relationships/hyperlink" Target="https://www.figma.com/design/AzQaoPVLY9UdbDRMcrxRKx/Tech-%EA%B3%A0%EB%8F%84%ED%99%94?node-id=2771-65574&amp;t=fBNr0AGQOSJcHCXA-4" TargetMode="External"/><Relationship Id="rId163" Type="http://schemas.openxmlformats.org/officeDocument/2006/relationships/hyperlink" Target="https://www.figma.com/design/AzQaoPVLY9UdbDRMcrxRKx/Tech-%EA%B3%A0%EB%8F%84%ED%99%94?node-id=2165-11287&amp;t=fBNr0AGQOSJcHCXA-4" TargetMode="External"/><Relationship Id="rId284" Type="http://schemas.openxmlformats.org/officeDocument/2006/relationships/hyperlink" Target="https://www.figma.com/design/AzQaoPVLY9UdbDRMcrxRKx/Tech-%EA%B3%A0%EB%8F%84%ED%99%94?node-id=2771-65574&amp;t=fBNr0AGQOSJcHCXA-4" TargetMode="External"/><Relationship Id="rId162" Type="http://schemas.openxmlformats.org/officeDocument/2006/relationships/hyperlink" Target="https://www.figma.com/design/AzQaoPVLY9UdbDRMcrxRKx/Tech-%EA%B3%A0%EB%8F%84%ED%99%94?node-id=2165-11287&amp;t=fBNr0AGQOSJcHCXA-4" TargetMode="External"/><Relationship Id="rId283" Type="http://schemas.openxmlformats.org/officeDocument/2006/relationships/hyperlink" Target="https://smartscoretech.atlassian.net/browse/QA-14867" TargetMode="External"/><Relationship Id="rId169" Type="http://schemas.openxmlformats.org/officeDocument/2006/relationships/hyperlink" Target="https://www.figma.com/design/AzQaoPVLY9UdbDRMcrxRKx/Tech-%EA%B3%A0%EB%8F%84%ED%99%94?node-id=2165-11287&amp;t=fBNr0AGQOSJcHCXA-4" TargetMode="External"/><Relationship Id="rId168" Type="http://schemas.openxmlformats.org/officeDocument/2006/relationships/hyperlink" Target="https://www.figma.com/design/AzQaoPVLY9UdbDRMcrxRKx/Tech-%EA%B3%A0%EB%8F%84%ED%99%94?node-id=2165-11287&amp;t=fBNr0AGQOSJcHCXA-4" TargetMode="External"/><Relationship Id="rId289" Type="http://schemas.openxmlformats.org/officeDocument/2006/relationships/hyperlink" Target="https://www.figma.com/design/AzQaoPVLY9UdbDRMcrxRKx/Tech-%EA%B3%A0%EB%8F%84%ED%99%94?node-id=2771-65574&amp;t=fBNr0AGQOSJcHCXA-4" TargetMode="External"/><Relationship Id="rId167" Type="http://schemas.openxmlformats.org/officeDocument/2006/relationships/hyperlink" Target="https://www.figma.com/design/AzQaoPVLY9UdbDRMcrxRKx/Tech-%EA%B3%A0%EB%8F%84%ED%99%94?node-id=2165-11287&amp;t=fBNr0AGQOSJcHCXA-4" TargetMode="External"/><Relationship Id="rId288" Type="http://schemas.openxmlformats.org/officeDocument/2006/relationships/hyperlink" Target="https://www.figma.com/design/AzQaoPVLY9UdbDRMcrxRKx/Tech-%EA%B3%A0%EB%8F%84%ED%99%94?node-id=2771-65574&amp;t=fBNr0AGQOSJcHCXA-4" TargetMode="External"/><Relationship Id="rId166" Type="http://schemas.openxmlformats.org/officeDocument/2006/relationships/hyperlink" Target="https://www.figma.com/design/AzQaoPVLY9UdbDRMcrxRKx/Tech-%EA%B3%A0%EB%8F%84%ED%99%94?node-id=2165-11287&amp;t=fBNr0AGQOSJcHCXA-4" TargetMode="External"/><Relationship Id="rId287" Type="http://schemas.openxmlformats.org/officeDocument/2006/relationships/hyperlink" Target="https://www.figma.com/design/AzQaoPVLY9UdbDRMcrxRKx/Tech-%EA%B3%A0%EB%8F%84%ED%99%94?node-id=2771-65574&amp;t=fBNr0AGQOSJcHCXA-4" TargetMode="External"/><Relationship Id="rId51" Type="http://schemas.openxmlformats.org/officeDocument/2006/relationships/hyperlink" Target="https://www.figma.com/design/AzQaoPVLY9UdbDRMcrxRKx/Tech-%EA%B3%A0%EB%8F%84%ED%99%94?node-id=2165-11287&amp;t=fBNr0AGQOSJcHCXA-4" TargetMode="External"/><Relationship Id="rId50" Type="http://schemas.openxmlformats.org/officeDocument/2006/relationships/hyperlink" Target="https://www.figma.com/design/AzQaoPVLY9UdbDRMcrxRKx/Tech-%EA%B3%A0%EB%8F%84%ED%99%94?node-id=2165-11287&amp;t=fBNr0AGQOSJcHCXA-4" TargetMode="External"/><Relationship Id="rId53" Type="http://schemas.openxmlformats.org/officeDocument/2006/relationships/hyperlink" Target="https://www.figma.com/design/AzQaoPVLY9UdbDRMcrxRKx/Tech-%EA%B3%A0%EB%8F%84%ED%99%94?node-id=2165-11287&amp;t=fBNr0AGQOSJcHCXA-4" TargetMode="External"/><Relationship Id="rId52" Type="http://schemas.openxmlformats.org/officeDocument/2006/relationships/hyperlink" Target="https://smartscoretech.atlassian.net/browse/QA-14838" TargetMode="External"/><Relationship Id="rId55" Type="http://schemas.openxmlformats.org/officeDocument/2006/relationships/hyperlink" Target="https://www.figma.com/design/AzQaoPVLY9UdbDRMcrxRKx/Tech-%EA%B3%A0%EB%8F%84%ED%99%94?node-id=2165-11287&amp;t=fBNr0AGQOSJcHCXA-4" TargetMode="External"/><Relationship Id="rId161" Type="http://schemas.openxmlformats.org/officeDocument/2006/relationships/hyperlink" Target="https://www.figma.com/design/AzQaoPVLY9UdbDRMcrxRKx/Tech-%EA%B3%A0%EB%8F%84%ED%99%94?node-id=2165-11287&amp;t=fBNr0AGQOSJcHCXA-4" TargetMode="External"/><Relationship Id="rId282" Type="http://schemas.openxmlformats.org/officeDocument/2006/relationships/hyperlink" Target="https://www.figma.com/design/AzQaoPVLY9UdbDRMcrxRKx/Tech-%EA%B3%A0%EB%8F%84%ED%99%94?node-id=2771-65574&amp;t=fBNr0AGQOSJcHCXA-4" TargetMode="External"/><Relationship Id="rId54" Type="http://schemas.openxmlformats.org/officeDocument/2006/relationships/hyperlink" Target="https://www.figma.com/design/AzQaoPVLY9UdbDRMcrxRKx/Tech-%EA%B3%A0%EB%8F%84%ED%99%94?node-id=2165-11287&amp;t=fBNr0AGQOSJcHCXA-4" TargetMode="External"/><Relationship Id="rId160" Type="http://schemas.openxmlformats.org/officeDocument/2006/relationships/hyperlink" Target="https://www.figma.com/design/AzQaoPVLY9UdbDRMcrxRKx/Tech-%EA%B3%A0%EB%8F%84%ED%99%94?node-id=2165-11287&amp;t=fBNr0AGQOSJcHCXA-4" TargetMode="External"/><Relationship Id="rId281" Type="http://schemas.openxmlformats.org/officeDocument/2006/relationships/hyperlink" Target="https://www.figma.com/design/AzQaoPVLY9UdbDRMcrxRKx/Tech-%EA%B3%A0%EB%8F%84%ED%99%94?node-id=2771-65574&amp;t=fBNr0AGQOSJcHCXA-4" TargetMode="External"/><Relationship Id="rId57" Type="http://schemas.openxmlformats.org/officeDocument/2006/relationships/hyperlink" Target="https://www.figma.com/design/AzQaoPVLY9UdbDRMcrxRKx/Tech-%EA%B3%A0%EB%8F%84%ED%99%94?node-id=2165-11287&amp;t=fBNr0AGQOSJcHCXA-4" TargetMode="External"/><Relationship Id="rId280" Type="http://schemas.openxmlformats.org/officeDocument/2006/relationships/hyperlink" Target="https://www.figma.com/design/AzQaoPVLY9UdbDRMcrxRKx/Tech-%EA%B3%A0%EB%8F%84%ED%99%94?node-id=2771-65574&amp;t=fBNr0AGQOSJcHCXA-4" TargetMode="External"/><Relationship Id="rId56" Type="http://schemas.openxmlformats.org/officeDocument/2006/relationships/hyperlink" Target="https://www.figma.com/design/AzQaoPVLY9UdbDRMcrxRKx/Tech-%EA%B3%A0%EB%8F%84%ED%99%94?node-id=2165-11287&amp;t=fBNr0AGQOSJcHCXA-4" TargetMode="External"/><Relationship Id="rId159" Type="http://schemas.openxmlformats.org/officeDocument/2006/relationships/hyperlink" Target="https://www.figma.com/design/AzQaoPVLY9UdbDRMcrxRKx/Tech-%EA%B3%A0%EB%8F%84%ED%99%94?node-id=2165-11287&amp;t=fBNr0AGQOSJcHCXA-4" TargetMode="External"/><Relationship Id="rId59" Type="http://schemas.openxmlformats.org/officeDocument/2006/relationships/hyperlink" Target="https://www.figma.com/design/AzQaoPVLY9UdbDRMcrxRKx/Tech-%EA%B3%A0%EB%8F%84%ED%99%94?node-id=2165-11287&amp;t=fBNr0AGQOSJcHCXA-4" TargetMode="External"/><Relationship Id="rId154" Type="http://schemas.openxmlformats.org/officeDocument/2006/relationships/hyperlink" Target="https://www.figma.com/design/AzQaoPVLY9UdbDRMcrxRKx/Tech-%EA%B3%A0%EB%8F%84%ED%99%94?node-id=2165-11287&amp;t=fBNr0AGQOSJcHCXA-4" TargetMode="External"/><Relationship Id="rId275" Type="http://schemas.openxmlformats.org/officeDocument/2006/relationships/hyperlink" Target="https://www.figma.com/design/AzQaoPVLY9UdbDRMcrxRKx/Tech-%EA%B3%A0%EB%8F%84%ED%99%94?node-id=2771-65574&amp;t=fBNr0AGQOSJcHCXA-4" TargetMode="External"/><Relationship Id="rId58" Type="http://schemas.openxmlformats.org/officeDocument/2006/relationships/hyperlink" Target="https://www.figma.com/design/AzQaoPVLY9UdbDRMcrxRKx/Tech-%EA%B3%A0%EB%8F%84%ED%99%94?node-id=2165-11287&amp;t=fBNr0AGQOSJcHCXA-4" TargetMode="External"/><Relationship Id="rId153" Type="http://schemas.openxmlformats.org/officeDocument/2006/relationships/hyperlink" Target="https://www.figma.com/design/AzQaoPVLY9UdbDRMcrxRKx/Tech-%EA%B3%A0%EB%8F%84%ED%99%94?node-id=2165-11287&amp;t=fBNr0AGQOSJcHCXA-4" TargetMode="External"/><Relationship Id="rId274" Type="http://schemas.openxmlformats.org/officeDocument/2006/relationships/hyperlink" Target="https://smartscoretech.atlassian.net/browse/QA-14867" TargetMode="External"/><Relationship Id="rId152" Type="http://schemas.openxmlformats.org/officeDocument/2006/relationships/hyperlink" Target="https://smartscoretech.atlassian.net/browse/QA-14851" TargetMode="External"/><Relationship Id="rId273" Type="http://schemas.openxmlformats.org/officeDocument/2006/relationships/hyperlink" Target="https://www.figma.com/design/AzQaoPVLY9UdbDRMcrxRKx/Tech-%EA%B3%A0%EB%8F%84%ED%99%94?node-id=2771-65574&amp;t=fBNr0AGQOSJcHCXA-4" TargetMode="External"/><Relationship Id="rId151" Type="http://schemas.openxmlformats.org/officeDocument/2006/relationships/hyperlink" Target="https://www.figma.com/design/AzQaoPVLY9UdbDRMcrxRKx/Tech-%EA%B3%A0%EB%8F%84%ED%99%94?node-id=2165-11287&amp;t=fBNr0AGQOSJcHCXA-4" TargetMode="External"/><Relationship Id="rId272" Type="http://schemas.openxmlformats.org/officeDocument/2006/relationships/hyperlink" Target="https://www.figma.com/design/AzQaoPVLY9UdbDRMcrxRKx/Tech-%EA%B3%A0%EB%8F%84%ED%99%94?node-id=2771-65574&amp;t=fBNr0AGQOSJcHCXA-4" TargetMode="External"/><Relationship Id="rId158" Type="http://schemas.openxmlformats.org/officeDocument/2006/relationships/hyperlink" Target="https://www.figma.com/design/AzQaoPVLY9UdbDRMcrxRKx/Tech-%EA%B3%A0%EB%8F%84%ED%99%94?node-id=2165-11287&amp;t=fBNr0AGQOSJcHCXA-4" TargetMode="External"/><Relationship Id="rId279" Type="http://schemas.openxmlformats.org/officeDocument/2006/relationships/hyperlink" Target="https://www.figma.com/design/AzQaoPVLY9UdbDRMcrxRKx/Tech-%EA%B3%A0%EB%8F%84%ED%99%94?node-id=2771-65574&amp;t=fBNr0AGQOSJcHCXA-4" TargetMode="External"/><Relationship Id="rId157" Type="http://schemas.openxmlformats.org/officeDocument/2006/relationships/hyperlink" Target="https://www.figma.com/design/AzQaoPVLY9UdbDRMcrxRKx/Tech-%EA%B3%A0%EB%8F%84%ED%99%94?node-id=2165-11287&amp;t=fBNr0AGQOSJcHCXA-4" TargetMode="External"/><Relationship Id="rId278" Type="http://schemas.openxmlformats.org/officeDocument/2006/relationships/hyperlink" Target="https://smartscoretech.atlassian.net/browse/QA-14860" TargetMode="External"/><Relationship Id="rId156" Type="http://schemas.openxmlformats.org/officeDocument/2006/relationships/hyperlink" Target="https://www.figma.com/design/AzQaoPVLY9UdbDRMcrxRKx/Tech-%EA%B3%A0%EB%8F%84%ED%99%94?node-id=2165-11287&amp;t=fBNr0AGQOSJcHCXA-4" TargetMode="External"/><Relationship Id="rId277" Type="http://schemas.openxmlformats.org/officeDocument/2006/relationships/hyperlink" Target="https://www.figma.com/design/AzQaoPVLY9UdbDRMcrxRKx/Tech-%EA%B3%A0%EB%8F%84%ED%99%94?node-id=2771-65574&amp;t=fBNr0AGQOSJcHCXA-4" TargetMode="External"/><Relationship Id="rId155" Type="http://schemas.openxmlformats.org/officeDocument/2006/relationships/hyperlink" Target="https://www.figma.com/design/AzQaoPVLY9UdbDRMcrxRKx/Tech-%EA%B3%A0%EB%8F%84%ED%99%94?node-id=2165-11287&amp;t=fBNr0AGQOSJcHCXA-4" TargetMode="External"/><Relationship Id="rId276" Type="http://schemas.openxmlformats.org/officeDocument/2006/relationships/hyperlink" Target="https://www.figma.com/design/AzQaoPVLY9UdbDRMcrxRKx/Tech-%EA%B3%A0%EB%8F%84%ED%99%94?node-id=2771-65574&amp;t=fBNr0AGQOSJcHCXA-4" TargetMode="External"/><Relationship Id="rId107" Type="http://schemas.openxmlformats.org/officeDocument/2006/relationships/hyperlink" Target="https://www.figma.com/design/AzQaoPVLY9UdbDRMcrxRKx/Tech-%EA%B3%A0%EB%8F%84%ED%99%94?node-id=2165-11287&amp;t=fBNr0AGQOSJcHCXA-4" TargetMode="External"/><Relationship Id="rId228" Type="http://schemas.openxmlformats.org/officeDocument/2006/relationships/hyperlink" Target="https://www.figma.com/design/AzQaoPVLY9UdbDRMcrxRKx/Tech-%EA%B3%A0%EB%8F%84%ED%99%94?node-id=919-2806&amp;t=fBNr0AGQOSJcHCXA-4" TargetMode="External"/><Relationship Id="rId106" Type="http://schemas.openxmlformats.org/officeDocument/2006/relationships/hyperlink" Target="https://www.figma.com/design/AzQaoPVLY9UdbDRMcrxRKx/Tech-%EA%B3%A0%EB%8F%84%ED%99%94?node-id=2165-11287&amp;t=fBNr0AGQOSJcHCXA-4" TargetMode="External"/><Relationship Id="rId227" Type="http://schemas.openxmlformats.org/officeDocument/2006/relationships/hyperlink" Target="https://www.figma.com/design/AzQaoPVLY9UdbDRMcrxRKx/Tech-%EA%B3%A0%EB%8F%84%ED%99%94?node-id=919-2806&amp;t=fBNr0AGQOSJcHCXA-4" TargetMode="External"/><Relationship Id="rId105" Type="http://schemas.openxmlformats.org/officeDocument/2006/relationships/hyperlink" Target="https://www.figma.com/design/AzQaoPVLY9UdbDRMcrxRKx/Tech-%EA%B3%A0%EB%8F%84%ED%99%94?node-id=2165-11287&amp;t=fBNr0AGQOSJcHCXA-4" TargetMode="External"/><Relationship Id="rId226" Type="http://schemas.openxmlformats.org/officeDocument/2006/relationships/hyperlink" Target="https://smartscoretech.atlassian.net/browse/QA-14859" TargetMode="External"/><Relationship Id="rId104" Type="http://schemas.openxmlformats.org/officeDocument/2006/relationships/hyperlink" Target="https://www.figma.com/design/AzQaoPVLY9UdbDRMcrxRKx/Tech-%EA%B3%A0%EB%8F%84%ED%99%94?node-id=2165-11287&amp;t=fBNr0AGQOSJcHCXA-4" TargetMode="External"/><Relationship Id="rId225" Type="http://schemas.openxmlformats.org/officeDocument/2006/relationships/hyperlink" Target="https://www.figma.com/design/AzQaoPVLY9UdbDRMcrxRKx/Tech-%EA%B3%A0%EB%8F%84%ED%99%94?node-id=919-2806&amp;t=fBNr0AGQOSJcHCXA-4" TargetMode="External"/><Relationship Id="rId109" Type="http://schemas.openxmlformats.org/officeDocument/2006/relationships/hyperlink" Target="https://www.figma.com/design/AzQaoPVLY9UdbDRMcrxRKx/Tech-%EA%B3%A0%EB%8F%84%ED%99%94?node-id=2165-11287&amp;t=fBNr0AGQOSJcHCXA-4" TargetMode="External"/><Relationship Id="rId108" Type="http://schemas.openxmlformats.org/officeDocument/2006/relationships/hyperlink" Target="https://www.figma.com/design/AzQaoPVLY9UdbDRMcrxRKx/Tech-%EA%B3%A0%EB%8F%84%ED%99%94?node-id=2165-11287&amp;t=fBNr0AGQOSJcHCXA-4" TargetMode="External"/><Relationship Id="rId229" Type="http://schemas.openxmlformats.org/officeDocument/2006/relationships/hyperlink" Target="https://www.figma.com/design/AzQaoPVLY9UdbDRMcrxRKx/Tech-%EA%B3%A0%EB%8F%84%ED%99%94?node-id=919-2806&amp;t=fBNr0AGQOSJcHCXA-4" TargetMode="External"/><Relationship Id="rId220" Type="http://schemas.openxmlformats.org/officeDocument/2006/relationships/hyperlink" Target="https://smartscoretech.atlassian.net/browse/QA-14855" TargetMode="External"/><Relationship Id="rId103" Type="http://schemas.openxmlformats.org/officeDocument/2006/relationships/hyperlink" Target="https://www.figma.com/design/AzQaoPVLY9UdbDRMcrxRKx/Tech-%EA%B3%A0%EB%8F%84%ED%99%94?node-id=2165-11287&amp;t=fBNr0AGQOSJcHCXA-4" TargetMode="External"/><Relationship Id="rId224" Type="http://schemas.openxmlformats.org/officeDocument/2006/relationships/hyperlink" Target="https://smartscoretech.atlassian.net/browse/QA-14859" TargetMode="External"/><Relationship Id="rId102" Type="http://schemas.openxmlformats.org/officeDocument/2006/relationships/hyperlink" Target="https://www.figma.com/design/AzQaoPVLY9UdbDRMcrxRKx/Tech-%EA%B3%A0%EB%8F%84%ED%99%94?node-id=2165-11287&amp;t=fBNr0AGQOSJcHCXA-4" TargetMode="External"/><Relationship Id="rId223" Type="http://schemas.openxmlformats.org/officeDocument/2006/relationships/hyperlink" Target="https://www.figma.com/design/AzQaoPVLY9UdbDRMcrxRKx/Tech-%EA%B3%A0%EB%8F%84%ED%99%94?node-id=919-2806&amp;t=fBNr0AGQOSJcHCXA-4" TargetMode="External"/><Relationship Id="rId101" Type="http://schemas.openxmlformats.org/officeDocument/2006/relationships/hyperlink" Target="https://www.figma.com/design/AzQaoPVLY9UdbDRMcrxRKx/Tech-%EA%B3%A0%EB%8F%84%ED%99%94?node-id=2165-11287&amp;t=fBNr0AGQOSJcHCXA-4" TargetMode="External"/><Relationship Id="rId222" Type="http://schemas.openxmlformats.org/officeDocument/2006/relationships/hyperlink" Target="https://www.figma.com/design/AzQaoPVLY9UdbDRMcrxRKx/Tech-%EA%B3%A0%EB%8F%84%ED%99%94?node-id=919-2806&amp;t=fBNr0AGQOSJcHCXA-4" TargetMode="External"/><Relationship Id="rId100" Type="http://schemas.openxmlformats.org/officeDocument/2006/relationships/hyperlink" Target="https://www.figma.com/design/AzQaoPVLY9UdbDRMcrxRKx/Tech-%EA%B3%A0%EB%8F%84%ED%99%94?node-id=2165-11287&amp;t=fBNr0AGQOSJcHCXA-4" TargetMode="External"/><Relationship Id="rId221" Type="http://schemas.openxmlformats.org/officeDocument/2006/relationships/hyperlink" Target="https://www.figma.com/design/AzQaoPVLY9UdbDRMcrxRKx/Tech-%EA%B3%A0%EB%8F%84%ED%99%94?node-id=919-2806&amp;t=fBNr0AGQOSJcHCXA-4" TargetMode="External"/><Relationship Id="rId217" Type="http://schemas.openxmlformats.org/officeDocument/2006/relationships/hyperlink" Target="https://www.figma.com/design/AzQaoPVLY9UdbDRMcrxRKx/Tech-%EA%B3%A0%EB%8F%84%ED%99%94?node-id=919-2806&amp;t=fBNr0AGQOSJcHCXA-4" TargetMode="External"/><Relationship Id="rId216" Type="http://schemas.openxmlformats.org/officeDocument/2006/relationships/hyperlink" Target="https://www.figma.com/design/AzQaoPVLY9UdbDRMcrxRKx/Tech-%EA%B3%A0%EB%8F%84%ED%99%94?node-id=919-2806&amp;t=fBNr0AGQOSJcHCXA-4" TargetMode="External"/><Relationship Id="rId215" Type="http://schemas.openxmlformats.org/officeDocument/2006/relationships/hyperlink" Target="https://smartscoretech.atlassian.net/browse/QA-14855" TargetMode="External"/><Relationship Id="rId336" Type="http://schemas.openxmlformats.org/officeDocument/2006/relationships/drawing" Target="../drawings/drawing9.xml"/><Relationship Id="rId214" Type="http://schemas.openxmlformats.org/officeDocument/2006/relationships/hyperlink" Target="https://www.figma.com/design/AzQaoPVLY9UdbDRMcrxRKx/Tech-%EA%B3%A0%EB%8F%84%ED%99%94?node-id=919-2806&amp;t=fBNr0AGQOSJcHCXA-4" TargetMode="External"/><Relationship Id="rId335" Type="http://schemas.openxmlformats.org/officeDocument/2006/relationships/hyperlink" Target="https://www.figma.com/design/AzQaoPVLY9UdbDRMcrxRKx/Tech-%EA%B3%A0%EB%8F%84%ED%99%94?node-id=2771-65581&amp;t=fBNr0AGQOSJcHCXA-4" TargetMode="External"/><Relationship Id="rId219" Type="http://schemas.openxmlformats.org/officeDocument/2006/relationships/hyperlink" Target="https://www.figma.com/design/AzQaoPVLY9UdbDRMcrxRKx/Tech-%EA%B3%A0%EB%8F%84%ED%99%94?node-id=919-2806&amp;t=fBNr0AGQOSJcHCXA-4" TargetMode="External"/><Relationship Id="rId218" Type="http://schemas.openxmlformats.org/officeDocument/2006/relationships/hyperlink" Target="https://www.figma.com/design/AzQaoPVLY9UdbDRMcrxRKx/Tech-%EA%B3%A0%EB%8F%84%ED%99%94?node-id=919-2806&amp;t=fBNr0AGQOSJcHCXA-4" TargetMode="External"/><Relationship Id="rId330" Type="http://schemas.openxmlformats.org/officeDocument/2006/relationships/hyperlink" Target="https://www.figma.com/design/AzQaoPVLY9UdbDRMcrxRKx/Tech-%EA%B3%A0%EB%8F%84%ED%99%94?node-id=2771-65581&amp;t=fBNr0AGQOSJcHCXA-4" TargetMode="External"/><Relationship Id="rId213" Type="http://schemas.openxmlformats.org/officeDocument/2006/relationships/hyperlink" Target="https://smartscoretech.atlassian.net/browse/QA-14855" TargetMode="External"/><Relationship Id="rId334" Type="http://schemas.openxmlformats.org/officeDocument/2006/relationships/hyperlink" Target="https://www.figma.com/design/AzQaoPVLY9UdbDRMcrxRKx/Tech-%EA%B3%A0%EB%8F%84%ED%99%94?node-id=2771-65581&amp;t=fBNr0AGQOSJcHCXA-4" TargetMode="External"/><Relationship Id="rId212" Type="http://schemas.openxmlformats.org/officeDocument/2006/relationships/hyperlink" Target="https://www.figma.com/design/AzQaoPVLY9UdbDRMcrxRKx/Tech-%EA%B3%A0%EB%8F%84%ED%99%94?node-id=919-2806&amp;t=fBNr0AGQOSJcHCXA-4" TargetMode="External"/><Relationship Id="rId333" Type="http://schemas.openxmlformats.org/officeDocument/2006/relationships/hyperlink" Target="https://www.figma.com/design/AzQaoPVLY9UdbDRMcrxRKx/Tech-%EA%B3%A0%EB%8F%84%ED%99%94?node-id=2771-65581&amp;t=fBNr0AGQOSJcHCXA-4" TargetMode="External"/><Relationship Id="rId211" Type="http://schemas.openxmlformats.org/officeDocument/2006/relationships/hyperlink" Target="https://www.figma.com/design/AzQaoPVLY9UdbDRMcrxRKx/Tech-%EA%B3%A0%EB%8F%84%ED%99%94?node-id=919-2806&amp;t=fBNr0AGQOSJcHCXA-4" TargetMode="External"/><Relationship Id="rId332" Type="http://schemas.openxmlformats.org/officeDocument/2006/relationships/hyperlink" Target="https://www.figma.com/design/AzQaoPVLY9UdbDRMcrxRKx/Tech-%EA%B3%A0%EB%8F%84%ED%99%94?node-id=2771-65581&amp;t=fBNr0AGQOSJcHCXA-4" TargetMode="External"/><Relationship Id="rId210" Type="http://schemas.openxmlformats.org/officeDocument/2006/relationships/hyperlink" Target="https://www.figma.com/design/AzQaoPVLY9UdbDRMcrxRKx/Tech-%EA%B3%A0%EB%8F%84%ED%99%94?node-id=919-2806&amp;t=fBNr0AGQOSJcHCXA-4" TargetMode="External"/><Relationship Id="rId331" Type="http://schemas.openxmlformats.org/officeDocument/2006/relationships/hyperlink" Target="https://www.figma.com/design/AzQaoPVLY9UdbDRMcrxRKx/Tech-%EA%B3%A0%EB%8F%84%ED%99%94?node-id=2771-65581&amp;t=fBNr0AGQOSJcHCXA-4" TargetMode="External"/><Relationship Id="rId129" Type="http://schemas.openxmlformats.org/officeDocument/2006/relationships/hyperlink" Target="https://www.figma.com/design/AzQaoPVLY9UdbDRMcrxRKx/Tech-%EA%B3%A0%EB%8F%84%ED%99%94?node-id=2165-11287&amp;t=fBNr0AGQOSJcHCXA-4" TargetMode="External"/><Relationship Id="rId128" Type="http://schemas.openxmlformats.org/officeDocument/2006/relationships/hyperlink" Target="https://www.figma.com/design/AzQaoPVLY9UdbDRMcrxRKx/Tech-%EA%B3%A0%EB%8F%84%ED%99%94?node-id=2165-11287&amp;t=fBNr0AGQOSJcHCXA-4" TargetMode="External"/><Relationship Id="rId249" Type="http://schemas.openxmlformats.org/officeDocument/2006/relationships/hyperlink" Target="https://www.figma.com/design/AzQaoPVLY9UdbDRMcrxRKx/Tech-%EA%B3%A0%EB%8F%84%ED%99%94?node-id=2771-65560&amp;t=fBNr0AGQOSJcHCXA-4" TargetMode="External"/><Relationship Id="rId127" Type="http://schemas.openxmlformats.org/officeDocument/2006/relationships/hyperlink" Target="https://www.figma.com/design/AzQaoPVLY9UdbDRMcrxRKx/Tech-%EA%B3%A0%EB%8F%84%ED%99%94?node-id=2165-11287&amp;t=fBNr0AGQOSJcHCXA-4" TargetMode="External"/><Relationship Id="rId248" Type="http://schemas.openxmlformats.org/officeDocument/2006/relationships/hyperlink" Target="https://smartscoretech.atlassian.net/browse/QA-14860" TargetMode="External"/><Relationship Id="rId126" Type="http://schemas.openxmlformats.org/officeDocument/2006/relationships/hyperlink" Target="https://www.figma.com/design/AzQaoPVLY9UdbDRMcrxRKx/Tech-%EA%B3%A0%EB%8F%84%ED%99%94?node-id=2165-11287&amp;t=fBNr0AGQOSJcHCXA-4" TargetMode="External"/><Relationship Id="rId247" Type="http://schemas.openxmlformats.org/officeDocument/2006/relationships/hyperlink" Target="https://www.figma.com/design/AzQaoPVLY9UdbDRMcrxRKx/Tech-%EA%B3%A0%EB%8F%84%ED%99%94?node-id=2771-65553&amp;t=fBNr0AGQOSJcHCXA-4" TargetMode="External"/><Relationship Id="rId121" Type="http://schemas.openxmlformats.org/officeDocument/2006/relationships/hyperlink" Target="https://www.figma.com/design/AzQaoPVLY9UdbDRMcrxRKx/Tech-%EA%B3%A0%EB%8F%84%ED%99%94?node-id=2165-11287&amp;t=fBNr0AGQOSJcHCXA-4" TargetMode="External"/><Relationship Id="rId242" Type="http://schemas.openxmlformats.org/officeDocument/2006/relationships/hyperlink" Target="https://smartscoretech.atlassian.net/browse/QA-14859" TargetMode="External"/><Relationship Id="rId120" Type="http://schemas.openxmlformats.org/officeDocument/2006/relationships/hyperlink" Target="https://www.figma.com/design/AzQaoPVLY9UdbDRMcrxRKx/Tech-%EA%B3%A0%EB%8F%84%ED%99%94?node-id=2165-11287&amp;t=fBNr0AGQOSJcHCXA-4" TargetMode="External"/><Relationship Id="rId241" Type="http://schemas.openxmlformats.org/officeDocument/2006/relationships/hyperlink" Target="https://www.figma.com/design/AzQaoPVLY9UdbDRMcrxRKx/Tech-%EA%B3%A0%EB%8F%84%ED%99%94?node-id=2771-65553&amp;t=fBNr0AGQOSJcHCXA-4" TargetMode="External"/><Relationship Id="rId240" Type="http://schemas.openxmlformats.org/officeDocument/2006/relationships/hyperlink" Target="https://www.figma.com/design/AzQaoPVLY9UdbDRMcrxRKx/Tech-%EA%B3%A0%EB%8F%84%ED%99%94?node-id=2771-65553&amp;t=fBNr0AGQOSJcHCXA-4" TargetMode="External"/><Relationship Id="rId125" Type="http://schemas.openxmlformats.org/officeDocument/2006/relationships/hyperlink" Target="https://www.figma.com/design/AzQaoPVLY9UdbDRMcrxRKx/Tech-%EA%B3%A0%EB%8F%84%ED%99%94?node-id=2165-11287&amp;t=fBNr0AGQOSJcHCXA-4" TargetMode="External"/><Relationship Id="rId246" Type="http://schemas.openxmlformats.org/officeDocument/2006/relationships/hyperlink" Target="https://www.figma.com/design/AzQaoPVLY9UdbDRMcrxRKx/Tech-%EA%B3%A0%EB%8F%84%ED%99%94?node-id=2771-65553&amp;t=fBNr0AGQOSJcHCXA-4" TargetMode="External"/><Relationship Id="rId124" Type="http://schemas.openxmlformats.org/officeDocument/2006/relationships/hyperlink" Target="https://smartscoretech.atlassian.net/browse/QA-14836" TargetMode="External"/><Relationship Id="rId245" Type="http://schemas.openxmlformats.org/officeDocument/2006/relationships/hyperlink" Target="https://www.figma.com/design/AzQaoPVLY9UdbDRMcrxRKx/Tech-%EA%B3%A0%EB%8F%84%ED%99%94?node-id=2771-65553&amp;t=fBNr0AGQOSJcHCXA-4" TargetMode="External"/><Relationship Id="rId123" Type="http://schemas.openxmlformats.org/officeDocument/2006/relationships/hyperlink" Target="https://www.figma.com/design/AzQaoPVLY9UdbDRMcrxRKx/Tech-%EA%B3%A0%EB%8F%84%ED%99%94?node-id=2165-11287&amp;t=fBNr0AGQOSJcHCXA-4" TargetMode="External"/><Relationship Id="rId244" Type="http://schemas.openxmlformats.org/officeDocument/2006/relationships/hyperlink" Target="https://smartscoretech.atlassian.net/browse/QA-14859" TargetMode="External"/><Relationship Id="rId122" Type="http://schemas.openxmlformats.org/officeDocument/2006/relationships/hyperlink" Target="https://smartscoretech.atlassian.net/browse/QA-14836" TargetMode="External"/><Relationship Id="rId243" Type="http://schemas.openxmlformats.org/officeDocument/2006/relationships/hyperlink" Target="https://www.figma.com/design/AzQaoPVLY9UdbDRMcrxRKx/Tech-%EA%B3%A0%EB%8F%84%ED%99%94?node-id=2771-65553&amp;t=fBNr0AGQOSJcHCXA-4" TargetMode="External"/><Relationship Id="rId95" Type="http://schemas.openxmlformats.org/officeDocument/2006/relationships/hyperlink" Target="https://smartscoretech.atlassian.net/browse/QA-14838" TargetMode="External"/><Relationship Id="rId94" Type="http://schemas.openxmlformats.org/officeDocument/2006/relationships/hyperlink" Target="https://www.figma.com/design/AzQaoPVLY9UdbDRMcrxRKx/Tech-%EA%B3%A0%EB%8F%84%ED%99%94?node-id=2165-11287&amp;t=fBNr0AGQOSJcHCXA-4" TargetMode="External"/><Relationship Id="rId97" Type="http://schemas.openxmlformats.org/officeDocument/2006/relationships/hyperlink" Target="https://www.figma.com/design/AzQaoPVLY9UdbDRMcrxRKx/Tech-%EA%B3%A0%EB%8F%84%ED%99%94?node-id=2165-11287&amp;t=fBNr0AGQOSJcHCXA-4" TargetMode="External"/><Relationship Id="rId96" Type="http://schemas.openxmlformats.org/officeDocument/2006/relationships/hyperlink" Target="https://www.figma.com/design/AzQaoPVLY9UdbDRMcrxRKx/Tech-%EA%B3%A0%EB%8F%84%ED%99%94?node-id=2165-11287&amp;t=fBNr0AGQOSJcHCXA-4" TargetMode="External"/><Relationship Id="rId99" Type="http://schemas.openxmlformats.org/officeDocument/2006/relationships/hyperlink" Target="https://www.figma.com/design/AzQaoPVLY9UdbDRMcrxRKx/Tech-%EA%B3%A0%EB%8F%84%ED%99%94?node-id=2165-11287&amp;t=fBNr0AGQOSJcHCXA-4" TargetMode="External"/><Relationship Id="rId98" Type="http://schemas.openxmlformats.org/officeDocument/2006/relationships/hyperlink" Target="https://www.figma.com/design/AzQaoPVLY9UdbDRMcrxRKx/Tech-%EA%B3%A0%EB%8F%84%ED%99%94?node-id=2165-11287&amp;t=fBNr0AGQOSJcHCXA-4" TargetMode="External"/><Relationship Id="rId91" Type="http://schemas.openxmlformats.org/officeDocument/2006/relationships/hyperlink" Target="https://www.figma.com/design/AzQaoPVLY9UdbDRMcrxRKx/Tech-%EA%B3%A0%EB%8F%84%ED%99%94?node-id=2165-11287&amp;t=fBNr0AGQOSJcHCXA-4" TargetMode="External"/><Relationship Id="rId90" Type="http://schemas.openxmlformats.org/officeDocument/2006/relationships/hyperlink" Target="https://smartscoretech.atlassian.net/browse/QA-14845" TargetMode="External"/><Relationship Id="rId93" Type="http://schemas.openxmlformats.org/officeDocument/2006/relationships/hyperlink" Target="https://www.figma.com/design/AzQaoPVLY9UdbDRMcrxRKx/Tech-%EA%B3%A0%EB%8F%84%ED%99%94?node-id=2165-11287&amp;t=fBNr0AGQOSJcHCXA-4" TargetMode="External"/><Relationship Id="rId92" Type="http://schemas.openxmlformats.org/officeDocument/2006/relationships/hyperlink" Target="https://www.figma.com/design/AzQaoPVLY9UdbDRMcrxRKx/Tech-%EA%B3%A0%EB%8F%84%ED%99%94?node-id=2165-11287&amp;t=fBNr0AGQOSJcHCXA-4" TargetMode="External"/><Relationship Id="rId118" Type="http://schemas.openxmlformats.org/officeDocument/2006/relationships/hyperlink" Target="https://www.figma.com/design/AzQaoPVLY9UdbDRMcrxRKx/Tech-%EA%B3%A0%EB%8F%84%ED%99%94?node-id=2165-11287&amp;t=fBNr0AGQOSJcHCXA-4" TargetMode="External"/><Relationship Id="rId239" Type="http://schemas.openxmlformats.org/officeDocument/2006/relationships/hyperlink" Target="https://www.figma.com/design/AzQaoPVLY9UdbDRMcrxRKx/Tech-%EA%B3%A0%EB%8F%84%ED%99%94?node-id=2771-65553&amp;t=fBNr0AGQOSJcHCXA-4" TargetMode="External"/><Relationship Id="rId117" Type="http://schemas.openxmlformats.org/officeDocument/2006/relationships/hyperlink" Target="https://www.figma.com/design/AzQaoPVLY9UdbDRMcrxRKx/Tech-%EA%B3%A0%EB%8F%84%ED%99%94?node-id=2165-11287&amp;t=fBNr0AGQOSJcHCXA-4" TargetMode="External"/><Relationship Id="rId238" Type="http://schemas.openxmlformats.org/officeDocument/2006/relationships/hyperlink" Target="https://smartscoretech.atlassian.net/browse/QA-14855" TargetMode="External"/><Relationship Id="rId116" Type="http://schemas.openxmlformats.org/officeDocument/2006/relationships/hyperlink" Target="https://www.figma.com/design/AzQaoPVLY9UdbDRMcrxRKx/Tech-%EA%B3%A0%EB%8F%84%ED%99%94?node-id=2165-11287&amp;t=fBNr0AGQOSJcHCXA-4" TargetMode="External"/><Relationship Id="rId237" Type="http://schemas.openxmlformats.org/officeDocument/2006/relationships/hyperlink" Target="https://www.figma.com/design/AzQaoPVLY9UdbDRMcrxRKx/Tech-%EA%B3%A0%EB%8F%84%ED%99%94?node-id=2771-65553&amp;t=fBNr0AGQOSJcHCXA-4" TargetMode="External"/><Relationship Id="rId115" Type="http://schemas.openxmlformats.org/officeDocument/2006/relationships/hyperlink" Target="https://www.figma.com/design/AzQaoPVLY9UdbDRMcrxRKx/Tech-%EA%B3%A0%EB%8F%84%ED%99%94?node-id=2165-11287&amp;t=fBNr0AGQOSJcHCXA-4" TargetMode="External"/><Relationship Id="rId236" Type="http://schemas.openxmlformats.org/officeDocument/2006/relationships/hyperlink" Target="https://www.figma.com/design/AzQaoPVLY9UdbDRMcrxRKx/Tech-%EA%B3%A0%EB%8F%84%ED%99%94?node-id=2771-65553&amp;t=fBNr0AGQOSJcHCXA-4" TargetMode="External"/><Relationship Id="rId119" Type="http://schemas.openxmlformats.org/officeDocument/2006/relationships/hyperlink" Target="https://www.figma.com/design/AzQaoPVLY9UdbDRMcrxRKx/Tech-%EA%B3%A0%EB%8F%84%ED%99%94?node-id=2165-11287&amp;t=fBNr0AGQOSJcHCXA-4" TargetMode="External"/><Relationship Id="rId110" Type="http://schemas.openxmlformats.org/officeDocument/2006/relationships/hyperlink" Target="https://www.figma.com/design/AzQaoPVLY9UdbDRMcrxRKx/Tech-%EA%B3%A0%EB%8F%84%ED%99%94?node-id=2165-11287&amp;t=fBNr0AGQOSJcHCXA-4" TargetMode="External"/><Relationship Id="rId231" Type="http://schemas.openxmlformats.org/officeDocument/2006/relationships/hyperlink" Target="https://www.figma.com/design/AzQaoPVLY9UdbDRMcrxRKx/Tech-%EA%B3%A0%EB%8F%84%ED%99%94?node-id=2771-65553&amp;t=fBNr0AGQOSJcHCXA-4" TargetMode="External"/><Relationship Id="rId230" Type="http://schemas.openxmlformats.org/officeDocument/2006/relationships/hyperlink" Target="https://smartscoretech.atlassian.net/browse/QA-14860" TargetMode="External"/><Relationship Id="rId114" Type="http://schemas.openxmlformats.org/officeDocument/2006/relationships/hyperlink" Target="https://www.figma.com/design/AzQaoPVLY9UdbDRMcrxRKx/Tech-%EA%B3%A0%EB%8F%84%ED%99%94?node-id=2165-11287&amp;t=fBNr0AGQOSJcHCXA-4" TargetMode="External"/><Relationship Id="rId235" Type="http://schemas.openxmlformats.org/officeDocument/2006/relationships/hyperlink" Target="https://www.figma.com/design/AzQaoPVLY9UdbDRMcrxRKx/Tech-%EA%B3%A0%EB%8F%84%ED%99%94?node-id=2771-65553&amp;t=fBNr0AGQOSJcHCXA-4" TargetMode="External"/><Relationship Id="rId113" Type="http://schemas.openxmlformats.org/officeDocument/2006/relationships/hyperlink" Target="https://www.figma.com/design/AzQaoPVLY9UdbDRMcrxRKx/Tech-%EA%B3%A0%EB%8F%84%ED%99%94?node-id=2165-11287&amp;t=fBNr0AGQOSJcHCXA-4" TargetMode="External"/><Relationship Id="rId234" Type="http://schemas.openxmlformats.org/officeDocument/2006/relationships/hyperlink" Target="https://www.figma.com/design/AzQaoPVLY9UdbDRMcrxRKx/Tech-%EA%B3%A0%EB%8F%84%ED%99%94?node-id=2771-65553&amp;t=fBNr0AGQOSJcHCXA-4" TargetMode="External"/><Relationship Id="rId112" Type="http://schemas.openxmlformats.org/officeDocument/2006/relationships/hyperlink" Target="https://www.figma.com/design/AzQaoPVLY9UdbDRMcrxRKx/Tech-%EA%B3%A0%EB%8F%84%ED%99%94?node-id=2165-11287&amp;t=fBNr0AGQOSJcHCXA-4" TargetMode="External"/><Relationship Id="rId233" Type="http://schemas.openxmlformats.org/officeDocument/2006/relationships/hyperlink" Target="https://www.figma.com/design/AzQaoPVLY9UdbDRMcrxRKx/Tech-%EA%B3%A0%EB%8F%84%ED%99%94?node-id=2771-65553&amp;t=fBNr0AGQOSJcHCXA-4" TargetMode="External"/><Relationship Id="rId111" Type="http://schemas.openxmlformats.org/officeDocument/2006/relationships/hyperlink" Target="https://www.figma.com/design/AzQaoPVLY9UdbDRMcrxRKx/Tech-%EA%B3%A0%EB%8F%84%ED%99%94?node-id=2165-11287&amp;t=fBNr0AGQOSJcHCXA-4" TargetMode="External"/><Relationship Id="rId232" Type="http://schemas.openxmlformats.org/officeDocument/2006/relationships/hyperlink" Target="https://www.figma.com/design/AzQaoPVLY9UdbDRMcrxRKx/Tech-%EA%B3%A0%EB%8F%84%ED%99%94?node-id=2771-65553&amp;t=fBNr0AGQOSJcHCXA-4" TargetMode="External"/><Relationship Id="rId305" Type="http://schemas.openxmlformats.org/officeDocument/2006/relationships/hyperlink" Target="https://www.figma.com/design/AzQaoPVLY9UdbDRMcrxRKx/Tech-%EA%B3%A0%EB%8F%84%ED%99%94?node-id=2771-65581&amp;t=fBNr0AGQOSJcHCXA-4" TargetMode="External"/><Relationship Id="rId304" Type="http://schemas.openxmlformats.org/officeDocument/2006/relationships/hyperlink" Target="https://www.figma.com/design/AzQaoPVLY9UdbDRMcrxRKx/Tech-%EA%B3%A0%EB%8F%84%ED%99%94?node-id=2771-65581&amp;t=fBNr0AGQOSJcHCXA-4" TargetMode="External"/><Relationship Id="rId303" Type="http://schemas.openxmlformats.org/officeDocument/2006/relationships/hyperlink" Target="https://www.figma.com/design/AzQaoPVLY9UdbDRMcrxRKx/Tech-%EA%B3%A0%EB%8F%84%ED%99%94?node-id=2771-65581&amp;t=fBNr0AGQOSJcHCXA-4" TargetMode="External"/><Relationship Id="rId302" Type="http://schemas.openxmlformats.org/officeDocument/2006/relationships/hyperlink" Target="https://smartscoretech.atlassian.net/browse/QA-14875" TargetMode="External"/><Relationship Id="rId309" Type="http://schemas.openxmlformats.org/officeDocument/2006/relationships/hyperlink" Target="https://smartscoretech.atlassian.net/browse/QA-14875" TargetMode="External"/><Relationship Id="rId308" Type="http://schemas.openxmlformats.org/officeDocument/2006/relationships/hyperlink" Target="https://www.figma.com/design/AzQaoPVLY9UdbDRMcrxRKx/Tech-%EA%B3%A0%EB%8F%84%ED%99%94?node-id=2771-65581&amp;t=fBNr0AGQOSJcHCXA-4" TargetMode="External"/><Relationship Id="rId307" Type="http://schemas.openxmlformats.org/officeDocument/2006/relationships/hyperlink" Target="https://www.figma.com/design/AzQaoPVLY9UdbDRMcrxRKx/Tech-%EA%B3%A0%EB%8F%84%ED%99%94?node-id=2771-65581&amp;t=fBNr0AGQOSJcHCXA-4" TargetMode="External"/><Relationship Id="rId306" Type="http://schemas.openxmlformats.org/officeDocument/2006/relationships/hyperlink" Target="https://www.figma.com/design/AzQaoPVLY9UdbDRMcrxRKx/Tech-%EA%B3%A0%EB%8F%84%ED%99%94?node-id=2771-65581&amp;t=fBNr0AGQOSJcHCXA-4" TargetMode="External"/><Relationship Id="rId301" Type="http://schemas.openxmlformats.org/officeDocument/2006/relationships/hyperlink" Target="https://www.figma.com/design/AzQaoPVLY9UdbDRMcrxRKx/Tech-%EA%B3%A0%EB%8F%84%ED%99%94?node-id=2771-65581&amp;t=fBNr0AGQOSJcHCXA-4" TargetMode="External"/><Relationship Id="rId300" Type="http://schemas.openxmlformats.org/officeDocument/2006/relationships/hyperlink" Target="https://www.figma.com/design/AzQaoPVLY9UdbDRMcrxRKx/Tech-%EA%B3%A0%EB%8F%84%ED%99%94?node-id=2771-65581&amp;t=fBNr0AGQOSJcHCXA-4" TargetMode="External"/><Relationship Id="rId206" Type="http://schemas.openxmlformats.org/officeDocument/2006/relationships/hyperlink" Target="https://www.figma.com/design/AzQaoPVLY9UdbDRMcrxRKx/Tech-%EA%B3%A0%EB%8F%84%ED%99%94?node-id=2165-11287&amp;t=fBNr0AGQOSJcHCXA-4" TargetMode="External"/><Relationship Id="rId327" Type="http://schemas.openxmlformats.org/officeDocument/2006/relationships/hyperlink" Target="https://www.figma.com/design/AzQaoPVLY9UdbDRMcrxRKx/Tech-%EA%B3%A0%EB%8F%84%ED%99%94?node-id=2771-65581&amp;t=fBNr0AGQOSJcHCXA-4" TargetMode="External"/><Relationship Id="rId205" Type="http://schemas.openxmlformats.org/officeDocument/2006/relationships/hyperlink" Target="https://www.figma.com/design/AzQaoPVLY9UdbDRMcrxRKx/Tech-%EA%B3%A0%EB%8F%84%ED%99%94?node-id=2165-11287&amp;t=fBNr0AGQOSJcHCXA-4" TargetMode="External"/><Relationship Id="rId326" Type="http://schemas.openxmlformats.org/officeDocument/2006/relationships/hyperlink" Target="https://www.figma.com/design/AzQaoPVLY9UdbDRMcrxRKx/Tech-%EA%B3%A0%EB%8F%84%ED%99%94?node-id=2771-65581&amp;t=fBNr0AGQOSJcHCXA-4" TargetMode="External"/><Relationship Id="rId204" Type="http://schemas.openxmlformats.org/officeDocument/2006/relationships/hyperlink" Target="https://www.figma.com/design/AzQaoPVLY9UdbDRMcrxRKx/Tech-%EA%B3%A0%EB%8F%84%ED%99%94?node-id=2165-11287&amp;t=fBNr0AGQOSJcHCXA-4" TargetMode="External"/><Relationship Id="rId325" Type="http://schemas.openxmlformats.org/officeDocument/2006/relationships/hyperlink" Target="https://www.figma.com/design/AzQaoPVLY9UdbDRMcrxRKx/Tech-%EA%B3%A0%EB%8F%84%ED%99%94?node-id=2771-65581&amp;t=fBNr0AGQOSJcHCXA-4" TargetMode="External"/><Relationship Id="rId203" Type="http://schemas.openxmlformats.org/officeDocument/2006/relationships/hyperlink" Target="https://www.figma.com/design/AzQaoPVLY9UdbDRMcrxRKx/Tech-%EA%B3%A0%EB%8F%84%ED%99%94?node-id=2165-11287&amp;t=fBNr0AGQOSJcHCXA-4" TargetMode="External"/><Relationship Id="rId324" Type="http://schemas.openxmlformats.org/officeDocument/2006/relationships/hyperlink" Target="https://www.figma.com/design/AzQaoPVLY9UdbDRMcrxRKx/Tech-%EA%B3%A0%EB%8F%84%ED%99%94?node-id=2771-65581&amp;t=fBNr0AGQOSJcHCXA-4" TargetMode="External"/><Relationship Id="rId209" Type="http://schemas.openxmlformats.org/officeDocument/2006/relationships/hyperlink" Target="https://www.figma.com/design/AzQaoPVLY9UdbDRMcrxRKx/Tech-%EA%B3%A0%EB%8F%84%ED%99%94?node-id=919-2806&amp;t=fBNr0AGQOSJcHCXA-4" TargetMode="External"/><Relationship Id="rId208" Type="http://schemas.openxmlformats.org/officeDocument/2006/relationships/hyperlink" Target="https://smartscoretech.atlassian.net/browse/QA-14855" TargetMode="External"/><Relationship Id="rId329" Type="http://schemas.openxmlformats.org/officeDocument/2006/relationships/hyperlink" Target="https://www.figma.com/design/AzQaoPVLY9UdbDRMcrxRKx/Tech-%EA%B3%A0%EB%8F%84%ED%99%94?node-id=2771-65581&amp;t=fBNr0AGQOSJcHCXA-4" TargetMode="External"/><Relationship Id="rId207" Type="http://schemas.openxmlformats.org/officeDocument/2006/relationships/hyperlink" Target="https://www.figma.com/design/AzQaoPVLY9UdbDRMcrxRKx/Tech-%EA%B3%A0%EB%8F%84%ED%99%94?node-id=919-2806&amp;t=fBNr0AGQOSJcHCXA-4" TargetMode="External"/><Relationship Id="rId328" Type="http://schemas.openxmlformats.org/officeDocument/2006/relationships/hyperlink" Target="https://www.figma.com/design/AzQaoPVLY9UdbDRMcrxRKx/Tech-%EA%B3%A0%EB%8F%84%ED%99%94?node-id=2771-65581&amp;t=fBNr0AGQOSJcHCXA-4" TargetMode="External"/><Relationship Id="rId202" Type="http://schemas.openxmlformats.org/officeDocument/2006/relationships/hyperlink" Target="https://www.figma.com/design/AzQaoPVLY9UdbDRMcrxRKx/Tech-%EA%B3%A0%EB%8F%84%ED%99%94?node-id=2165-11287&amp;t=fBNr0AGQOSJcHCXA-4" TargetMode="External"/><Relationship Id="rId323" Type="http://schemas.openxmlformats.org/officeDocument/2006/relationships/hyperlink" Target="https://www.figma.com/design/AzQaoPVLY9UdbDRMcrxRKx/Tech-%EA%B3%A0%EB%8F%84%ED%99%94?node-id=2771-65581&amp;t=fBNr0AGQOSJcHCXA-4" TargetMode="External"/><Relationship Id="rId201" Type="http://schemas.openxmlformats.org/officeDocument/2006/relationships/hyperlink" Target="https://www.figma.com/design/AzQaoPVLY9UdbDRMcrxRKx/Tech-%EA%B3%A0%EB%8F%84%ED%99%94?node-id=2165-11287&amp;t=fBNr0AGQOSJcHCXA-4" TargetMode="External"/><Relationship Id="rId322" Type="http://schemas.openxmlformats.org/officeDocument/2006/relationships/hyperlink" Target="https://www.figma.com/design/AzQaoPVLY9UdbDRMcrxRKx/Tech-%EA%B3%A0%EB%8F%84%ED%99%94?node-id=2771-65581&amp;t=fBNr0AGQOSJcHCXA-4" TargetMode="External"/><Relationship Id="rId200" Type="http://schemas.openxmlformats.org/officeDocument/2006/relationships/hyperlink" Target="https://www.figma.com/design/AzQaoPVLY9UdbDRMcrxRKx/Tech-%EA%B3%A0%EB%8F%84%ED%99%94?node-id=2165-11287&amp;t=fBNr0AGQOSJcHCXA-4" TargetMode="External"/><Relationship Id="rId321" Type="http://schemas.openxmlformats.org/officeDocument/2006/relationships/hyperlink" Target="https://www.figma.com/design/AzQaoPVLY9UdbDRMcrxRKx/Tech-%EA%B3%A0%EB%8F%84%ED%99%94?node-id=2771-65581&amp;t=fBNr0AGQOSJcHCXA-4" TargetMode="External"/><Relationship Id="rId320" Type="http://schemas.openxmlformats.org/officeDocument/2006/relationships/hyperlink" Target="https://www.figma.com/design/AzQaoPVLY9UdbDRMcrxRKx/Tech-%EA%B3%A0%EB%8F%84%ED%99%94?node-id=2771-65581&amp;t=fBNr0AGQOSJcHCXA-4" TargetMode="External"/><Relationship Id="rId316" Type="http://schemas.openxmlformats.org/officeDocument/2006/relationships/hyperlink" Target="https://www.figma.com/design/AzQaoPVLY9UdbDRMcrxRKx/Tech-%EA%B3%A0%EB%8F%84%ED%99%94?node-id=2771-65581&amp;t=fBNr0AGQOSJcHCXA-4" TargetMode="External"/><Relationship Id="rId315" Type="http://schemas.openxmlformats.org/officeDocument/2006/relationships/hyperlink" Target="https://www.figma.com/design/AzQaoPVLY9UdbDRMcrxRKx/Tech-%EA%B3%A0%EB%8F%84%ED%99%94?node-id=2771-65581&amp;t=fBNr0AGQOSJcHCXA-4" TargetMode="External"/><Relationship Id="rId314" Type="http://schemas.openxmlformats.org/officeDocument/2006/relationships/hyperlink" Target="https://www.figma.com/design/AzQaoPVLY9UdbDRMcrxRKx/Tech-%EA%B3%A0%EB%8F%84%ED%99%94?node-id=2771-65581&amp;t=fBNr0AGQOSJcHCXA-4" TargetMode="External"/><Relationship Id="rId313" Type="http://schemas.openxmlformats.org/officeDocument/2006/relationships/hyperlink" Target="https://smartscoretech.atlassian.net/browse/QA-14876" TargetMode="External"/><Relationship Id="rId319" Type="http://schemas.openxmlformats.org/officeDocument/2006/relationships/hyperlink" Target="https://www.figma.com/design/AzQaoPVLY9UdbDRMcrxRKx/Tech-%EA%B3%A0%EB%8F%84%ED%99%94?node-id=2771-65581&amp;t=fBNr0AGQOSJcHCXA-4" TargetMode="External"/><Relationship Id="rId318" Type="http://schemas.openxmlformats.org/officeDocument/2006/relationships/hyperlink" Target="https://www.figma.com/design/AzQaoPVLY9UdbDRMcrxRKx/Tech-%EA%B3%A0%EB%8F%84%ED%99%94?node-id=2771-65581&amp;t=fBNr0AGQOSJcHCXA-4" TargetMode="External"/><Relationship Id="rId317" Type="http://schemas.openxmlformats.org/officeDocument/2006/relationships/hyperlink" Target="https://www.figma.com/design/AzQaoPVLY9UdbDRMcrxRKx/Tech-%EA%B3%A0%EB%8F%84%ED%99%94?node-id=2771-65581&amp;t=fBNr0AGQOSJcHCXA-4" TargetMode="External"/><Relationship Id="rId312" Type="http://schemas.openxmlformats.org/officeDocument/2006/relationships/hyperlink" Target="https://www.figma.com/design/AzQaoPVLY9UdbDRMcrxRKx/Tech-%EA%B3%A0%EB%8F%84%ED%99%94?node-id=2771-65581&amp;t=fBNr0AGQOSJcHCXA-4" TargetMode="External"/><Relationship Id="rId311" Type="http://schemas.openxmlformats.org/officeDocument/2006/relationships/hyperlink" Target="https://www.figma.com/design/AzQaoPVLY9UdbDRMcrxRKx/Tech-%EA%B3%A0%EB%8F%84%ED%99%94?node-id=2771-65581&amp;t=fBNr0AGQOSJcHCXA-4" TargetMode="External"/><Relationship Id="rId310" Type="http://schemas.openxmlformats.org/officeDocument/2006/relationships/hyperlink" Target="https://www.figma.com/design/AzQaoPVLY9UdbDRMcrxRKx/Tech-%EA%B3%A0%EB%8F%84%ED%99%94?node-id=2771-65581&amp;t=fBNr0AGQOSJcHCXA-4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AzQaoPVLY9UdbDRMcrxRKx/Tech-%EA%B3%A0%EB%8F%84%ED%99%94?node-id=919-5465&amp;t=G1w56tqYUuvqtKx8-4" TargetMode="External"/><Relationship Id="rId190" Type="http://schemas.openxmlformats.org/officeDocument/2006/relationships/hyperlink" Target="https://www.figma.com/design/AzQaoPVLY9UdbDRMcrxRKx/Tech-%EA%B3%A0%EB%8F%84%ED%99%94?node-id=1608-16383&amp;t=G1w56tqYUuvqtKx8-4" TargetMode="External"/><Relationship Id="rId42" Type="http://schemas.openxmlformats.org/officeDocument/2006/relationships/hyperlink" Target="https://www.figma.com/design/AzQaoPVLY9UdbDRMcrxRKx/Tech-%EA%B3%A0%EB%8F%84%ED%99%94?node-id=919-5465&amp;t=G1w56tqYUuvqtKx8-4" TargetMode="External"/><Relationship Id="rId41" Type="http://schemas.openxmlformats.org/officeDocument/2006/relationships/hyperlink" Target="https://www.figma.com/design/AzQaoPVLY9UdbDRMcrxRKx/Tech-%EA%B3%A0%EB%8F%84%ED%99%94?node-id=919-5465&amp;t=G1w56tqYUuvqtKx8-4" TargetMode="External"/><Relationship Id="rId44" Type="http://schemas.openxmlformats.org/officeDocument/2006/relationships/hyperlink" Target="https://www.figma.com/design/AzQaoPVLY9UdbDRMcrxRKx/Tech-%EA%B3%A0%EB%8F%84%ED%99%94?node-id=919-5465&amp;t=G1w56tqYUuvqtKx8-4" TargetMode="External"/><Relationship Id="rId194" Type="http://schemas.openxmlformats.org/officeDocument/2006/relationships/hyperlink" Target="https://www.figma.com/design/AzQaoPVLY9UdbDRMcrxRKx/Tech-%EA%B3%A0%EB%8F%84%ED%99%94?node-id=1608-16383&amp;t=G1w56tqYUuvqtKx8-4" TargetMode="External"/><Relationship Id="rId43" Type="http://schemas.openxmlformats.org/officeDocument/2006/relationships/hyperlink" Target="https://smartscoretech.atlassian.net/browse/QA-14848" TargetMode="External"/><Relationship Id="rId193" Type="http://schemas.openxmlformats.org/officeDocument/2006/relationships/hyperlink" Target="https://www.figma.com/design/AzQaoPVLY9UdbDRMcrxRKx/Tech-%EA%B3%A0%EB%8F%84%ED%99%94?node-id=1608-16383&amp;t=G1w56tqYUuvqtKx8-4" TargetMode="External"/><Relationship Id="rId46" Type="http://schemas.openxmlformats.org/officeDocument/2006/relationships/hyperlink" Target="https://www.figma.com/design/AzQaoPVLY9UdbDRMcrxRKx/Tech-%EA%B3%A0%EB%8F%84%ED%99%94?node-id=919-5465&amp;t=G1w56tqYUuvqtKx8-4" TargetMode="External"/><Relationship Id="rId192" Type="http://schemas.openxmlformats.org/officeDocument/2006/relationships/hyperlink" Target="https://www.figma.com/design/AzQaoPVLY9UdbDRMcrxRKx/Tech-%EA%B3%A0%EB%8F%84%ED%99%94?node-id=1608-16383&amp;t=G1w56tqYUuvqtKx8-4" TargetMode="External"/><Relationship Id="rId45" Type="http://schemas.openxmlformats.org/officeDocument/2006/relationships/hyperlink" Target="https://smartscoretech.atlassian.net/browse/QA-14848" TargetMode="External"/><Relationship Id="rId191" Type="http://schemas.openxmlformats.org/officeDocument/2006/relationships/hyperlink" Target="https://www.figma.com/design/AzQaoPVLY9UdbDRMcrxRKx/Tech-%EA%B3%A0%EB%8F%84%ED%99%94?node-id=1608-16383&amp;t=G1w56tqYUuvqtKx8-4" TargetMode="External"/><Relationship Id="rId48" Type="http://schemas.openxmlformats.org/officeDocument/2006/relationships/hyperlink" Target="https://www.figma.com/design/AzQaoPVLY9UdbDRMcrxRKx/Tech-%EA%B3%A0%EB%8F%84%ED%99%94?node-id=919-5465&amp;t=G1w56tqYUuvqtKx8-4" TargetMode="External"/><Relationship Id="rId187" Type="http://schemas.openxmlformats.org/officeDocument/2006/relationships/hyperlink" Target="https://www.figma.com/design/AzQaoPVLY9UdbDRMcrxRKx/Tech-%EA%B3%A0%EB%8F%84%ED%99%94?node-id=1608-16383&amp;t=G1w56tqYUuvqtKx8-4" TargetMode="External"/><Relationship Id="rId47" Type="http://schemas.openxmlformats.org/officeDocument/2006/relationships/hyperlink" Target="https://smartscoretech.atlassian.net/browse/QA-14848" TargetMode="External"/><Relationship Id="rId186" Type="http://schemas.openxmlformats.org/officeDocument/2006/relationships/hyperlink" Target="https://www.figma.com/design/AzQaoPVLY9UdbDRMcrxRKx/Tech-%EA%B3%A0%EB%8F%84%ED%99%94?node-id=1608-16383&amp;t=G1w56tqYUuvqtKx8-4" TargetMode="External"/><Relationship Id="rId185" Type="http://schemas.openxmlformats.org/officeDocument/2006/relationships/hyperlink" Target="https://www.figma.com/design/AzQaoPVLY9UdbDRMcrxRKx/Tech-%EA%B3%A0%EB%8F%84%ED%99%94?node-id=1608-16383&amp;t=G1w56tqYUuvqtKx8-4" TargetMode="External"/><Relationship Id="rId49" Type="http://schemas.openxmlformats.org/officeDocument/2006/relationships/hyperlink" Target="https://www.figma.com/design/AzQaoPVLY9UdbDRMcrxRKx/Tech-%EA%B3%A0%EB%8F%84%ED%99%94?node-id=919-5465&amp;t=G1w56tqYUuvqtKx8-4" TargetMode="External"/><Relationship Id="rId184" Type="http://schemas.openxmlformats.org/officeDocument/2006/relationships/hyperlink" Target="https://www.figma.com/design/AzQaoPVLY9UdbDRMcrxRKx/Tech-%EA%B3%A0%EB%8F%84%ED%99%94?node-id=1608-16383&amp;t=G1w56tqYUuvqtKx8-4" TargetMode="External"/><Relationship Id="rId189" Type="http://schemas.openxmlformats.org/officeDocument/2006/relationships/hyperlink" Target="https://www.figma.com/design/AzQaoPVLY9UdbDRMcrxRKx/Tech-%EA%B3%A0%EB%8F%84%ED%99%94?node-id=1608-16383&amp;t=G1w56tqYUuvqtKx8-4" TargetMode="External"/><Relationship Id="rId188" Type="http://schemas.openxmlformats.org/officeDocument/2006/relationships/hyperlink" Target="https://www.figma.com/design/AzQaoPVLY9UdbDRMcrxRKx/Tech-%EA%B3%A0%EB%8F%84%ED%99%94?node-id=1608-16383&amp;t=G1w56tqYUuvqtKx8-4" TargetMode="External"/><Relationship Id="rId31" Type="http://schemas.openxmlformats.org/officeDocument/2006/relationships/hyperlink" Target="https://smartscoretech.atlassian.net/browse/QA-14830" TargetMode="External"/><Relationship Id="rId30" Type="http://schemas.openxmlformats.org/officeDocument/2006/relationships/hyperlink" Target="https://www.figma.com/design/AzQaoPVLY9UdbDRMcrxRKx/Tech-%EA%B3%A0%EB%8F%84%ED%99%94?node-id=919-5465&amp;t=G1w56tqYUuvqtKx8-4" TargetMode="External"/><Relationship Id="rId33" Type="http://schemas.openxmlformats.org/officeDocument/2006/relationships/hyperlink" Target="https://www.figma.com/design/AzQaoPVLY9UdbDRMcrxRKx/Tech-%EA%B3%A0%EB%8F%84%ED%99%94?node-id=919-5465&amp;t=G1w56tqYUuvqtKx8-4" TargetMode="External"/><Relationship Id="rId183" Type="http://schemas.openxmlformats.org/officeDocument/2006/relationships/hyperlink" Target="https://www.figma.com/design/AzQaoPVLY9UdbDRMcrxRKx/Tech-%EA%B3%A0%EB%8F%84%ED%99%94?node-id=1608-16383&amp;t=G1w56tqYUuvqtKx8-4" TargetMode="External"/><Relationship Id="rId32" Type="http://schemas.openxmlformats.org/officeDocument/2006/relationships/hyperlink" Target="https://www.figma.com/design/AzQaoPVLY9UdbDRMcrxRKx/Tech-%EA%B3%A0%EB%8F%84%ED%99%94?node-id=919-5465&amp;t=G1w56tqYUuvqtKx8-4" TargetMode="External"/><Relationship Id="rId182" Type="http://schemas.openxmlformats.org/officeDocument/2006/relationships/hyperlink" Target="https://www.figma.com/design/AzQaoPVLY9UdbDRMcrxRKx/Tech-%EA%B3%A0%EB%8F%84%ED%99%94?node-id=1608-16383&amp;t=G1w56tqYUuvqtKx8-4" TargetMode="External"/><Relationship Id="rId35" Type="http://schemas.openxmlformats.org/officeDocument/2006/relationships/hyperlink" Target="https://www.figma.com/design/AzQaoPVLY9UdbDRMcrxRKx/Tech-%EA%B3%A0%EB%8F%84%ED%99%94?node-id=919-5465&amp;t=G1w56tqYUuvqtKx8-4" TargetMode="External"/><Relationship Id="rId181" Type="http://schemas.openxmlformats.org/officeDocument/2006/relationships/hyperlink" Target="https://www.figma.com/design/AzQaoPVLY9UdbDRMcrxRKx/Tech-%EA%B3%A0%EB%8F%84%ED%99%94?node-id=1608-16383&amp;t=G1w56tqYUuvqtKx8-4" TargetMode="External"/><Relationship Id="rId34" Type="http://schemas.openxmlformats.org/officeDocument/2006/relationships/hyperlink" Target="https://www.figma.com/design/AzQaoPVLY9UdbDRMcrxRKx/Tech-%EA%B3%A0%EB%8F%84%ED%99%94?node-id=919-5465&amp;t=G1w56tqYUuvqtKx8-4" TargetMode="External"/><Relationship Id="rId180" Type="http://schemas.openxmlformats.org/officeDocument/2006/relationships/hyperlink" Target="https://www.figma.com/design/AzQaoPVLY9UdbDRMcrxRKx/Tech-%EA%B3%A0%EB%8F%84%ED%99%94?node-id=1608-16383&amp;t=G1w56tqYUuvqtKx8-4" TargetMode="External"/><Relationship Id="rId37" Type="http://schemas.openxmlformats.org/officeDocument/2006/relationships/hyperlink" Target="https://smartscoretech.atlassian.net/browse/QA-14835" TargetMode="External"/><Relationship Id="rId176" Type="http://schemas.openxmlformats.org/officeDocument/2006/relationships/hyperlink" Target="https://www.figma.com/design/AzQaoPVLY9UdbDRMcrxRKx/Tech-%EA%B3%A0%EB%8F%84%ED%99%94?node-id=1608-16383&amp;t=G1w56tqYUuvqtKx8-4" TargetMode="External"/><Relationship Id="rId36" Type="http://schemas.openxmlformats.org/officeDocument/2006/relationships/hyperlink" Target="https://www.figma.com/design/AzQaoPVLY9UdbDRMcrxRKx/Tech-%EA%B3%A0%EB%8F%84%ED%99%94?node-id=919-5465&amp;t=G1w56tqYUuvqtKx8-4" TargetMode="External"/><Relationship Id="rId175" Type="http://schemas.openxmlformats.org/officeDocument/2006/relationships/hyperlink" Target="https://www.figma.com/design/AzQaoPVLY9UdbDRMcrxRKx/Tech-%EA%B3%A0%EB%8F%84%ED%99%94?node-id=1608-16383&amp;t=G1w56tqYUuvqtKx8-4" TargetMode="External"/><Relationship Id="rId39" Type="http://schemas.openxmlformats.org/officeDocument/2006/relationships/hyperlink" Target="https://www.figma.com/design/AzQaoPVLY9UdbDRMcrxRKx/Tech-%EA%B3%A0%EB%8F%84%ED%99%94?node-id=919-5465&amp;t=G1w56tqYUuvqtKx8-4" TargetMode="External"/><Relationship Id="rId174" Type="http://schemas.openxmlformats.org/officeDocument/2006/relationships/hyperlink" Target="https://www.figma.com/design/AzQaoPVLY9UdbDRMcrxRKx/Tech-%EA%B3%A0%EB%8F%84%ED%99%94?node-id=1608-16383&amp;t=G1w56tqYUuvqtKx8-4" TargetMode="External"/><Relationship Id="rId38" Type="http://schemas.openxmlformats.org/officeDocument/2006/relationships/hyperlink" Target="https://www.figma.com/design/AzQaoPVLY9UdbDRMcrxRKx/Tech-%EA%B3%A0%EB%8F%84%ED%99%94?node-id=919-5465&amp;t=G1w56tqYUuvqtKx8-4" TargetMode="External"/><Relationship Id="rId173" Type="http://schemas.openxmlformats.org/officeDocument/2006/relationships/hyperlink" Target="https://www.figma.com/design/AzQaoPVLY9UdbDRMcrxRKx/Tech-%EA%B3%A0%EB%8F%84%ED%99%94?node-id=1608-16383&amp;t=G1w56tqYUuvqtKx8-4" TargetMode="External"/><Relationship Id="rId179" Type="http://schemas.openxmlformats.org/officeDocument/2006/relationships/hyperlink" Target="https://www.figma.com/design/AzQaoPVLY9UdbDRMcrxRKx/Tech-%EA%B3%A0%EB%8F%84%ED%99%94?node-id=1608-16383&amp;t=G1w56tqYUuvqtKx8-4" TargetMode="External"/><Relationship Id="rId178" Type="http://schemas.openxmlformats.org/officeDocument/2006/relationships/hyperlink" Target="https://www.figma.com/design/AzQaoPVLY9UdbDRMcrxRKx/Tech-%EA%B3%A0%EB%8F%84%ED%99%94?node-id=1608-16383&amp;t=G1w56tqYUuvqtKx8-4" TargetMode="External"/><Relationship Id="rId177" Type="http://schemas.openxmlformats.org/officeDocument/2006/relationships/hyperlink" Target="https://www.figma.com/design/AzQaoPVLY9UdbDRMcrxRKx/Tech-%EA%B3%A0%EB%8F%84%ED%99%94?node-id=1608-16383&amp;t=G1w56tqYUuvqtKx8-4" TargetMode="External"/><Relationship Id="rId20" Type="http://schemas.openxmlformats.org/officeDocument/2006/relationships/hyperlink" Target="https://www.figma.com/design/AzQaoPVLY9UdbDRMcrxRKx/Tech-%EA%B3%A0%EB%8F%84%ED%99%94?node-id=919-5465&amp;t=G1w56tqYUuvqtKx8-4" TargetMode="External"/><Relationship Id="rId22" Type="http://schemas.openxmlformats.org/officeDocument/2006/relationships/hyperlink" Target="https://www.figma.com/design/AzQaoPVLY9UdbDRMcrxRKx/Tech-%EA%B3%A0%EB%8F%84%ED%99%94?node-id=919-5465&amp;t=G1w56tqYUuvqtKx8-4" TargetMode="External"/><Relationship Id="rId21" Type="http://schemas.openxmlformats.org/officeDocument/2006/relationships/hyperlink" Target="https://www.figma.com/design/AzQaoPVLY9UdbDRMcrxRKx/Tech-%EA%B3%A0%EB%8F%84%ED%99%94?node-id=919-5465&amp;t=G1w56tqYUuvqtKx8-4" TargetMode="External"/><Relationship Id="rId24" Type="http://schemas.openxmlformats.org/officeDocument/2006/relationships/hyperlink" Target="https://smartscoretech.atlassian.net/browse/QA-14818" TargetMode="External"/><Relationship Id="rId23" Type="http://schemas.openxmlformats.org/officeDocument/2006/relationships/hyperlink" Target="https://www.figma.com/design/AzQaoPVLY9UdbDRMcrxRKx/Tech-%EA%B3%A0%EB%8F%84%ED%99%94?node-id=919-5465&amp;t=G1w56tqYUuvqtKx8-4" TargetMode="External"/><Relationship Id="rId26" Type="http://schemas.openxmlformats.org/officeDocument/2006/relationships/hyperlink" Target="https://smartscoretech.atlassian.net/browse/QA-14826" TargetMode="External"/><Relationship Id="rId25" Type="http://schemas.openxmlformats.org/officeDocument/2006/relationships/hyperlink" Target="https://www.figma.com/design/AzQaoPVLY9UdbDRMcrxRKx/Tech-%EA%B3%A0%EB%8F%84%ED%99%94?node-id=919-5465&amp;t=G1w56tqYUuvqtKx8-4" TargetMode="External"/><Relationship Id="rId28" Type="http://schemas.openxmlformats.org/officeDocument/2006/relationships/hyperlink" Target="https://smartscoretech.atlassian.net/browse/QA-14826" TargetMode="External"/><Relationship Id="rId27" Type="http://schemas.openxmlformats.org/officeDocument/2006/relationships/hyperlink" Target="https://www.figma.com/design/AzQaoPVLY9UdbDRMcrxRKx/Tech-%EA%B3%A0%EB%8F%84%ED%99%94?node-id=919-5465&amp;t=G1w56tqYUuvqtKx8-4" TargetMode="External"/><Relationship Id="rId29" Type="http://schemas.openxmlformats.org/officeDocument/2006/relationships/hyperlink" Target="https://www.figma.com/design/AzQaoPVLY9UdbDRMcrxRKx/Tech-%EA%B3%A0%EB%8F%84%ED%99%94?node-id=919-5465&amp;t=G1w56tqYUuvqtKx8-4" TargetMode="External"/><Relationship Id="rId11" Type="http://schemas.openxmlformats.org/officeDocument/2006/relationships/hyperlink" Target="https://smartscoretech.atlassian.net/browse/QA-14819" TargetMode="External"/><Relationship Id="rId10" Type="http://schemas.openxmlformats.org/officeDocument/2006/relationships/hyperlink" Target="https://www.figma.com/design/AzQaoPVLY9UdbDRMcrxRKx/Tech-%EA%B3%A0%EB%8F%84%ED%99%94?node-id=919-5465&amp;t=G1w56tqYUuvqtKx8-4" TargetMode="External"/><Relationship Id="rId13" Type="http://schemas.openxmlformats.org/officeDocument/2006/relationships/hyperlink" Target="https://www.figma.com/design/AzQaoPVLY9UdbDRMcrxRKx/Tech-%EA%B3%A0%EB%8F%84%ED%99%94?node-id=919-5465&amp;t=G1w56tqYUuvqtKx8-4" TargetMode="External"/><Relationship Id="rId12" Type="http://schemas.openxmlformats.org/officeDocument/2006/relationships/hyperlink" Target="https://www.figma.com/design/AzQaoPVLY9UdbDRMcrxRKx/Tech-%EA%B3%A0%EB%8F%84%ED%99%94?node-id=919-5465&amp;t=G1w56tqYUuvqtKx8-4" TargetMode="External"/><Relationship Id="rId15" Type="http://schemas.openxmlformats.org/officeDocument/2006/relationships/hyperlink" Target="https://www.figma.com/design/AzQaoPVLY9UdbDRMcrxRKx/Tech-%EA%B3%A0%EB%8F%84%ED%99%94?node-id=919-5465&amp;t=G1w56tqYUuvqtKx8-4" TargetMode="External"/><Relationship Id="rId14" Type="http://schemas.openxmlformats.org/officeDocument/2006/relationships/hyperlink" Target="https://www.figma.com/design/AzQaoPVLY9UdbDRMcrxRKx/Tech-%EA%B3%A0%EB%8F%84%ED%99%94?node-id=919-5465&amp;t=G1w56tqYUuvqtKx8-4" TargetMode="External"/><Relationship Id="rId17" Type="http://schemas.openxmlformats.org/officeDocument/2006/relationships/hyperlink" Target="https://www.figma.com/design/AzQaoPVLY9UdbDRMcrxRKx/Tech-%EA%B3%A0%EB%8F%84%ED%99%94?node-id=919-5465&amp;t=G1w56tqYUuvqtKx8-4" TargetMode="External"/><Relationship Id="rId196" Type="http://schemas.openxmlformats.org/officeDocument/2006/relationships/drawing" Target="../drawings/drawing10.xml"/><Relationship Id="rId16" Type="http://schemas.openxmlformats.org/officeDocument/2006/relationships/hyperlink" Target="https://www.figma.com/design/AzQaoPVLY9UdbDRMcrxRKx/Tech-%EA%B3%A0%EB%8F%84%ED%99%94?node-id=919-5465&amp;t=G1w56tqYUuvqtKx8-4" TargetMode="External"/><Relationship Id="rId195" Type="http://schemas.openxmlformats.org/officeDocument/2006/relationships/hyperlink" Target="https://www.figma.com/design/AzQaoPVLY9UdbDRMcrxRKx/Tech-%EA%B3%A0%EB%8F%84%ED%99%94?node-id=1608-16383&amp;t=G1w56tqYUuvqtKx8-4" TargetMode="External"/><Relationship Id="rId19" Type="http://schemas.openxmlformats.org/officeDocument/2006/relationships/hyperlink" Target="https://www.figma.com/design/AzQaoPVLY9UdbDRMcrxRKx/Tech-%EA%B3%A0%EB%8F%84%ED%99%94?node-id=919-5465&amp;t=G1w56tqYUuvqtKx8-4" TargetMode="External"/><Relationship Id="rId18" Type="http://schemas.openxmlformats.org/officeDocument/2006/relationships/hyperlink" Target="https://www.figma.com/design/AzQaoPVLY9UdbDRMcrxRKx/Tech-%EA%B3%A0%EB%8F%84%ED%99%94?node-id=919-5465&amp;t=G1w56tqYUuvqtKx8-4" TargetMode="External"/><Relationship Id="rId84" Type="http://schemas.openxmlformats.org/officeDocument/2006/relationships/hyperlink" Target="https://smartscoretech.atlassian.net/browse/QA-14842" TargetMode="External"/><Relationship Id="rId83" Type="http://schemas.openxmlformats.org/officeDocument/2006/relationships/hyperlink" Target="https://www.figma.com/design/AzQaoPVLY9UdbDRMcrxRKx/Tech-%EA%B3%A0%EB%8F%84%ED%99%94?node-id=919-5465&amp;t=G1w56tqYUuvqtKx8-4" TargetMode="External"/><Relationship Id="rId86" Type="http://schemas.openxmlformats.org/officeDocument/2006/relationships/hyperlink" Target="https://www.figma.com/design/AzQaoPVLY9UdbDRMcrxRKx/Tech-%EA%B3%A0%EB%8F%84%ED%99%94?node-id=919-5465&amp;t=G1w56tqYUuvqtKx8-4" TargetMode="External"/><Relationship Id="rId85" Type="http://schemas.openxmlformats.org/officeDocument/2006/relationships/hyperlink" Target="https://www.figma.com/design/AzQaoPVLY9UdbDRMcrxRKx/Tech-%EA%B3%A0%EB%8F%84%ED%99%94?node-id=919-5465&amp;t=G1w56tqYUuvqtKx8-4" TargetMode="External"/><Relationship Id="rId88" Type="http://schemas.openxmlformats.org/officeDocument/2006/relationships/hyperlink" Target="https://smartscoretech.atlassian.net/browse/QA-14842" TargetMode="External"/><Relationship Id="rId150" Type="http://schemas.openxmlformats.org/officeDocument/2006/relationships/hyperlink" Target="https://www.figma.com/design/AzQaoPVLY9UdbDRMcrxRKx/Tech-%EA%B3%A0%EB%8F%84%ED%99%94?node-id=1608-16091&amp;t=G1w56tqYUuvqtKx8-4" TargetMode="External"/><Relationship Id="rId87" Type="http://schemas.openxmlformats.org/officeDocument/2006/relationships/hyperlink" Target="https://www.figma.com/design/AzQaoPVLY9UdbDRMcrxRKx/Tech-%EA%B3%A0%EB%8F%84%ED%99%94?node-id=919-5465&amp;t=G1w56tqYUuvqtKx8-4" TargetMode="External"/><Relationship Id="rId89" Type="http://schemas.openxmlformats.org/officeDocument/2006/relationships/hyperlink" Target="https://www.figma.com/design/AzQaoPVLY9UdbDRMcrxRKx/Tech-%EA%B3%A0%EB%8F%84%ED%99%94?node-id=919-5465&amp;t=G1w56tqYUuvqtKx8-4" TargetMode="External"/><Relationship Id="rId80" Type="http://schemas.openxmlformats.org/officeDocument/2006/relationships/hyperlink" Target="https://www.figma.com/design/AzQaoPVLY9UdbDRMcrxRKx/Tech-%EA%B3%A0%EB%8F%84%ED%99%94?node-id=919-5465&amp;t=G1w56tqYUuvqtKx8-4" TargetMode="External"/><Relationship Id="rId82" Type="http://schemas.openxmlformats.org/officeDocument/2006/relationships/hyperlink" Target="https://www.figma.com/design/AzQaoPVLY9UdbDRMcrxRKx/Tech-%EA%B3%A0%EB%8F%84%ED%99%94?node-id=919-5465&amp;t=G1w56tqYUuvqtKx8-4" TargetMode="External"/><Relationship Id="rId81" Type="http://schemas.openxmlformats.org/officeDocument/2006/relationships/hyperlink" Target="https://www.figma.com/design/AzQaoPVLY9UdbDRMcrxRKx/Tech-%EA%B3%A0%EB%8F%84%ED%99%94?node-id=919-5465&amp;t=G1w56tqYUuvqtKx8-4" TargetMode="External"/><Relationship Id="rId1" Type="http://schemas.openxmlformats.org/officeDocument/2006/relationships/hyperlink" Target="https://www.figma.com/design/AzQaoPVLY9UdbDRMcrxRKx/Tech-%EA%B3%A0%EB%8F%84%ED%99%94?node-id=919-5465&amp;t=G1w56tqYUuvqtKx8-4" TargetMode="External"/><Relationship Id="rId2" Type="http://schemas.openxmlformats.org/officeDocument/2006/relationships/hyperlink" Target="https://smartscoretech.atlassian.net/browse/QA-14818" TargetMode="External"/><Relationship Id="rId3" Type="http://schemas.openxmlformats.org/officeDocument/2006/relationships/hyperlink" Target="https://www.figma.com/design/AzQaoPVLY9UdbDRMcrxRKx/Tech-%EA%B3%A0%EB%8F%84%ED%99%94?node-id=919-5465&amp;t=G1w56tqYUuvqtKx8-4" TargetMode="External"/><Relationship Id="rId149" Type="http://schemas.openxmlformats.org/officeDocument/2006/relationships/hyperlink" Target="https://www.figma.com/design/AzQaoPVLY9UdbDRMcrxRKx/Tech-%EA%B3%A0%EB%8F%84%ED%99%94?node-id=1608-16091&amp;t=G1w56tqYUuvqtKx8-4" TargetMode="External"/><Relationship Id="rId4" Type="http://schemas.openxmlformats.org/officeDocument/2006/relationships/hyperlink" Target="https://www.figma.com/design/AzQaoPVLY9UdbDRMcrxRKx/Tech-%EA%B3%A0%EB%8F%84%ED%99%94?node-id=919-5465&amp;t=G1w56tqYUuvqtKx8-4" TargetMode="External"/><Relationship Id="rId148" Type="http://schemas.openxmlformats.org/officeDocument/2006/relationships/hyperlink" Target="https://www.figma.com/design/AzQaoPVLY9UdbDRMcrxRKx/Tech-%EA%B3%A0%EB%8F%84%ED%99%94?node-id=1608-16091&amp;t=G1w56tqYUuvqtKx8-4" TargetMode="External"/><Relationship Id="rId9" Type="http://schemas.openxmlformats.org/officeDocument/2006/relationships/hyperlink" Target="https://www.figma.com/design/AzQaoPVLY9UdbDRMcrxRKx/Tech-%EA%B3%A0%EB%8F%84%ED%99%94?node-id=919-5465&amp;t=G1w56tqYUuvqtKx8-4" TargetMode="External"/><Relationship Id="rId143" Type="http://schemas.openxmlformats.org/officeDocument/2006/relationships/hyperlink" Target="https://www.figma.com/design/AzQaoPVLY9UdbDRMcrxRKx/Tech-%EA%B3%A0%EB%8F%84%ED%99%94?node-id=3500-11031&amp;t=G1w56tqYUuvqtKx8-4" TargetMode="External"/><Relationship Id="rId142" Type="http://schemas.openxmlformats.org/officeDocument/2006/relationships/hyperlink" Target="https://www.figma.com/design/AzQaoPVLY9UdbDRMcrxRKx/Tech-%EA%B3%A0%EB%8F%84%ED%99%94?node-id=3500-11031&amp;t=G1w56tqYUuvqtKx8-4" TargetMode="External"/><Relationship Id="rId141" Type="http://schemas.openxmlformats.org/officeDocument/2006/relationships/hyperlink" Target="https://www.figma.com/design/AzQaoPVLY9UdbDRMcrxRKx/Tech-%EA%B3%A0%EB%8F%84%ED%99%94?node-id=3500-11031&amp;t=G1w56tqYUuvqtKx8-4" TargetMode="External"/><Relationship Id="rId140" Type="http://schemas.openxmlformats.org/officeDocument/2006/relationships/hyperlink" Target="https://www.figma.com/design/AzQaoPVLY9UdbDRMcrxRKx/Tech-%EA%B3%A0%EB%8F%84%ED%99%94?node-id=3500-11031&amp;t=G1w56tqYUuvqtKx8-4" TargetMode="External"/><Relationship Id="rId5" Type="http://schemas.openxmlformats.org/officeDocument/2006/relationships/hyperlink" Target="https://www.figma.com/design/AzQaoPVLY9UdbDRMcrxRKx/Tech-%EA%B3%A0%EB%8F%84%ED%99%94?node-id=919-5465&amp;t=G1w56tqYUuvqtKx8-4" TargetMode="External"/><Relationship Id="rId147" Type="http://schemas.openxmlformats.org/officeDocument/2006/relationships/hyperlink" Target="https://www.figma.com/design/AzQaoPVLY9UdbDRMcrxRKx/Tech-%EA%B3%A0%EB%8F%84%ED%99%94?node-id=1608-16091&amp;t=G1w56tqYUuvqtKx8-4" TargetMode="External"/><Relationship Id="rId6" Type="http://schemas.openxmlformats.org/officeDocument/2006/relationships/hyperlink" Target="https://www.figma.com/design/AzQaoPVLY9UdbDRMcrxRKx/Tech-%EA%B3%A0%EB%8F%84%ED%99%94?node-id=919-5465&amp;t=G1w56tqYUuvqtKx8-4" TargetMode="External"/><Relationship Id="rId146" Type="http://schemas.openxmlformats.org/officeDocument/2006/relationships/hyperlink" Target="https://www.figma.com/design/AzQaoPVLY9UdbDRMcrxRKx/Tech-%EA%B3%A0%EB%8F%84%ED%99%94?node-id=1608-16091&amp;t=G1w56tqYUuvqtKx8-4" TargetMode="External"/><Relationship Id="rId7" Type="http://schemas.openxmlformats.org/officeDocument/2006/relationships/hyperlink" Target="https://www.figma.com/design/AzQaoPVLY9UdbDRMcrxRKx/Tech-%EA%B3%A0%EB%8F%84%ED%99%94?node-id=919-5465&amp;t=G1w56tqYUuvqtKx8-4" TargetMode="External"/><Relationship Id="rId145" Type="http://schemas.openxmlformats.org/officeDocument/2006/relationships/hyperlink" Target="https://www.figma.com/design/AzQaoPVLY9UdbDRMcrxRKx/Tech-%EA%B3%A0%EB%8F%84%ED%99%94?node-id=1608-16091&amp;t=G1w56tqYUuvqtKx8-4" TargetMode="External"/><Relationship Id="rId8" Type="http://schemas.openxmlformats.org/officeDocument/2006/relationships/hyperlink" Target="https://www.figma.com/design/AzQaoPVLY9UdbDRMcrxRKx/Tech-%EA%B3%A0%EB%8F%84%ED%99%94?node-id=919-5465&amp;t=G1w56tqYUuvqtKx8-4" TargetMode="External"/><Relationship Id="rId144" Type="http://schemas.openxmlformats.org/officeDocument/2006/relationships/hyperlink" Target="https://www.figma.com/design/AzQaoPVLY9UdbDRMcrxRKx/Tech-%EA%B3%A0%EB%8F%84%ED%99%94?node-id=1608-16091&amp;t=G1w56tqYUuvqtKx8-4" TargetMode="External"/><Relationship Id="rId73" Type="http://schemas.openxmlformats.org/officeDocument/2006/relationships/hyperlink" Target="https://www.figma.com/design/AzQaoPVLY9UdbDRMcrxRKx/Tech-%EA%B3%A0%EB%8F%84%ED%99%94?node-id=919-5465&amp;t=G1w56tqYUuvqtKx8-4" TargetMode="External"/><Relationship Id="rId72" Type="http://schemas.openxmlformats.org/officeDocument/2006/relationships/hyperlink" Target="https://www.figma.com/design/AzQaoPVLY9UdbDRMcrxRKx/Tech-%EA%B3%A0%EB%8F%84%ED%99%94?node-id=919-5465&amp;t=G1w56tqYUuvqtKx8-4" TargetMode="External"/><Relationship Id="rId75" Type="http://schemas.openxmlformats.org/officeDocument/2006/relationships/hyperlink" Target="https://www.figma.com/design/AzQaoPVLY9UdbDRMcrxRKx/Tech-%EA%B3%A0%EB%8F%84%ED%99%94?node-id=919-5465&amp;t=G1w56tqYUuvqtKx8-4" TargetMode="External"/><Relationship Id="rId74" Type="http://schemas.openxmlformats.org/officeDocument/2006/relationships/hyperlink" Target="https://www.figma.com/design/AzQaoPVLY9UdbDRMcrxRKx/Tech-%EA%B3%A0%EB%8F%84%ED%99%94?node-id=919-5465&amp;t=G1w56tqYUuvqtKx8-4" TargetMode="External"/><Relationship Id="rId77" Type="http://schemas.openxmlformats.org/officeDocument/2006/relationships/hyperlink" Target="https://www.figma.com/design/AzQaoPVLY9UdbDRMcrxRKx/Tech-%EA%B3%A0%EB%8F%84%ED%99%94?node-id=919-5465&amp;t=G1w56tqYUuvqtKx8-4" TargetMode="External"/><Relationship Id="rId76" Type="http://schemas.openxmlformats.org/officeDocument/2006/relationships/hyperlink" Target="https://www.figma.com/design/AzQaoPVLY9UdbDRMcrxRKx/Tech-%EA%B3%A0%EB%8F%84%ED%99%94?node-id=919-5465&amp;t=G1w56tqYUuvqtKx8-4" TargetMode="External"/><Relationship Id="rId79" Type="http://schemas.openxmlformats.org/officeDocument/2006/relationships/hyperlink" Target="https://www.figma.com/design/AzQaoPVLY9UdbDRMcrxRKx/Tech-%EA%B3%A0%EB%8F%84%ED%99%94?node-id=919-5465&amp;t=G1w56tqYUuvqtKx8-4" TargetMode="External"/><Relationship Id="rId78" Type="http://schemas.openxmlformats.org/officeDocument/2006/relationships/hyperlink" Target="https://www.figma.com/design/AzQaoPVLY9UdbDRMcrxRKx/Tech-%EA%B3%A0%EB%8F%84%ED%99%94?node-id=919-5465&amp;t=G1w56tqYUuvqtKx8-4" TargetMode="External"/><Relationship Id="rId71" Type="http://schemas.openxmlformats.org/officeDocument/2006/relationships/hyperlink" Target="https://www.figma.com/design/AzQaoPVLY9UdbDRMcrxRKx/Tech-%EA%B3%A0%EB%8F%84%ED%99%94?node-id=919-5465&amp;t=G1w56tqYUuvqtKx8-4" TargetMode="External"/><Relationship Id="rId70" Type="http://schemas.openxmlformats.org/officeDocument/2006/relationships/hyperlink" Target="https://www.figma.com/design/AzQaoPVLY9UdbDRMcrxRKx/Tech-%EA%B3%A0%EB%8F%84%ED%99%94?node-id=919-5465&amp;t=G1w56tqYUuvqtKx8-4" TargetMode="External"/><Relationship Id="rId139" Type="http://schemas.openxmlformats.org/officeDocument/2006/relationships/hyperlink" Target="https://www.figma.com/design/AzQaoPVLY9UdbDRMcrxRKx/Tech-%EA%B3%A0%EB%8F%84%ED%99%94?node-id=3500-11031&amp;t=G1w56tqYUuvqtKx8-4" TargetMode="External"/><Relationship Id="rId138" Type="http://schemas.openxmlformats.org/officeDocument/2006/relationships/hyperlink" Target="https://www.figma.com/design/AzQaoPVLY9UdbDRMcrxRKx/Tech-%EA%B3%A0%EB%8F%84%ED%99%94?node-id=3500-11031&amp;t=G1w56tqYUuvqtKx8-4" TargetMode="External"/><Relationship Id="rId137" Type="http://schemas.openxmlformats.org/officeDocument/2006/relationships/hyperlink" Target="https://www.figma.com/design/AzQaoPVLY9UdbDRMcrxRKx/Tech-%EA%B3%A0%EB%8F%84%ED%99%94?node-id=3500-11031&amp;t=G1w56tqYUuvqtKx8-4" TargetMode="External"/><Relationship Id="rId132" Type="http://schemas.openxmlformats.org/officeDocument/2006/relationships/hyperlink" Target="https://www.figma.com/design/AzQaoPVLY9UdbDRMcrxRKx/Tech-%EA%B3%A0%EB%8F%84%ED%99%94?node-id=3500-11031&amp;t=G1w56tqYUuvqtKx8-4" TargetMode="External"/><Relationship Id="rId131" Type="http://schemas.openxmlformats.org/officeDocument/2006/relationships/hyperlink" Target="https://www.figma.com/design/AzQaoPVLY9UdbDRMcrxRKx/Tech-%EA%B3%A0%EB%8F%84%ED%99%94?node-id=3500-11031&amp;t=G1w56tqYUuvqtKx8-4" TargetMode="External"/><Relationship Id="rId130" Type="http://schemas.openxmlformats.org/officeDocument/2006/relationships/hyperlink" Target="https://www.figma.com/design/AzQaoPVLY9UdbDRMcrxRKx/Tech-%EA%B3%A0%EB%8F%84%ED%99%94?node-id=3500-11031&amp;t=G1w56tqYUuvqtKx8-4" TargetMode="External"/><Relationship Id="rId136" Type="http://schemas.openxmlformats.org/officeDocument/2006/relationships/hyperlink" Target="https://www.figma.com/design/AzQaoPVLY9UdbDRMcrxRKx/Tech-%EA%B3%A0%EB%8F%84%ED%99%94?node-id=3500-11031&amp;t=G1w56tqYUuvqtKx8-4" TargetMode="External"/><Relationship Id="rId135" Type="http://schemas.openxmlformats.org/officeDocument/2006/relationships/hyperlink" Target="https://www.figma.com/design/AzQaoPVLY9UdbDRMcrxRKx/Tech-%EA%B3%A0%EB%8F%84%ED%99%94?node-id=3500-11031&amp;t=G1w56tqYUuvqtKx8-4" TargetMode="External"/><Relationship Id="rId134" Type="http://schemas.openxmlformats.org/officeDocument/2006/relationships/hyperlink" Target="https://www.figma.com/design/AzQaoPVLY9UdbDRMcrxRKx/Tech-%EA%B3%A0%EB%8F%84%ED%99%94?node-id=3500-11031&amp;t=G1w56tqYUuvqtKx8-4" TargetMode="External"/><Relationship Id="rId133" Type="http://schemas.openxmlformats.org/officeDocument/2006/relationships/hyperlink" Target="https://www.figma.com/design/AzQaoPVLY9UdbDRMcrxRKx/Tech-%EA%B3%A0%EB%8F%84%ED%99%94?node-id=3500-11031&amp;t=G1w56tqYUuvqtKx8-4" TargetMode="External"/><Relationship Id="rId62" Type="http://schemas.openxmlformats.org/officeDocument/2006/relationships/hyperlink" Target="https://www.figma.com/design/AzQaoPVLY9UdbDRMcrxRKx/Tech-%EA%B3%A0%EB%8F%84%ED%99%94?node-id=919-5465&amp;t=G1w56tqYUuvqtKx8-4" TargetMode="External"/><Relationship Id="rId61" Type="http://schemas.openxmlformats.org/officeDocument/2006/relationships/hyperlink" Target="https://www.figma.com/design/AzQaoPVLY9UdbDRMcrxRKx/Tech-%EA%B3%A0%EB%8F%84%ED%99%94?node-id=919-5465&amp;t=G1w56tqYUuvqtKx8-4" TargetMode="External"/><Relationship Id="rId64" Type="http://schemas.openxmlformats.org/officeDocument/2006/relationships/hyperlink" Target="https://www.figma.com/design/AzQaoPVLY9UdbDRMcrxRKx/Tech-%EA%B3%A0%EB%8F%84%ED%99%94?node-id=919-5465&amp;t=G1w56tqYUuvqtKx8-4" TargetMode="External"/><Relationship Id="rId63" Type="http://schemas.openxmlformats.org/officeDocument/2006/relationships/hyperlink" Target="https://www.figma.com/design/AzQaoPVLY9UdbDRMcrxRKx/Tech-%EA%B3%A0%EB%8F%84%ED%99%94?node-id=919-5465&amp;t=G1w56tqYUuvqtKx8-4" TargetMode="External"/><Relationship Id="rId66" Type="http://schemas.openxmlformats.org/officeDocument/2006/relationships/hyperlink" Target="https://www.figma.com/design/AzQaoPVLY9UdbDRMcrxRKx/Tech-%EA%B3%A0%EB%8F%84%ED%99%94?node-id=919-5465&amp;t=G1w56tqYUuvqtKx8-4" TargetMode="External"/><Relationship Id="rId172" Type="http://schemas.openxmlformats.org/officeDocument/2006/relationships/hyperlink" Target="https://www.figma.com/design/AzQaoPVLY9UdbDRMcrxRKx/Tech-%EA%B3%A0%EB%8F%84%ED%99%94?node-id=1608-16383&amp;t=G1w56tqYUuvqtKx8-4" TargetMode="External"/><Relationship Id="rId65" Type="http://schemas.openxmlformats.org/officeDocument/2006/relationships/hyperlink" Target="https://www.figma.com/design/AzQaoPVLY9UdbDRMcrxRKx/Tech-%EA%B3%A0%EB%8F%84%ED%99%94?node-id=919-5465&amp;t=G1w56tqYUuvqtKx8-4" TargetMode="External"/><Relationship Id="rId171" Type="http://schemas.openxmlformats.org/officeDocument/2006/relationships/hyperlink" Target="https://www.figma.com/design/AzQaoPVLY9UdbDRMcrxRKx/Tech-%EA%B3%A0%EB%8F%84%ED%99%94?node-id=1608-16383&amp;t=G1w56tqYUuvqtKx8-4" TargetMode="External"/><Relationship Id="rId68" Type="http://schemas.openxmlformats.org/officeDocument/2006/relationships/hyperlink" Target="https://www.figma.com/design/AzQaoPVLY9UdbDRMcrxRKx/Tech-%EA%B3%A0%EB%8F%84%ED%99%94?node-id=919-5465&amp;t=G1w56tqYUuvqtKx8-4" TargetMode="External"/><Relationship Id="rId170" Type="http://schemas.openxmlformats.org/officeDocument/2006/relationships/hyperlink" Target="https://www.figma.com/design/AzQaoPVLY9UdbDRMcrxRKx/Tech-%EA%B3%A0%EB%8F%84%ED%99%94?node-id=1608-16383&amp;t=G1w56tqYUuvqtKx8-4" TargetMode="External"/><Relationship Id="rId67" Type="http://schemas.openxmlformats.org/officeDocument/2006/relationships/hyperlink" Target="https://www.figma.com/design/AzQaoPVLY9UdbDRMcrxRKx/Tech-%EA%B3%A0%EB%8F%84%ED%99%94?node-id=919-5465&amp;t=G1w56tqYUuvqtKx8-4" TargetMode="External"/><Relationship Id="rId60" Type="http://schemas.openxmlformats.org/officeDocument/2006/relationships/hyperlink" Target="https://www.figma.com/design/AzQaoPVLY9UdbDRMcrxRKx/Tech-%EA%B3%A0%EB%8F%84%ED%99%94?node-id=919-5465&amp;t=G1w56tqYUuvqtKx8-4" TargetMode="External"/><Relationship Id="rId165" Type="http://schemas.openxmlformats.org/officeDocument/2006/relationships/hyperlink" Target="https://www.figma.com/design/AzQaoPVLY9UdbDRMcrxRKx/Tech-%EA%B3%A0%EB%8F%84%ED%99%94?node-id=1608-16091&amp;t=G1w56tqYUuvqtKx8-4" TargetMode="External"/><Relationship Id="rId69" Type="http://schemas.openxmlformats.org/officeDocument/2006/relationships/hyperlink" Target="https://www.figma.com/design/AzQaoPVLY9UdbDRMcrxRKx/Tech-%EA%B3%A0%EB%8F%84%ED%99%94?node-id=919-5465&amp;t=G1w56tqYUuvqtKx8-4" TargetMode="External"/><Relationship Id="rId164" Type="http://schemas.openxmlformats.org/officeDocument/2006/relationships/hyperlink" Target="https://www.figma.com/design/AzQaoPVLY9UdbDRMcrxRKx/Tech-%EA%B3%A0%EB%8F%84%ED%99%94?node-id=1608-16091&amp;t=G1w56tqYUuvqtKx8-4" TargetMode="External"/><Relationship Id="rId163" Type="http://schemas.openxmlformats.org/officeDocument/2006/relationships/hyperlink" Target="https://www.figma.com/design/AzQaoPVLY9UdbDRMcrxRKx/Tech-%EA%B3%A0%EB%8F%84%ED%99%94?node-id=1608-16091&amp;t=G1w56tqYUuvqtKx8-4" TargetMode="External"/><Relationship Id="rId162" Type="http://schemas.openxmlformats.org/officeDocument/2006/relationships/hyperlink" Target="https://www.figma.com/design/AzQaoPVLY9UdbDRMcrxRKx/Tech-%EA%B3%A0%EB%8F%84%ED%99%94?node-id=1608-16091&amp;t=G1w56tqYUuvqtKx8-4" TargetMode="External"/><Relationship Id="rId169" Type="http://schemas.openxmlformats.org/officeDocument/2006/relationships/hyperlink" Target="https://www.figma.com/design/AzQaoPVLY9UdbDRMcrxRKx/Tech-%EA%B3%A0%EB%8F%84%ED%99%94?node-id=1608-16383&amp;t=G1w56tqYUuvqtKx8-4" TargetMode="External"/><Relationship Id="rId168" Type="http://schemas.openxmlformats.org/officeDocument/2006/relationships/hyperlink" Target="https://www.figma.com/design/AzQaoPVLY9UdbDRMcrxRKx/Tech-%EA%B3%A0%EB%8F%84%ED%99%94?node-id=1608-16091&amp;t=G1w56tqYUuvqtKx8-4" TargetMode="External"/><Relationship Id="rId167" Type="http://schemas.openxmlformats.org/officeDocument/2006/relationships/hyperlink" Target="https://www.figma.com/design/AzQaoPVLY9UdbDRMcrxRKx/Tech-%EA%B3%A0%EB%8F%84%ED%99%94?node-id=1608-16091&amp;t=G1w56tqYUuvqtKx8-4" TargetMode="External"/><Relationship Id="rId166" Type="http://schemas.openxmlformats.org/officeDocument/2006/relationships/hyperlink" Target="https://www.figma.com/design/AzQaoPVLY9UdbDRMcrxRKx/Tech-%EA%B3%A0%EB%8F%84%ED%99%94?node-id=1608-16091&amp;t=G1w56tqYUuvqtKx8-4" TargetMode="External"/><Relationship Id="rId51" Type="http://schemas.openxmlformats.org/officeDocument/2006/relationships/hyperlink" Target="https://www.figma.com/design/AzQaoPVLY9UdbDRMcrxRKx/Tech-%EA%B3%A0%EB%8F%84%ED%99%94?node-id=919-5465&amp;t=G1w56tqYUuvqtKx8-4" TargetMode="External"/><Relationship Id="rId50" Type="http://schemas.openxmlformats.org/officeDocument/2006/relationships/hyperlink" Target="https://www.figma.com/design/AzQaoPVLY9UdbDRMcrxRKx/Tech-%EA%B3%A0%EB%8F%84%ED%99%94?node-id=919-5465&amp;t=G1w56tqYUuvqtKx8-4" TargetMode="External"/><Relationship Id="rId53" Type="http://schemas.openxmlformats.org/officeDocument/2006/relationships/hyperlink" Target="https://www.figma.com/design/AzQaoPVLY9UdbDRMcrxRKx/Tech-%EA%B3%A0%EB%8F%84%ED%99%94?node-id=919-5465&amp;t=G1w56tqYUuvqtKx8-4" TargetMode="External"/><Relationship Id="rId52" Type="http://schemas.openxmlformats.org/officeDocument/2006/relationships/hyperlink" Target="https://www.figma.com/design/AzQaoPVLY9UdbDRMcrxRKx/Tech-%EA%B3%A0%EB%8F%84%ED%99%94?node-id=919-5465&amp;t=G1w56tqYUuvqtKx8-4" TargetMode="External"/><Relationship Id="rId55" Type="http://schemas.openxmlformats.org/officeDocument/2006/relationships/hyperlink" Target="https://www.figma.com/design/AzQaoPVLY9UdbDRMcrxRKx/Tech-%EA%B3%A0%EB%8F%84%ED%99%94?node-id=919-5465&amp;t=G1w56tqYUuvqtKx8-4" TargetMode="External"/><Relationship Id="rId161" Type="http://schemas.openxmlformats.org/officeDocument/2006/relationships/hyperlink" Target="https://www.figma.com/design/AzQaoPVLY9UdbDRMcrxRKx/Tech-%EA%B3%A0%EB%8F%84%ED%99%94?node-id=1608-16091&amp;t=G1w56tqYUuvqtKx8-4" TargetMode="External"/><Relationship Id="rId54" Type="http://schemas.openxmlformats.org/officeDocument/2006/relationships/hyperlink" Target="https://smartscoretech.atlassian.net/browse/QA-14848" TargetMode="External"/><Relationship Id="rId160" Type="http://schemas.openxmlformats.org/officeDocument/2006/relationships/hyperlink" Target="https://www.figma.com/design/AzQaoPVLY9UdbDRMcrxRKx/Tech-%EA%B3%A0%EB%8F%84%ED%99%94?node-id=1608-16091&amp;t=G1w56tqYUuvqtKx8-4" TargetMode="External"/><Relationship Id="rId57" Type="http://schemas.openxmlformats.org/officeDocument/2006/relationships/hyperlink" Target="https://www.figma.com/design/AzQaoPVLY9UdbDRMcrxRKx/Tech-%EA%B3%A0%EB%8F%84%ED%99%94?node-id=919-5465&amp;t=G1w56tqYUuvqtKx8-4" TargetMode="External"/><Relationship Id="rId56" Type="http://schemas.openxmlformats.org/officeDocument/2006/relationships/hyperlink" Target="https://smartscoretech.atlassian.net/browse/QA-14848" TargetMode="External"/><Relationship Id="rId159" Type="http://schemas.openxmlformats.org/officeDocument/2006/relationships/hyperlink" Target="https://www.figma.com/design/AzQaoPVLY9UdbDRMcrxRKx/Tech-%EA%B3%A0%EB%8F%84%ED%99%94?node-id=1608-16091&amp;t=G1w56tqYUuvqtKx8-4" TargetMode="External"/><Relationship Id="rId59" Type="http://schemas.openxmlformats.org/officeDocument/2006/relationships/hyperlink" Target="https://www.figma.com/design/AzQaoPVLY9UdbDRMcrxRKx/Tech-%EA%B3%A0%EB%8F%84%ED%99%94?node-id=919-5465&amp;t=G1w56tqYUuvqtKx8-4" TargetMode="External"/><Relationship Id="rId154" Type="http://schemas.openxmlformats.org/officeDocument/2006/relationships/hyperlink" Target="https://www.figma.com/design/AzQaoPVLY9UdbDRMcrxRKx/Tech-%EA%B3%A0%EB%8F%84%ED%99%94?node-id=1608-16091&amp;t=G1w56tqYUuvqtKx8-4" TargetMode="External"/><Relationship Id="rId58" Type="http://schemas.openxmlformats.org/officeDocument/2006/relationships/hyperlink" Target="https://smartscoretech.atlassian.net/browse/QA-14848" TargetMode="External"/><Relationship Id="rId153" Type="http://schemas.openxmlformats.org/officeDocument/2006/relationships/hyperlink" Target="https://www.figma.com/design/AzQaoPVLY9UdbDRMcrxRKx/Tech-%EA%B3%A0%EB%8F%84%ED%99%94?node-id=1608-16091&amp;t=G1w56tqYUuvqtKx8-4" TargetMode="External"/><Relationship Id="rId152" Type="http://schemas.openxmlformats.org/officeDocument/2006/relationships/hyperlink" Target="https://www.figma.com/design/AzQaoPVLY9UdbDRMcrxRKx/Tech-%EA%B3%A0%EB%8F%84%ED%99%94?node-id=1608-16091&amp;t=G1w56tqYUuvqtKx8-4" TargetMode="External"/><Relationship Id="rId151" Type="http://schemas.openxmlformats.org/officeDocument/2006/relationships/hyperlink" Target="https://smartscoretech.atlassian.net/issues?filter=11147&amp;selectedIssue=QA-14866" TargetMode="External"/><Relationship Id="rId158" Type="http://schemas.openxmlformats.org/officeDocument/2006/relationships/hyperlink" Target="https://smartscoretech.atlassian.net/issues?filter=11147&amp;selectedIssue=QA-14866" TargetMode="External"/><Relationship Id="rId157" Type="http://schemas.openxmlformats.org/officeDocument/2006/relationships/hyperlink" Target="https://www.figma.com/design/AzQaoPVLY9UdbDRMcrxRKx/Tech-%EA%B3%A0%EB%8F%84%ED%99%94?node-id=1608-16091&amp;t=G1w56tqYUuvqtKx8-4" TargetMode="External"/><Relationship Id="rId156" Type="http://schemas.openxmlformats.org/officeDocument/2006/relationships/hyperlink" Target="https://www.figma.com/design/AzQaoPVLY9UdbDRMcrxRKx/Tech-%EA%B3%A0%EB%8F%84%ED%99%94?node-id=1608-16091&amp;t=G1w56tqYUuvqtKx8-4" TargetMode="External"/><Relationship Id="rId155" Type="http://schemas.openxmlformats.org/officeDocument/2006/relationships/hyperlink" Target="https://www.figma.com/design/AzQaoPVLY9UdbDRMcrxRKx/Tech-%EA%B3%A0%EB%8F%84%ED%99%94?node-id=1608-16091&amp;t=G1w56tqYUuvqtKx8-4" TargetMode="External"/><Relationship Id="rId107" Type="http://schemas.openxmlformats.org/officeDocument/2006/relationships/hyperlink" Target="https://www.figma.com/design/AzQaoPVLY9UdbDRMcrxRKx/Tech-%EA%B3%A0%EB%8F%84%ED%99%94?node-id=919-5465&amp;t=G1w56tqYUuvqtKx8-4" TargetMode="External"/><Relationship Id="rId106" Type="http://schemas.openxmlformats.org/officeDocument/2006/relationships/hyperlink" Target="https://www.figma.com/design/AzQaoPVLY9UdbDRMcrxRKx/Tech-%EA%B3%A0%EB%8F%84%ED%99%94?node-id=919-5465&amp;t=G1w56tqYUuvqtKx8-4" TargetMode="External"/><Relationship Id="rId105" Type="http://schemas.openxmlformats.org/officeDocument/2006/relationships/hyperlink" Target="https://www.figma.com/design/AzQaoPVLY9UdbDRMcrxRKx/Tech-%EA%B3%A0%EB%8F%84%ED%99%94?node-id=919-5465&amp;t=G1w56tqYUuvqtKx8-4" TargetMode="External"/><Relationship Id="rId104" Type="http://schemas.openxmlformats.org/officeDocument/2006/relationships/hyperlink" Target="https://www.figma.com/design/AzQaoPVLY9UdbDRMcrxRKx/Tech-%EA%B3%A0%EB%8F%84%ED%99%94?node-id=919-5465&amp;t=G1w56tqYUuvqtKx8-4" TargetMode="External"/><Relationship Id="rId109" Type="http://schemas.openxmlformats.org/officeDocument/2006/relationships/hyperlink" Target="https://www.figma.com/design/AzQaoPVLY9UdbDRMcrxRKx/Tech-%EA%B3%A0%EB%8F%84%ED%99%94?node-id=919-5465&amp;t=G1w56tqYUuvqtKx8-4" TargetMode="External"/><Relationship Id="rId108" Type="http://schemas.openxmlformats.org/officeDocument/2006/relationships/hyperlink" Target="https://www.figma.com/design/AzQaoPVLY9UdbDRMcrxRKx/Tech-%EA%B3%A0%EB%8F%84%ED%99%94?node-id=919-5465&amp;t=G1w56tqYUuvqtKx8-4" TargetMode="External"/><Relationship Id="rId103" Type="http://schemas.openxmlformats.org/officeDocument/2006/relationships/hyperlink" Target="https://www.figma.com/design/AzQaoPVLY9UdbDRMcrxRKx/Tech-%EA%B3%A0%EB%8F%84%ED%99%94?node-id=919-5465&amp;t=G1w56tqYUuvqtKx8-4" TargetMode="External"/><Relationship Id="rId102" Type="http://schemas.openxmlformats.org/officeDocument/2006/relationships/hyperlink" Target="https://www.figma.com/design/AzQaoPVLY9UdbDRMcrxRKx/Tech-%EA%B3%A0%EB%8F%84%ED%99%94?node-id=919-5465&amp;t=G1w56tqYUuvqtKx8-4" TargetMode="External"/><Relationship Id="rId101" Type="http://schemas.openxmlformats.org/officeDocument/2006/relationships/hyperlink" Target="https://www.figma.com/design/AzQaoPVLY9UdbDRMcrxRKx/Tech-%EA%B3%A0%EB%8F%84%ED%99%94?node-id=919-5465&amp;t=G1w56tqYUuvqtKx8-4" TargetMode="External"/><Relationship Id="rId100" Type="http://schemas.openxmlformats.org/officeDocument/2006/relationships/hyperlink" Target="https://www.figma.com/design/AzQaoPVLY9UdbDRMcrxRKx/Tech-%EA%B3%A0%EB%8F%84%ED%99%94?node-id=919-5465&amp;t=G1w56tqYUuvqtKx8-4" TargetMode="External"/><Relationship Id="rId129" Type="http://schemas.openxmlformats.org/officeDocument/2006/relationships/hyperlink" Target="https://www.figma.com/design/AzQaoPVLY9UdbDRMcrxRKx/Tech-%EA%B3%A0%EB%8F%84%ED%99%94?node-id=3500-11031&amp;t=G1w56tqYUuvqtKx8-4" TargetMode="External"/><Relationship Id="rId128" Type="http://schemas.openxmlformats.org/officeDocument/2006/relationships/hyperlink" Target="https://www.figma.com/design/AzQaoPVLY9UdbDRMcrxRKx/Tech-%EA%B3%A0%EB%8F%84%ED%99%94?node-id=3500-11031&amp;t=G1w56tqYUuvqtKx8-4" TargetMode="External"/><Relationship Id="rId127" Type="http://schemas.openxmlformats.org/officeDocument/2006/relationships/hyperlink" Target="https://www.figma.com/design/AzQaoPVLY9UdbDRMcrxRKx/Tech-%EA%B3%A0%EB%8F%84%ED%99%94?node-id=3500-11031&amp;t=G1w56tqYUuvqtKx8-4" TargetMode="External"/><Relationship Id="rId126" Type="http://schemas.openxmlformats.org/officeDocument/2006/relationships/hyperlink" Target="https://www.figma.com/design/AzQaoPVLY9UdbDRMcrxRKx/Tech-%EA%B3%A0%EB%8F%84%ED%99%94?node-id=3500-11031&amp;t=G1w56tqYUuvqtKx8-4" TargetMode="External"/><Relationship Id="rId121" Type="http://schemas.openxmlformats.org/officeDocument/2006/relationships/hyperlink" Target="https://www.figma.com/design/AzQaoPVLY9UdbDRMcrxRKx/Tech-%EA%B3%A0%EB%8F%84%ED%99%94?node-id=3500-11031&amp;t=G1w56tqYUuvqtKx8-4" TargetMode="External"/><Relationship Id="rId120" Type="http://schemas.openxmlformats.org/officeDocument/2006/relationships/hyperlink" Target="https://www.figma.com/design/AzQaoPVLY9UdbDRMcrxRKx/Tech-%EA%B3%A0%EB%8F%84%ED%99%94?node-id=3500-11031&amp;t=G1w56tqYUuvqtKx8-4" TargetMode="External"/><Relationship Id="rId125" Type="http://schemas.openxmlformats.org/officeDocument/2006/relationships/hyperlink" Target="https://www.figma.com/design/AzQaoPVLY9UdbDRMcrxRKx/Tech-%EA%B3%A0%EB%8F%84%ED%99%94?node-id=3500-11031&amp;t=G1w56tqYUuvqtKx8-4" TargetMode="External"/><Relationship Id="rId124" Type="http://schemas.openxmlformats.org/officeDocument/2006/relationships/hyperlink" Target="https://www.figma.com/design/AzQaoPVLY9UdbDRMcrxRKx/Tech-%EA%B3%A0%EB%8F%84%ED%99%94?node-id=3500-11031&amp;t=G1w56tqYUuvqtKx8-4" TargetMode="External"/><Relationship Id="rId123" Type="http://schemas.openxmlformats.org/officeDocument/2006/relationships/hyperlink" Target="https://www.figma.com/design/AzQaoPVLY9UdbDRMcrxRKx/Tech-%EA%B3%A0%EB%8F%84%ED%99%94?node-id=3500-11031&amp;t=G1w56tqYUuvqtKx8-4" TargetMode="External"/><Relationship Id="rId122" Type="http://schemas.openxmlformats.org/officeDocument/2006/relationships/hyperlink" Target="https://www.figma.com/design/AzQaoPVLY9UdbDRMcrxRKx/Tech-%EA%B3%A0%EB%8F%84%ED%99%94?node-id=3500-11031&amp;t=G1w56tqYUuvqtKx8-4" TargetMode="External"/><Relationship Id="rId95" Type="http://schemas.openxmlformats.org/officeDocument/2006/relationships/hyperlink" Target="https://www.figma.com/design/AzQaoPVLY9UdbDRMcrxRKx/Tech-%EA%B3%A0%EB%8F%84%ED%99%94?node-id=919-5465&amp;t=G1w56tqYUuvqtKx8-4" TargetMode="External"/><Relationship Id="rId94" Type="http://schemas.openxmlformats.org/officeDocument/2006/relationships/hyperlink" Target="https://www.figma.com/design/AzQaoPVLY9UdbDRMcrxRKx/Tech-%EA%B3%A0%EB%8F%84%ED%99%94?node-id=919-5465&amp;t=G1w56tqYUuvqtKx8-4" TargetMode="External"/><Relationship Id="rId97" Type="http://schemas.openxmlformats.org/officeDocument/2006/relationships/hyperlink" Target="https://www.figma.com/design/AzQaoPVLY9UdbDRMcrxRKx/Tech-%EA%B3%A0%EB%8F%84%ED%99%94?node-id=919-5465&amp;t=G1w56tqYUuvqtKx8-4" TargetMode="External"/><Relationship Id="rId96" Type="http://schemas.openxmlformats.org/officeDocument/2006/relationships/hyperlink" Target="https://www.figma.com/design/AzQaoPVLY9UdbDRMcrxRKx/Tech-%EA%B3%A0%EB%8F%84%ED%99%94?node-id=919-5465&amp;t=G1w56tqYUuvqtKx8-4" TargetMode="External"/><Relationship Id="rId99" Type="http://schemas.openxmlformats.org/officeDocument/2006/relationships/hyperlink" Target="https://www.figma.com/design/AzQaoPVLY9UdbDRMcrxRKx/Tech-%EA%B3%A0%EB%8F%84%ED%99%94?node-id=919-5465&amp;t=G1w56tqYUuvqtKx8-4" TargetMode="External"/><Relationship Id="rId98" Type="http://schemas.openxmlformats.org/officeDocument/2006/relationships/hyperlink" Target="https://www.figma.com/design/AzQaoPVLY9UdbDRMcrxRKx/Tech-%EA%B3%A0%EB%8F%84%ED%99%94?node-id=919-5465&amp;t=G1w56tqYUuvqtKx8-4" TargetMode="External"/><Relationship Id="rId91" Type="http://schemas.openxmlformats.org/officeDocument/2006/relationships/hyperlink" Target="https://www.figma.com/design/AzQaoPVLY9UdbDRMcrxRKx/Tech-%EA%B3%A0%EB%8F%84%ED%99%94?node-id=919-5465&amp;t=G1w56tqYUuvqtKx8-4" TargetMode="External"/><Relationship Id="rId90" Type="http://schemas.openxmlformats.org/officeDocument/2006/relationships/hyperlink" Target="https://www.figma.com/design/AzQaoPVLY9UdbDRMcrxRKx/Tech-%EA%B3%A0%EB%8F%84%ED%99%94?node-id=919-5465&amp;t=G1w56tqYUuvqtKx8-4" TargetMode="External"/><Relationship Id="rId93" Type="http://schemas.openxmlformats.org/officeDocument/2006/relationships/hyperlink" Target="https://www.figma.com/design/AzQaoPVLY9UdbDRMcrxRKx/Tech-%EA%B3%A0%EB%8F%84%ED%99%94?node-id=919-5465&amp;t=G1w56tqYUuvqtKx8-4" TargetMode="External"/><Relationship Id="rId92" Type="http://schemas.openxmlformats.org/officeDocument/2006/relationships/hyperlink" Target="https://www.figma.com/design/AzQaoPVLY9UdbDRMcrxRKx/Tech-%EA%B3%A0%EB%8F%84%ED%99%94?node-id=919-5465&amp;t=G1w56tqYUuvqtKx8-4" TargetMode="External"/><Relationship Id="rId118" Type="http://schemas.openxmlformats.org/officeDocument/2006/relationships/hyperlink" Target="https://www.figma.com/design/AzQaoPVLY9UdbDRMcrxRKx/Tech-%EA%B3%A0%EB%8F%84%ED%99%94?node-id=3500-11031&amp;t=G1w56tqYUuvqtKx8-4" TargetMode="External"/><Relationship Id="rId117" Type="http://schemas.openxmlformats.org/officeDocument/2006/relationships/hyperlink" Target="https://www.figma.com/design/AzQaoPVLY9UdbDRMcrxRKx/Tech-%EA%B3%A0%EB%8F%84%ED%99%94?node-id=3500-11031&amp;t=G1w56tqYUuvqtKx8-4" TargetMode="External"/><Relationship Id="rId116" Type="http://schemas.openxmlformats.org/officeDocument/2006/relationships/hyperlink" Target="https://www.figma.com/design/AzQaoPVLY9UdbDRMcrxRKx/Tech-%EA%B3%A0%EB%8F%84%ED%99%94?node-id=919-5465&amp;t=G1w56tqYUuvqtKx8-4" TargetMode="External"/><Relationship Id="rId115" Type="http://schemas.openxmlformats.org/officeDocument/2006/relationships/hyperlink" Target="https://www.figma.com/design/AzQaoPVLY9UdbDRMcrxRKx/Tech-%EA%B3%A0%EB%8F%84%ED%99%94?node-id=919-5465&amp;t=G1w56tqYUuvqtKx8-4" TargetMode="External"/><Relationship Id="rId119" Type="http://schemas.openxmlformats.org/officeDocument/2006/relationships/hyperlink" Target="https://www.figma.com/design/AzQaoPVLY9UdbDRMcrxRKx/Tech-%EA%B3%A0%EB%8F%84%ED%99%94?node-id=3500-11031&amp;t=G1w56tqYUuvqtKx8-4" TargetMode="External"/><Relationship Id="rId110" Type="http://schemas.openxmlformats.org/officeDocument/2006/relationships/hyperlink" Target="https://www.figma.com/design/AzQaoPVLY9UdbDRMcrxRKx/Tech-%EA%B3%A0%EB%8F%84%ED%99%94?node-id=919-5465&amp;t=G1w56tqYUuvqtKx8-4" TargetMode="External"/><Relationship Id="rId114" Type="http://schemas.openxmlformats.org/officeDocument/2006/relationships/hyperlink" Target="https://www.figma.com/design/AzQaoPVLY9UdbDRMcrxRKx/Tech-%EA%B3%A0%EB%8F%84%ED%99%94?node-id=919-5465&amp;t=G1w56tqYUuvqtKx8-4" TargetMode="External"/><Relationship Id="rId113" Type="http://schemas.openxmlformats.org/officeDocument/2006/relationships/hyperlink" Target="https://www.figma.com/design/AzQaoPVLY9UdbDRMcrxRKx/Tech-%EA%B3%A0%EB%8F%84%ED%99%94?node-id=919-5465&amp;t=G1w56tqYUuvqtKx8-4" TargetMode="External"/><Relationship Id="rId112" Type="http://schemas.openxmlformats.org/officeDocument/2006/relationships/hyperlink" Target="https://www.figma.com/design/AzQaoPVLY9UdbDRMcrxRKx/Tech-%EA%B3%A0%EB%8F%84%ED%99%94?node-id=919-5465&amp;t=G1w56tqYUuvqtKx8-4" TargetMode="External"/><Relationship Id="rId111" Type="http://schemas.openxmlformats.org/officeDocument/2006/relationships/hyperlink" Target="https://www.figma.com/design/AzQaoPVLY9UdbDRMcrxRKx/Tech-%EA%B3%A0%EB%8F%84%ED%99%94?node-id=919-5465&amp;t=G1w56tqYUuvqtKx8-4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AzQaoPVLY9UdbDRMcrxRKx/Tech-%EA%B3%A0%EB%8F%84%ED%99%94?node-id=1616-5863&amp;t=w9FcD21TgGgimvBN-4" TargetMode="External"/><Relationship Id="rId42" Type="http://schemas.openxmlformats.org/officeDocument/2006/relationships/hyperlink" Target="https://www.figma.com/design/AzQaoPVLY9UdbDRMcrxRKx/Tech-%EA%B3%A0%EB%8F%84%ED%99%94?node-id=1616-5863&amp;t=w9FcD21TgGgimvBN-4" TargetMode="External"/><Relationship Id="rId41" Type="http://schemas.openxmlformats.org/officeDocument/2006/relationships/hyperlink" Target="https://smartscoretech.atlassian.net/browse/QA-14898" TargetMode="External"/><Relationship Id="rId44" Type="http://schemas.openxmlformats.org/officeDocument/2006/relationships/hyperlink" Target="https://www.figma.com/design/AzQaoPVLY9UdbDRMcrxRKx/Tech-%EA%B3%A0%EB%8F%84%ED%99%94?node-id=1616-5863&amp;t=w9FcD21TgGgimvBN-4" TargetMode="External"/><Relationship Id="rId43" Type="http://schemas.openxmlformats.org/officeDocument/2006/relationships/hyperlink" Target="https://smartscoretech.atlassian.net/browse/QA-14898" TargetMode="External"/><Relationship Id="rId46" Type="http://schemas.openxmlformats.org/officeDocument/2006/relationships/hyperlink" Target="https://www.figma.com/design/AzQaoPVLY9UdbDRMcrxRKx/Tech-%EA%B3%A0%EB%8F%84%ED%99%94?node-id=1616-5863&amp;t=w9FcD21TgGgimvBN-4" TargetMode="External"/><Relationship Id="rId45" Type="http://schemas.openxmlformats.org/officeDocument/2006/relationships/hyperlink" Target="https://smartscoretech.atlassian.net/browse/QA-14898" TargetMode="External"/><Relationship Id="rId48" Type="http://schemas.openxmlformats.org/officeDocument/2006/relationships/hyperlink" Target="https://www.figma.com/design/AzQaoPVLY9UdbDRMcrxRKx/Tech-%EA%B3%A0%EB%8F%84%ED%99%94?node-id=1616-5863&amp;t=w9FcD21TgGgimvBN-4" TargetMode="External"/><Relationship Id="rId47" Type="http://schemas.openxmlformats.org/officeDocument/2006/relationships/hyperlink" Target="https://www.figma.com/design/AzQaoPVLY9UdbDRMcrxRKx/Tech-%EA%B3%A0%EB%8F%84%ED%99%94?node-id=1616-5863&amp;t=w9FcD21TgGgimvBN-4" TargetMode="External"/><Relationship Id="rId49" Type="http://schemas.openxmlformats.org/officeDocument/2006/relationships/hyperlink" Target="https://www.figma.com/design/AzQaoPVLY9UdbDRMcrxRKx/Tech-%EA%B3%A0%EB%8F%84%ED%99%94?node-id=1616-4319&amp;t=w9FcD21TgGgimvBN-4" TargetMode="External"/><Relationship Id="rId31" Type="http://schemas.openxmlformats.org/officeDocument/2006/relationships/hyperlink" Target="https://www.figma.com/design/AzQaoPVLY9UdbDRMcrxRKx/Tech-%EA%B3%A0%EB%8F%84%ED%99%94?node-id=1616-5640&amp;t=w9FcD21TgGgimvBN-4" TargetMode="External"/><Relationship Id="rId30" Type="http://schemas.openxmlformats.org/officeDocument/2006/relationships/hyperlink" Target="https://www.figma.com/design/AzQaoPVLY9UdbDRMcrxRKx/Tech-%EA%B3%A0%EB%8F%84%ED%99%94?node-id=1616-5640&amp;t=w9FcD21TgGgimvBN-4" TargetMode="External"/><Relationship Id="rId33" Type="http://schemas.openxmlformats.org/officeDocument/2006/relationships/hyperlink" Target="https://www.figma.com/design/AzQaoPVLY9UdbDRMcrxRKx/Tech-%EA%B3%A0%EB%8F%84%ED%99%94?node-id=1616-5863&amp;t=w9FcD21TgGgimvBN-4" TargetMode="External"/><Relationship Id="rId32" Type="http://schemas.openxmlformats.org/officeDocument/2006/relationships/hyperlink" Target="https://www.figma.com/design/AzQaoPVLY9UdbDRMcrxRKx/Tech-%EA%B3%A0%EB%8F%84%ED%99%94?node-id=1616-5640&amp;t=w9FcD21TgGgimvBN-4" TargetMode="External"/><Relationship Id="rId35" Type="http://schemas.openxmlformats.org/officeDocument/2006/relationships/hyperlink" Target="https://www.figma.com/design/AzQaoPVLY9UdbDRMcrxRKx/Tech-%EA%B3%A0%EB%8F%84%ED%99%94?node-id=1616-5863&amp;t=w9FcD21TgGgimvBN-4" TargetMode="External"/><Relationship Id="rId34" Type="http://schemas.openxmlformats.org/officeDocument/2006/relationships/hyperlink" Target="https://www.figma.com/design/AzQaoPVLY9UdbDRMcrxRKx/Tech-%EA%B3%A0%EB%8F%84%ED%99%94?node-id=1616-5863&amp;t=w9FcD21TgGgimvBN-4" TargetMode="External"/><Relationship Id="rId37" Type="http://schemas.openxmlformats.org/officeDocument/2006/relationships/hyperlink" Target="https://www.figma.com/design/AzQaoPVLY9UdbDRMcrxRKx/Tech-%EA%B3%A0%EB%8F%84%ED%99%94?node-id=1616-5863&amp;t=w9FcD21TgGgimvBN-4" TargetMode="External"/><Relationship Id="rId36" Type="http://schemas.openxmlformats.org/officeDocument/2006/relationships/hyperlink" Target="https://smartscoretech.atlassian.net/browse/QA-14892" TargetMode="External"/><Relationship Id="rId39" Type="http://schemas.openxmlformats.org/officeDocument/2006/relationships/hyperlink" Target="https://smartscoretech.atlassian.net/browse/QA-14892" TargetMode="External"/><Relationship Id="rId38" Type="http://schemas.openxmlformats.org/officeDocument/2006/relationships/hyperlink" Target="https://www.figma.com/design/AzQaoPVLY9UdbDRMcrxRKx/Tech-%EA%B3%A0%EB%8F%84%ED%99%94?node-id=1616-5863&amp;t=w9FcD21TgGgimvBN-4" TargetMode="External"/><Relationship Id="rId20" Type="http://schemas.openxmlformats.org/officeDocument/2006/relationships/hyperlink" Target="https://www.figma.com/design/AzQaoPVLY9UdbDRMcrxRKx/Tech-%EA%B3%A0%EB%8F%84%ED%99%94?node-id=1616-5640&amp;t=w9FcD21TgGgimvBN-4" TargetMode="External"/><Relationship Id="rId22" Type="http://schemas.openxmlformats.org/officeDocument/2006/relationships/hyperlink" Target="https://www.figma.com/design/AzQaoPVLY9UdbDRMcrxRKx/Tech-%EA%B3%A0%EB%8F%84%ED%99%94?node-id=1616-5640&amp;t=w9FcD21TgGgimvBN-4" TargetMode="External"/><Relationship Id="rId21" Type="http://schemas.openxmlformats.org/officeDocument/2006/relationships/hyperlink" Target="https://www.figma.com/design/AzQaoPVLY9UdbDRMcrxRKx/Tech-%EA%B3%A0%EB%8F%84%ED%99%94?node-id=1616-5640&amp;t=w9FcD21TgGgimvBN-4" TargetMode="External"/><Relationship Id="rId24" Type="http://schemas.openxmlformats.org/officeDocument/2006/relationships/hyperlink" Target="https://www.figma.com/design/AzQaoPVLY9UdbDRMcrxRKx/Tech-%EA%B3%A0%EB%8F%84%ED%99%94?node-id=1616-5640&amp;t=w9FcD21TgGgimvBN-4" TargetMode="External"/><Relationship Id="rId23" Type="http://schemas.openxmlformats.org/officeDocument/2006/relationships/hyperlink" Target="https://www.figma.com/design/AzQaoPVLY9UdbDRMcrxRKx/Tech-%EA%B3%A0%EB%8F%84%ED%99%94?node-id=1616-5640&amp;t=w9FcD21TgGgimvBN-4" TargetMode="External"/><Relationship Id="rId26" Type="http://schemas.openxmlformats.org/officeDocument/2006/relationships/hyperlink" Target="https://smartscoretech.atlassian.net/browse/QA-14898" TargetMode="External"/><Relationship Id="rId25" Type="http://schemas.openxmlformats.org/officeDocument/2006/relationships/hyperlink" Target="https://www.figma.com/design/AzQaoPVLY9UdbDRMcrxRKx/Tech-%EA%B3%A0%EB%8F%84%ED%99%94?node-id=1616-5640&amp;t=w9FcD21TgGgimvBN-4" TargetMode="External"/><Relationship Id="rId28" Type="http://schemas.openxmlformats.org/officeDocument/2006/relationships/hyperlink" Target="https://www.figma.com/design/AzQaoPVLY9UdbDRMcrxRKx/Tech-%EA%B3%A0%EB%8F%84%ED%99%94?node-id=1616-5640&amp;t=w9FcD21TgGgimvBN-4" TargetMode="External"/><Relationship Id="rId27" Type="http://schemas.openxmlformats.org/officeDocument/2006/relationships/hyperlink" Target="https://www.figma.com/design/AzQaoPVLY9UdbDRMcrxRKx/Tech-%EA%B3%A0%EB%8F%84%ED%99%94?node-id=1616-5640&amp;t=w9FcD21TgGgimvBN-4" TargetMode="External"/><Relationship Id="rId29" Type="http://schemas.openxmlformats.org/officeDocument/2006/relationships/hyperlink" Target="https://www.figma.com/design/AzQaoPVLY9UdbDRMcrxRKx/Tech-%EA%B3%A0%EB%8F%84%ED%99%94?node-id=1616-5640&amp;t=w9FcD21TgGgimvBN-4" TargetMode="External"/><Relationship Id="rId11" Type="http://schemas.openxmlformats.org/officeDocument/2006/relationships/hyperlink" Target="https://www.figma.com/design/AzQaoPVLY9UdbDRMcrxRKx/Tech-%EA%B3%A0%EB%8F%84%ED%99%94?node-id=1616-5435&amp;t=w9FcD21TgGgimvBN-4" TargetMode="External"/><Relationship Id="rId10" Type="http://schemas.openxmlformats.org/officeDocument/2006/relationships/hyperlink" Target="https://www.figma.com/design/AzQaoPVLY9UdbDRMcrxRKx/Tech-%EA%B3%A0%EB%8F%84%ED%99%94?node-id=1616-5435&amp;t=w9FcD21TgGgimvBN-4" TargetMode="External"/><Relationship Id="rId13" Type="http://schemas.openxmlformats.org/officeDocument/2006/relationships/hyperlink" Target="https://www.figma.com/design/AzQaoPVLY9UdbDRMcrxRKx/Tech-%EA%B3%A0%EB%8F%84%ED%99%94?node-id=1616-5435&amp;t=w9FcD21TgGgimvBN-4" TargetMode="External"/><Relationship Id="rId12" Type="http://schemas.openxmlformats.org/officeDocument/2006/relationships/hyperlink" Target="https://www.figma.com/design/AzQaoPVLY9UdbDRMcrxRKx/Tech-%EA%B3%A0%EB%8F%84%ED%99%94?node-id=1616-5435&amp;t=w9FcD21TgGgimvBN-4" TargetMode="External"/><Relationship Id="rId15" Type="http://schemas.openxmlformats.org/officeDocument/2006/relationships/hyperlink" Target="https://www.figma.com/design/AzQaoPVLY9UdbDRMcrxRKx/Tech-%EA%B3%A0%EB%8F%84%ED%99%94?node-id=1616-5640&amp;t=w9FcD21TgGgimvBN-4" TargetMode="External"/><Relationship Id="rId14" Type="http://schemas.openxmlformats.org/officeDocument/2006/relationships/hyperlink" Target="https://www.figma.com/design/AzQaoPVLY9UdbDRMcrxRKx/Tech-%EA%B3%A0%EB%8F%84%ED%99%94?node-id=1616-5435&amp;t=w9FcD21TgGgimvBN-4" TargetMode="External"/><Relationship Id="rId17" Type="http://schemas.openxmlformats.org/officeDocument/2006/relationships/hyperlink" Target="https://www.figma.com/design/AzQaoPVLY9UdbDRMcrxRKx/Tech-%EA%B3%A0%EB%8F%84%ED%99%94?node-id=1616-5640&amp;t=w9FcD21TgGgimvBN-4" TargetMode="External"/><Relationship Id="rId16" Type="http://schemas.openxmlformats.org/officeDocument/2006/relationships/hyperlink" Target="https://smartscoretech.atlassian.net/browse/QA-14905" TargetMode="External"/><Relationship Id="rId19" Type="http://schemas.openxmlformats.org/officeDocument/2006/relationships/hyperlink" Target="https://www.figma.com/design/AzQaoPVLY9UdbDRMcrxRKx/Tech-%EA%B3%A0%EB%8F%84%ED%99%94?node-id=1616-5640&amp;t=w9FcD21TgGgimvBN-4" TargetMode="External"/><Relationship Id="rId18" Type="http://schemas.openxmlformats.org/officeDocument/2006/relationships/hyperlink" Target="https://www.figma.com/design/AzQaoPVLY9UdbDRMcrxRKx/Tech-%EA%B3%A0%EB%8F%84%ED%99%94?node-id=1616-5640&amp;t=w9FcD21TgGgimvBN-4" TargetMode="External"/><Relationship Id="rId83" Type="http://schemas.openxmlformats.org/officeDocument/2006/relationships/drawing" Target="../drawings/drawing11.xml"/><Relationship Id="rId80" Type="http://schemas.openxmlformats.org/officeDocument/2006/relationships/hyperlink" Target="https://www.figma.com/design/AzQaoPVLY9UdbDRMcrxRKx/Tech-%EA%B3%A0%EB%8F%84%ED%99%94?node-id=1616-4708&amp;t=w9FcD21TgGgimvBN-4" TargetMode="External"/><Relationship Id="rId82" Type="http://schemas.openxmlformats.org/officeDocument/2006/relationships/hyperlink" Target="https://www.figma.com/design/AzQaoPVLY9UdbDRMcrxRKx/Tech-%EA%B3%A0%EB%8F%84%ED%99%94?node-id=1616-4708&amp;t=w9FcD21TgGgimvBN-4" TargetMode="External"/><Relationship Id="rId81" Type="http://schemas.openxmlformats.org/officeDocument/2006/relationships/hyperlink" Target="https://www.figma.com/design/AzQaoPVLY9UdbDRMcrxRKx/Tech-%EA%B3%A0%EB%8F%84%ED%99%94?node-id=1616-4708&amp;t=w9FcD21TgGgimvBN-4" TargetMode="External"/><Relationship Id="rId1" Type="http://schemas.openxmlformats.org/officeDocument/2006/relationships/hyperlink" Target="https://www.figma.com/design/AzQaoPVLY9UdbDRMcrxRKx/Tech-%EA%B3%A0%EB%8F%84%ED%99%94?node-id=1616-5435&amp;t=w9FcD21TgGgimvBN-4" TargetMode="External"/><Relationship Id="rId2" Type="http://schemas.openxmlformats.org/officeDocument/2006/relationships/hyperlink" Target="https://www.figma.com/design/AzQaoPVLY9UdbDRMcrxRKx/Tech-%EA%B3%A0%EB%8F%84%ED%99%94?node-id=1616-5435&amp;t=w9FcD21TgGgimvBN-4" TargetMode="External"/><Relationship Id="rId3" Type="http://schemas.openxmlformats.org/officeDocument/2006/relationships/hyperlink" Target="https://www.figma.com/design/AzQaoPVLY9UdbDRMcrxRKx/Tech-%EA%B3%A0%EB%8F%84%ED%99%94?node-id=1616-5435&amp;t=w9FcD21TgGgimvBN-4" TargetMode="External"/><Relationship Id="rId4" Type="http://schemas.openxmlformats.org/officeDocument/2006/relationships/hyperlink" Target="https://www.figma.com/design/AzQaoPVLY9UdbDRMcrxRKx/Tech-%EA%B3%A0%EB%8F%84%ED%99%94?node-id=1616-5435&amp;t=w9FcD21TgGgimvBN-4" TargetMode="External"/><Relationship Id="rId9" Type="http://schemas.openxmlformats.org/officeDocument/2006/relationships/hyperlink" Target="https://www.figma.com/design/AzQaoPVLY9UdbDRMcrxRKx/Tech-%EA%B3%A0%EB%8F%84%ED%99%94?node-id=1616-5435&amp;t=w9FcD21TgGgimvBN-4" TargetMode="External"/><Relationship Id="rId5" Type="http://schemas.openxmlformats.org/officeDocument/2006/relationships/hyperlink" Target="https://www.figma.com/design/AzQaoPVLY9UdbDRMcrxRKx/Tech-%EA%B3%A0%EB%8F%84%ED%99%94?node-id=1616-5435&amp;t=w9FcD21TgGgimvBN-4" TargetMode="External"/><Relationship Id="rId6" Type="http://schemas.openxmlformats.org/officeDocument/2006/relationships/hyperlink" Target="https://www.figma.com/design/AzQaoPVLY9UdbDRMcrxRKx/Tech-%EA%B3%A0%EB%8F%84%ED%99%94?node-id=1616-5435&amp;t=w9FcD21TgGgimvBN-4" TargetMode="External"/><Relationship Id="rId7" Type="http://schemas.openxmlformats.org/officeDocument/2006/relationships/hyperlink" Target="https://www.figma.com/design/AzQaoPVLY9UdbDRMcrxRKx/Tech-%EA%B3%A0%EB%8F%84%ED%99%94?node-id=1616-5435&amp;t=w9FcD21TgGgimvBN-4" TargetMode="External"/><Relationship Id="rId8" Type="http://schemas.openxmlformats.org/officeDocument/2006/relationships/hyperlink" Target="https://www.figma.com/design/AzQaoPVLY9UdbDRMcrxRKx/Tech-%EA%B3%A0%EB%8F%84%ED%99%94?node-id=1616-5435&amp;t=w9FcD21TgGgimvBN-4" TargetMode="External"/><Relationship Id="rId73" Type="http://schemas.openxmlformats.org/officeDocument/2006/relationships/hyperlink" Target="https://www.figma.com/design/AzQaoPVLY9UdbDRMcrxRKx/Tech-%EA%B3%A0%EB%8F%84%ED%99%94?node-id=1616-4708&amp;t=w9FcD21TgGgimvBN-4" TargetMode="External"/><Relationship Id="rId72" Type="http://schemas.openxmlformats.org/officeDocument/2006/relationships/hyperlink" Target="https://www.figma.com/design/AzQaoPVLY9UdbDRMcrxRKx/Tech-%EA%B3%A0%EB%8F%84%ED%99%94?node-id=1616-4708&amp;t=w9FcD21TgGgimvBN-4" TargetMode="External"/><Relationship Id="rId75" Type="http://schemas.openxmlformats.org/officeDocument/2006/relationships/hyperlink" Target="https://www.figma.com/design/AzQaoPVLY9UdbDRMcrxRKx/Tech-%EA%B3%A0%EB%8F%84%ED%99%94?node-id=1616-4708&amp;t=w9FcD21TgGgimvBN-4" TargetMode="External"/><Relationship Id="rId74" Type="http://schemas.openxmlformats.org/officeDocument/2006/relationships/hyperlink" Target="https://www.figma.com/design/AzQaoPVLY9UdbDRMcrxRKx/Tech-%EA%B3%A0%EB%8F%84%ED%99%94?node-id=1616-4708&amp;t=w9FcD21TgGgimvBN-4" TargetMode="External"/><Relationship Id="rId77" Type="http://schemas.openxmlformats.org/officeDocument/2006/relationships/hyperlink" Target="https://www.figma.com/design/AzQaoPVLY9UdbDRMcrxRKx/Tech-%EA%B3%A0%EB%8F%84%ED%99%94?node-id=1616-4708&amp;t=w9FcD21TgGgimvBN-4" TargetMode="External"/><Relationship Id="rId76" Type="http://schemas.openxmlformats.org/officeDocument/2006/relationships/hyperlink" Target="https://www.figma.com/design/AzQaoPVLY9UdbDRMcrxRKx/Tech-%EA%B3%A0%EB%8F%84%ED%99%94?node-id=1616-4708&amp;t=w9FcD21TgGgimvBN-4" TargetMode="External"/><Relationship Id="rId79" Type="http://schemas.openxmlformats.org/officeDocument/2006/relationships/hyperlink" Target="https://www.figma.com/design/AzQaoPVLY9UdbDRMcrxRKx/Tech-%EA%B3%A0%EB%8F%84%ED%99%94?node-id=1616-4708&amp;t=w9FcD21TgGgimvBN-4" TargetMode="External"/><Relationship Id="rId78" Type="http://schemas.openxmlformats.org/officeDocument/2006/relationships/hyperlink" Target="https://www.figma.com/design/AzQaoPVLY9UdbDRMcrxRKx/Tech-%EA%B3%A0%EB%8F%84%ED%99%94?node-id=1616-4708&amp;t=w9FcD21TgGgimvBN-4" TargetMode="External"/><Relationship Id="rId71" Type="http://schemas.openxmlformats.org/officeDocument/2006/relationships/hyperlink" Target="https://www.figma.com/design/AzQaoPVLY9UdbDRMcrxRKx/Tech-%EA%B3%A0%EB%8F%84%ED%99%94?node-id=1616-4708&amp;t=w9FcD21TgGgimvBN-4" TargetMode="External"/><Relationship Id="rId70" Type="http://schemas.openxmlformats.org/officeDocument/2006/relationships/hyperlink" Target="http://yyyy.mm/" TargetMode="External"/><Relationship Id="rId62" Type="http://schemas.openxmlformats.org/officeDocument/2006/relationships/hyperlink" Target="https://www.figma.com/design/AzQaoPVLY9UdbDRMcrxRKx/Tech-%EA%B3%A0%EB%8F%84%ED%99%94?node-id=1616-4513&amp;t=w9FcD21TgGgimvBN-4" TargetMode="External"/><Relationship Id="rId61" Type="http://schemas.openxmlformats.org/officeDocument/2006/relationships/hyperlink" Target="https://www.figma.com/design/AzQaoPVLY9UdbDRMcrxRKx/Tech-%EA%B3%A0%EB%8F%84%ED%99%94?node-id=1616-4513&amp;t=w9FcD21TgGgimvBN-4" TargetMode="External"/><Relationship Id="rId64" Type="http://schemas.openxmlformats.org/officeDocument/2006/relationships/hyperlink" Target="https://www.figma.com/design/AzQaoPVLY9UdbDRMcrxRKx/Tech-%EA%B3%A0%EB%8F%84%ED%99%94?node-id=1616-4513&amp;t=w9FcD21TgGgimvBN-4" TargetMode="External"/><Relationship Id="rId63" Type="http://schemas.openxmlformats.org/officeDocument/2006/relationships/hyperlink" Target="https://www.figma.com/design/AzQaoPVLY9UdbDRMcrxRKx/Tech-%EA%B3%A0%EB%8F%84%ED%99%94?node-id=1616-4513&amp;t=w9FcD21TgGgimvBN-4" TargetMode="External"/><Relationship Id="rId66" Type="http://schemas.openxmlformats.org/officeDocument/2006/relationships/hyperlink" Target="https://www.figma.com/design/AzQaoPVLY9UdbDRMcrxRKx/Tech-%EA%B3%A0%EB%8F%84%ED%99%94?node-id=1616-4708&amp;t=w9FcD21TgGgimvBN-4" TargetMode="External"/><Relationship Id="rId65" Type="http://schemas.openxmlformats.org/officeDocument/2006/relationships/hyperlink" Target="https://www.figma.com/design/AzQaoPVLY9UdbDRMcrxRKx/Tech-%EA%B3%A0%EB%8F%84%ED%99%94?node-id=1616-4513&amp;t=w9FcD21TgGgimvBN-4" TargetMode="External"/><Relationship Id="rId68" Type="http://schemas.openxmlformats.org/officeDocument/2006/relationships/hyperlink" Target="https://www.figma.com/design/AzQaoPVLY9UdbDRMcrxRKx/Tech-%EA%B3%A0%EB%8F%84%ED%99%94?node-id=1616-4708&amp;t=w9FcD21TgGgimvBN-4" TargetMode="External"/><Relationship Id="rId67" Type="http://schemas.openxmlformats.org/officeDocument/2006/relationships/hyperlink" Target="https://www.figma.com/design/AzQaoPVLY9UdbDRMcrxRKx/Tech-%EA%B3%A0%EB%8F%84%ED%99%94?node-id=1616-4708&amp;t=w9FcD21TgGgimvBN-4" TargetMode="External"/><Relationship Id="rId60" Type="http://schemas.openxmlformats.org/officeDocument/2006/relationships/hyperlink" Target="https://smartscoretech.atlassian.net/browse/QA-14902" TargetMode="External"/><Relationship Id="rId69" Type="http://schemas.openxmlformats.org/officeDocument/2006/relationships/hyperlink" Target="https://www.figma.com/design/AzQaoPVLY9UdbDRMcrxRKx/Tech-%EA%B3%A0%EB%8F%84%ED%99%94?node-id=1616-4708&amp;t=w9FcD21TgGgimvBN-4" TargetMode="External"/><Relationship Id="rId51" Type="http://schemas.openxmlformats.org/officeDocument/2006/relationships/hyperlink" Target="https://www.figma.com/design/AzQaoPVLY9UdbDRMcrxRKx/Tech-%EA%B3%A0%EB%8F%84%ED%99%94?node-id=1616-4319&amp;t=w9FcD21TgGgimvBN-4" TargetMode="External"/><Relationship Id="rId50" Type="http://schemas.openxmlformats.org/officeDocument/2006/relationships/hyperlink" Target="https://www.figma.com/design/AzQaoPVLY9UdbDRMcrxRKx/Tech-%EA%B3%A0%EB%8F%84%ED%99%94?node-id=1616-4319&amp;t=w9FcD21TgGgimvBN-4" TargetMode="External"/><Relationship Id="rId53" Type="http://schemas.openxmlformats.org/officeDocument/2006/relationships/hyperlink" Target="https://www.figma.com/design/AzQaoPVLY9UdbDRMcrxRKx/Tech-%EA%B3%A0%EB%8F%84%ED%99%94?node-id=1616-4319&amp;t=w9FcD21TgGgimvBN-4" TargetMode="External"/><Relationship Id="rId52" Type="http://schemas.openxmlformats.org/officeDocument/2006/relationships/hyperlink" Target="https://www.figma.com/design/AzQaoPVLY9UdbDRMcrxRKx/Tech-%EA%B3%A0%EB%8F%84%ED%99%94?node-id=1616-4319&amp;t=w9FcD21TgGgimvBN-4" TargetMode="External"/><Relationship Id="rId55" Type="http://schemas.openxmlformats.org/officeDocument/2006/relationships/hyperlink" Target="https://www.figma.com/design/AzQaoPVLY9UdbDRMcrxRKx/Tech-%EA%B3%A0%EB%8F%84%ED%99%94?node-id=1616-4319&amp;t=w9FcD21TgGgimvBN-4" TargetMode="External"/><Relationship Id="rId54" Type="http://schemas.openxmlformats.org/officeDocument/2006/relationships/hyperlink" Target="https://www.figma.com/design/AzQaoPVLY9UdbDRMcrxRKx/Tech-%EA%B3%A0%EB%8F%84%ED%99%94?node-id=1616-4319&amp;t=w9FcD21TgGgimvBN-4" TargetMode="External"/><Relationship Id="rId57" Type="http://schemas.openxmlformats.org/officeDocument/2006/relationships/hyperlink" Target="https://www.figma.com/design/AzQaoPVLY9UdbDRMcrxRKx/Tech-%EA%B3%A0%EB%8F%84%ED%99%94?node-id=1616-4513&amp;t=w9FcD21TgGgimvBN-4" TargetMode="External"/><Relationship Id="rId56" Type="http://schemas.openxmlformats.org/officeDocument/2006/relationships/hyperlink" Target="https://www.figma.com/design/AzQaoPVLY9UdbDRMcrxRKx/Tech-%EA%B3%A0%EB%8F%84%ED%99%94?node-id=1616-4513&amp;t=w9FcD21TgGgimvBN-4" TargetMode="External"/><Relationship Id="rId59" Type="http://schemas.openxmlformats.org/officeDocument/2006/relationships/hyperlink" Target="https://www.figma.com/design/AzQaoPVLY9UdbDRMcrxRKx/Tech-%EA%B3%A0%EB%8F%84%ED%99%94?node-id=1616-4513&amp;t=w9FcD21TgGgimvBN-4" TargetMode="External"/><Relationship Id="rId58" Type="http://schemas.openxmlformats.org/officeDocument/2006/relationships/hyperlink" Target="https://www.figma.com/design/AzQaoPVLY9UdbDRMcrxRKx/Tech-%EA%B3%A0%EB%8F%84%ED%99%94?node-id=1616-4513&amp;t=w9FcD21TgGgimvBN-4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AzQaoPVLY9UdbDRMcrxRKx/Tech-%EA%B3%A0%EB%8F%84%ED%99%94?node-id=1620-6898&amp;t=iKFzwL8wBdDTMVIz-4" TargetMode="External"/><Relationship Id="rId42" Type="http://schemas.openxmlformats.org/officeDocument/2006/relationships/hyperlink" Target="https://www.figma.com/design/AzQaoPVLY9UdbDRMcrxRKx/Tech-%EA%B3%A0%EB%8F%84%ED%99%94?node-id=1620-6898&amp;t=iKFzwL8wBdDTMVIz-4" TargetMode="External"/><Relationship Id="rId41" Type="http://schemas.openxmlformats.org/officeDocument/2006/relationships/hyperlink" Target="https://www.figma.com/design/AzQaoPVLY9UdbDRMcrxRKx/Tech-%EA%B3%A0%EB%8F%84%ED%99%94?node-id=1620-6898&amp;t=iKFzwL8wBdDTMVIz-4" TargetMode="External"/><Relationship Id="rId44" Type="http://schemas.openxmlformats.org/officeDocument/2006/relationships/hyperlink" Target="https://www.figma.com/design/AzQaoPVLY9UdbDRMcrxRKx/Tech-%EA%B3%A0%EB%8F%84%ED%99%94?node-id=1620-6898&amp;t=iKFzwL8wBdDTMVIz-4" TargetMode="External"/><Relationship Id="rId43" Type="http://schemas.openxmlformats.org/officeDocument/2006/relationships/hyperlink" Target="https://www.figma.com/design/AzQaoPVLY9UdbDRMcrxRKx/Tech-%EA%B3%A0%EB%8F%84%ED%99%94?node-id=1620-6898&amp;t=iKFzwL8wBdDTMVIz-4" TargetMode="External"/><Relationship Id="rId46" Type="http://schemas.openxmlformats.org/officeDocument/2006/relationships/hyperlink" Target="https://www.figma.com/design/AzQaoPVLY9UdbDRMcrxRKx/Tech-%EA%B3%A0%EB%8F%84%ED%99%94?node-id=1620-6898&amp;t=iKFzwL8wBdDTMVIz-4" TargetMode="External"/><Relationship Id="rId45" Type="http://schemas.openxmlformats.org/officeDocument/2006/relationships/hyperlink" Target="https://www.figma.com/design/AzQaoPVLY9UdbDRMcrxRKx/Tech-%EA%B3%A0%EB%8F%84%ED%99%94?node-id=1620-6898&amp;t=iKFzwL8wBdDTMVIz-4" TargetMode="External"/><Relationship Id="rId48" Type="http://schemas.openxmlformats.org/officeDocument/2006/relationships/hyperlink" Target="https://www.figma.com/design/AzQaoPVLY9UdbDRMcrxRKx/Tech-%EA%B3%A0%EB%8F%84%ED%99%94?node-id=1620-6898&amp;t=iKFzwL8wBdDTMVIz-4" TargetMode="External"/><Relationship Id="rId47" Type="http://schemas.openxmlformats.org/officeDocument/2006/relationships/hyperlink" Target="https://www.figma.com/design/AzQaoPVLY9UdbDRMcrxRKx/Tech-%EA%B3%A0%EB%8F%84%ED%99%94?node-id=1620-6898&amp;t=iKFzwL8wBdDTMVIz-4" TargetMode="External"/><Relationship Id="rId49" Type="http://schemas.openxmlformats.org/officeDocument/2006/relationships/hyperlink" Target="https://www.figma.com/design/AzQaoPVLY9UdbDRMcrxRKx/Tech-%EA%B3%A0%EB%8F%84%ED%99%94?node-id=1620-6898&amp;t=iKFzwL8wBdDTMVIz-4" TargetMode="External"/><Relationship Id="rId31" Type="http://schemas.openxmlformats.org/officeDocument/2006/relationships/hyperlink" Target="https://www.figma.com/design/AzQaoPVLY9UdbDRMcrxRKx/Tech-%EA%B3%A0%EB%8F%84%ED%99%94?node-id=1620-6898&amp;t=iKFzwL8wBdDTMVIz-4" TargetMode="External"/><Relationship Id="rId30" Type="http://schemas.openxmlformats.org/officeDocument/2006/relationships/hyperlink" Target="https://www.figma.com/design/AzQaoPVLY9UdbDRMcrxRKx/Tech-%EA%B3%A0%EB%8F%84%ED%99%94?node-id=1620-6898&amp;t=iKFzwL8wBdDTMVIz-4" TargetMode="External"/><Relationship Id="rId33" Type="http://schemas.openxmlformats.org/officeDocument/2006/relationships/hyperlink" Target="https://www.figma.com/design/AzQaoPVLY9UdbDRMcrxRKx/Tech-%EA%B3%A0%EB%8F%84%ED%99%94?node-id=1620-6898&amp;t=iKFzwL8wBdDTMVIz-4" TargetMode="External"/><Relationship Id="rId32" Type="http://schemas.openxmlformats.org/officeDocument/2006/relationships/hyperlink" Target="https://www.figma.com/design/AzQaoPVLY9UdbDRMcrxRKx/Tech-%EA%B3%A0%EB%8F%84%ED%99%94?node-id=1620-6898&amp;t=iKFzwL8wBdDTMVIz-4" TargetMode="External"/><Relationship Id="rId35" Type="http://schemas.openxmlformats.org/officeDocument/2006/relationships/hyperlink" Target="https://www.figma.com/design/AzQaoPVLY9UdbDRMcrxRKx/Tech-%EA%B3%A0%EB%8F%84%ED%99%94?node-id=1620-6898&amp;t=iKFzwL8wBdDTMVIz-4" TargetMode="External"/><Relationship Id="rId34" Type="http://schemas.openxmlformats.org/officeDocument/2006/relationships/hyperlink" Target="https://www.figma.com/design/AzQaoPVLY9UdbDRMcrxRKx/Tech-%EA%B3%A0%EB%8F%84%ED%99%94?node-id=1620-6898&amp;t=iKFzwL8wBdDTMVIz-4" TargetMode="External"/><Relationship Id="rId37" Type="http://schemas.openxmlformats.org/officeDocument/2006/relationships/hyperlink" Target="https://www.figma.com/design/AzQaoPVLY9UdbDRMcrxRKx/Tech-%EA%B3%A0%EB%8F%84%ED%99%94?node-id=1620-6898&amp;t=iKFzwL8wBdDTMVIz-4" TargetMode="External"/><Relationship Id="rId36" Type="http://schemas.openxmlformats.org/officeDocument/2006/relationships/hyperlink" Target="https://www.figma.com/design/AzQaoPVLY9UdbDRMcrxRKx/Tech-%EA%B3%A0%EB%8F%84%ED%99%94?node-id=1620-6898&amp;t=iKFzwL8wBdDTMVIz-4" TargetMode="External"/><Relationship Id="rId39" Type="http://schemas.openxmlformats.org/officeDocument/2006/relationships/hyperlink" Target="https://www.figma.com/design/AzQaoPVLY9UdbDRMcrxRKx/Tech-%EA%B3%A0%EB%8F%84%ED%99%94?node-id=1620-6898&amp;t=iKFzwL8wBdDTMVIz-4" TargetMode="External"/><Relationship Id="rId38" Type="http://schemas.openxmlformats.org/officeDocument/2006/relationships/hyperlink" Target="https://www.figma.com/design/AzQaoPVLY9UdbDRMcrxRKx/Tech-%EA%B3%A0%EB%8F%84%ED%99%94?node-id=1620-6898&amp;t=iKFzwL8wBdDTMVIz-4" TargetMode="External"/><Relationship Id="rId20" Type="http://schemas.openxmlformats.org/officeDocument/2006/relationships/hyperlink" Target="https://www.figma.com/design/AzQaoPVLY9UdbDRMcrxRKx/Tech-%EA%B3%A0%EB%8F%84%ED%99%94?node-id=1568-4852&amp;t=k3ZO6lSwXMF0hDIV-4" TargetMode="External"/><Relationship Id="rId22" Type="http://schemas.openxmlformats.org/officeDocument/2006/relationships/hyperlink" Target="https://www.figma.com/design/AzQaoPVLY9UdbDRMcrxRKx/Tech-%EA%B3%A0%EB%8F%84%ED%99%94?node-id=1568-4852&amp;t=k3ZO6lSwXMF0hDIV-4" TargetMode="External"/><Relationship Id="rId21" Type="http://schemas.openxmlformats.org/officeDocument/2006/relationships/hyperlink" Target="https://www.figma.com/design/AzQaoPVLY9UdbDRMcrxRKx/Tech-%EA%B3%A0%EB%8F%84%ED%99%94?node-id=1568-4852&amp;t=k3ZO6lSwXMF0hDIV-4" TargetMode="External"/><Relationship Id="rId24" Type="http://schemas.openxmlformats.org/officeDocument/2006/relationships/hyperlink" Target="https://www.figma.com/design/AzQaoPVLY9UdbDRMcrxRKx/Tech-%EA%B3%A0%EB%8F%84%ED%99%94?node-id=1568-4852&amp;t=k3ZO6lSwXMF0hDIV-4" TargetMode="External"/><Relationship Id="rId23" Type="http://schemas.openxmlformats.org/officeDocument/2006/relationships/hyperlink" Target="https://www.figma.com/design/AzQaoPVLY9UdbDRMcrxRKx/Tech-%EA%B3%A0%EB%8F%84%ED%99%94?node-id=1568-4852&amp;t=k3ZO6lSwXMF0hDIV-4" TargetMode="External"/><Relationship Id="rId26" Type="http://schemas.openxmlformats.org/officeDocument/2006/relationships/hyperlink" Target="https://www.figma.com/design/AzQaoPVLY9UdbDRMcrxRKx/Tech-%EA%B3%A0%EB%8F%84%ED%99%94?node-id=1620-6898&amp;t=iKFzwL8wBdDTMVIz-4" TargetMode="External"/><Relationship Id="rId25" Type="http://schemas.openxmlformats.org/officeDocument/2006/relationships/hyperlink" Target="https://www.figma.com/design/AzQaoPVLY9UdbDRMcrxRKx/Tech-%EA%B3%A0%EB%8F%84%ED%99%94?node-id=1620-6898&amp;t=iKFzwL8wBdDTMVIz-4" TargetMode="External"/><Relationship Id="rId28" Type="http://schemas.openxmlformats.org/officeDocument/2006/relationships/hyperlink" Target="https://www.figma.com/design/AzQaoPVLY9UdbDRMcrxRKx/Tech-%EA%B3%A0%EB%8F%84%ED%99%94?node-id=1620-6898&amp;t=iKFzwL8wBdDTMVIz-4" TargetMode="External"/><Relationship Id="rId27" Type="http://schemas.openxmlformats.org/officeDocument/2006/relationships/hyperlink" Target="https://www.figma.com/design/AzQaoPVLY9UdbDRMcrxRKx/Tech-%EA%B3%A0%EB%8F%84%ED%99%94?node-id=1620-6898&amp;t=iKFzwL8wBdDTMVIz-4" TargetMode="External"/><Relationship Id="rId29" Type="http://schemas.openxmlformats.org/officeDocument/2006/relationships/hyperlink" Target="https://www.figma.com/design/AzQaoPVLY9UdbDRMcrxRKx/Tech-%EA%B3%A0%EB%8F%84%ED%99%94?node-id=1620-6898&amp;t=iKFzwL8wBdDTMVIz-4" TargetMode="External"/><Relationship Id="rId11" Type="http://schemas.openxmlformats.org/officeDocument/2006/relationships/hyperlink" Target="https://www.figma.com/design/AzQaoPVLY9UdbDRMcrxRKx/Tech-%EA%B3%A0%EB%8F%84%ED%99%94?node-id=1568-4852&amp;t=k3ZO6lSwXMF0hDIV-4" TargetMode="External"/><Relationship Id="rId10" Type="http://schemas.openxmlformats.org/officeDocument/2006/relationships/hyperlink" Target="https://www.figma.com/design/AzQaoPVLY9UdbDRMcrxRKx/Tech-%EA%B3%A0%EB%8F%84%ED%99%94?node-id=1568-4852&amp;t=k3ZO6lSwXMF0hDIV-4" TargetMode="External"/><Relationship Id="rId13" Type="http://schemas.openxmlformats.org/officeDocument/2006/relationships/hyperlink" Target="https://www.figma.com/design/AzQaoPVLY9UdbDRMcrxRKx/Tech-%EA%B3%A0%EB%8F%84%ED%99%94?node-id=1568-4852&amp;t=k3ZO6lSwXMF0hDIV-4" TargetMode="External"/><Relationship Id="rId12" Type="http://schemas.openxmlformats.org/officeDocument/2006/relationships/hyperlink" Target="https://www.figma.com/design/AzQaoPVLY9UdbDRMcrxRKx/Tech-%EA%B3%A0%EB%8F%84%ED%99%94?node-id=1568-4852&amp;t=k3ZO6lSwXMF0hDIV-4" TargetMode="External"/><Relationship Id="rId15" Type="http://schemas.openxmlformats.org/officeDocument/2006/relationships/hyperlink" Target="https://www.figma.com/design/AzQaoPVLY9UdbDRMcrxRKx/Tech-%EA%B3%A0%EB%8F%84%ED%99%94?node-id=1568-4852&amp;t=k3ZO6lSwXMF0hDIV-4" TargetMode="External"/><Relationship Id="rId14" Type="http://schemas.openxmlformats.org/officeDocument/2006/relationships/hyperlink" Target="https://www.figma.com/design/AzQaoPVLY9UdbDRMcrxRKx/Tech-%EA%B3%A0%EB%8F%84%ED%99%94?node-id=1568-4852&amp;t=k3ZO6lSwXMF0hDIV-4" TargetMode="External"/><Relationship Id="rId17" Type="http://schemas.openxmlformats.org/officeDocument/2006/relationships/hyperlink" Target="https://www.figma.com/design/AzQaoPVLY9UdbDRMcrxRKx/Tech-%EA%B3%A0%EB%8F%84%ED%99%94?node-id=1568-4852&amp;t=k3ZO6lSwXMF0hDIV-4" TargetMode="External"/><Relationship Id="rId16" Type="http://schemas.openxmlformats.org/officeDocument/2006/relationships/hyperlink" Target="https://www.figma.com/design/AzQaoPVLY9UdbDRMcrxRKx/Tech-%EA%B3%A0%EB%8F%84%ED%99%94?node-id=1568-4852&amp;t=k3ZO6lSwXMF0hDIV-4" TargetMode="External"/><Relationship Id="rId19" Type="http://schemas.openxmlformats.org/officeDocument/2006/relationships/hyperlink" Target="https://www.figma.com/design/AzQaoPVLY9UdbDRMcrxRKx/Tech-%EA%B3%A0%EB%8F%84%ED%99%94?node-id=1568-4852&amp;t=k3ZO6lSwXMF0hDIV-4" TargetMode="External"/><Relationship Id="rId18" Type="http://schemas.openxmlformats.org/officeDocument/2006/relationships/hyperlink" Target="https://www.figma.com/design/AzQaoPVLY9UdbDRMcrxRKx/Tech-%EA%B3%A0%EB%8F%84%ED%99%94?node-id=1568-4852&amp;t=k3ZO6lSwXMF0hDIV-4" TargetMode="External"/><Relationship Id="rId84" Type="http://schemas.openxmlformats.org/officeDocument/2006/relationships/hyperlink" Target="https://www.figma.com/design/AzQaoPVLY9UdbDRMcrxRKx/Tech-%EA%B3%A0%EB%8F%84%ED%99%94?node-id=1623-7430&amp;t=iKFzwL8wBdDTMVIz-4" TargetMode="External"/><Relationship Id="rId83" Type="http://schemas.openxmlformats.org/officeDocument/2006/relationships/hyperlink" Target="https://www.figma.com/design/AzQaoPVLY9UdbDRMcrxRKx/Tech-%EA%B3%A0%EB%8F%84%ED%99%94?node-id=1623-7430&amp;t=iKFzwL8wBdDTMVIz-4" TargetMode="External"/><Relationship Id="rId86" Type="http://schemas.openxmlformats.org/officeDocument/2006/relationships/hyperlink" Target="https://www.figma.com/design/AzQaoPVLY9UdbDRMcrxRKx/Tech-%EA%B3%A0%EB%8F%84%ED%99%94?node-id=1623-7430&amp;t=iKFzwL8wBdDTMVIz-4" TargetMode="External"/><Relationship Id="rId85" Type="http://schemas.openxmlformats.org/officeDocument/2006/relationships/hyperlink" Target="https://www.figma.com/design/AzQaoPVLY9UdbDRMcrxRKx/Tech-%EA%B3%A0%EB%8F%84%ED%99%94?node-id=1623-7430&amp;t=iKFzwL8wBdDTMVIz-4" TargetMode="External"/><Relationship Id="rId88" Type="http://schemas.openxmlformats.org/officeDocument/2006/relationships/hyperlink" Target="https://www.figma.com/design/AzQaoPVLY9UdbDRMcrxRKx/Tech-%EA%B3%A0%EB%8F%84%ED%99%94?node-id=1623-7430&amp;t=iKFzwL8wBdDTMVIz-4" TargetMode="External"/><Relationship Id="rId87" Type="http://schemas.openxmlformats.org/officeDocument/2006/relationships/hyperlink" Target="https://www.figma.com/design/AzQaoPVLY9UdbDRMcrxRKx/Tech-%EA%B3%A0%EB%8F%84%ED%99%94?node-id=1623-7430&amp;t=iKFzwL8wBdDTMVIz-4" TargetMode="External"/><Relationship Id="rId89" Type="http://schemas.openxmlformats.org/officeDocument/2006/relationships/hyperlink" Target="https://www.figma.com/design/AzQaoPVLY9UdbDRMcrxRKx/Tech-%EA%B3%A0%EB%8F%84%ED%99%94?node-id=1623-7430&amp;t=iKFzwL8wBdDTMVIz-4" TargetMode="External"/><Relationship Id="rId80" Type="http://schemas.openxmlformats.org/officeDocument/2006/relationships/hyperlink" Target="https://www.figma.com/design/AzQaoPVLY9UdbDRMcrxRKx/Tech-%EA%B3%A0%EB%8F%84%ED%99%94?node-id=1623-7430&amp;t=iKFzwL8wBdDTMVIz-4" TargetMode="External"/><Relationship Id="rId82" Type="http://schemas.openxmlformats.org/officeDocument/2006/relationships/hyperlink" Target="https://www.figma.com/design/AzQaoPVLY9UdbDRMcrxRKx/Tech-%EA%B3%A0%EB%8F%84%ED%99%94?node-id=1623-7430&amp;t=iKFzwL8wBdDTMVIz-4" TargetMode="External"/><Relationship Id="rId81" Type="http://schemas.openxmlformats.org/officeDocument/2006/relationships/hyperlink" Target="https://www.figma.com/design/AzQaoPVLY9UdbDRMcrxRKx/Tech-%EA%B3%A0%EB%8F%84%ED%99%94?node-id=1623-7430&amp;t=iKFzwL8wBdDTMVIz-4" TargetMode="External"/><Relationship Id="rId1" Type="http://schemas.openxmlformats.org/officeDocument/2006/relationships/hyperlink" Target="https://www.figma.com/design/AzQaoPVLY9UdbDRMcrxRKx/Tech-%EA%B3%A0%EB%8F%84%ED%99%94?node-id=1568-4852&amp;t=k3ZO6lSwXMF0hDIV-4" TargetMode="External"/><Relationship Id="rId2" Type="http://schemas.openxmlformats.org/officeDocument/2006/relationships/hyperlink" Target="https://www.figma.com/design/AzQaoPVLY9UdbDRMcrxRKx/Tech-%EA%B3%A0%EB%8F%84%ED%99%94?node-id=1568-4852&amp;t=k3ZO6lSwXMF0hDIV-4" TargetMode="External"/><Relationship Id="rId3" Type="http://schemas.openxmlformats.org/officeDocument/2006/relationships/hyperlink" Target="https://www.figma.com/design/AzQaoPVLY9UdbDRMcrxRKx/Tech-%EA%B3%A0%EB%8F%84%ED%99%94?node-id=1568-4852&amp;t=k3ZO6lSwXMF0hDIV-4" TargetMode="External"/><Relationship Id="rId4" Type="http://schemas.openxmlformats.org/officeDocument/2006/relationships/hyperlink" Target="https://www.figma.com/design/AzQaoPVLY9UdbDRMcrxRKx/Tech-%EA%B3%A0%EB%8F%84%ED%99%94?node-id=1568-4852&amp;t=k3ZO6lSwXMF0hDIV-4" TargetMode="External"/><Relationship Id="rId9" Type="http://schemas.openxmlformats.org/officeDocument/2006/relationships/hyperlink" Target="https://www.figma.com/design/AzQaoPVLY9UdbDRMcrxRKx/Tech-%EA%B3%A0%EB%8F%84%ED%99%94?node-id=1568-4852&amp;t=k3ZO6lSwXMF0hDIV-4" TargetMode="External"/><Relationship Id="rId5" Type="http://schemas.openxmlformats.org/officeDocument/2006/relationships/hyperlink" Target="https://www.figma.com/design/AzQaoPVLY9UdbDRMcrxRKx/Tech-%EA%B3%A0%EB%8F%84%ED%99%94?node-id=1568-4852&amp;t=k3ZO6lSwXMF0hDIV-4" TargetMode="External"/><Relationship Id="rId6" Type="http://schemas.openxmlformats.org/officeDocument/2006/relationships/hyperlink" Target="https://www.figma.com/design/AzQaoPVLY9UdbDRMcrxRKx/Tech-%EA%B3%A0%EB%8F%84%ED%99%94?node-id=1568-4852&amp;t=k3ZO6lSwXMF0hDIV-4" TargetMode="External"/><Relationship Id="rId7" Type="http://schemas.openxmlformats.org/officeDocument/2006/relationships/hyperlink" Target="https://www.figma.com/design/AzQaoPVLY9UdbDRMcrxRKx/Tech-%EA%B3%A0%EB%8F%84%ED%99%94?node-id=1568-4852&amp;t=k3ZO6lSwXMF0hDIV-4" TargetMode="External"/><Relationship Id="rId8" Type="http://schemas.openxmlformats.org/officeDocument/2006/relationships/hyperlink" Target="https://www.figma.com/design/AzQaoPVLY9UdbDRMcrxRKx/Tech-%EA%B3%A0%EB%8F%84%ED%99%94?node-id=1568-4852&amp;t=k3ZO6lSwXMF0hDIV-4" TargetMode="External"/><Relationship Id="rId73" Type="http://schemas.openxmlformats.org/officeDocument/2006/relationships/hyperlink" Target="https://www.figma.com/design/AzQaoPVLY9UdbDRMcrxRKx/Tech-%EA%B3%A0%EB%8F%84%ED%99%94?node-id=1623-7172&amp;t=iKFzwL8wBdDTMVIz-4" TargetMode="External"/><Relationship Id="rId72" Type="http://schemas.openxmlformats.org/officeDocument/2006/relationships/hyperlink" Target="https://www.figma.com/design/AzQaoPVLY9UdbDRMcrxRKx/Tech-%EA%B3%A0%EB%8F%84%ED%99%94?node-id=1623-7172&amp;t=iKFzwL8wBdDTMVIz-4" TargetMode="External"/><Relationship Id="rId75" Type="http://schemas.openxmlformats.org/officeDocument/2006/relationships/hyperlink" Target="https://www.figma.com/design/AzQaoPVLY9UdbDRMcrxRKx/Tech-%EA%B3%A0%EB%8F%84%ED%99%94?node-id=1623-7430&amp;t=iKFzwL8wBdDTMVIz-4" TargetMode="External"/><Relationship Id="rId74" Type="http://schemas.openxmlformats.org/officeDocument/2006/relationships/hyperlink" Target="https://www.figma.com/design/AzQaoPVLY9UdbDRMcrxRKx/Tech-%EA%B3%A0%EB%8F%84%ED%99%94?node-id=1623-7430&amp;t=iKFzwL8wBdDTMVIz-4" TargetMode="External"/><Relationship Id="rId77" Type="http://schemas.openxmlformats.org/officeDocument/2006/relationships/hyperlink" Target="https://www.figma.com/design/AzQaoPVLY9UdbDRMcrxRKx/Tech-%EA%B3%A0%EB%8F%84%ED%99%94?node-id=1623-7430&amp;t=iKFzwL8wBdDTMVIz-4" TargetMode="External"/><Relationship Id="rId76" Type="http://schemas.openxmlformats.org/officeDocument/2006/relationships/hyperlink" Target="https://www.figma.com/design/AzQaoPVLY9UdbDRMcrxRKx/Tech-%EA%B3%A0%EB%8F%84%ED%99%94?node-id=1623-7430&amp;t=iKFzwL8wBdDTMVIz-4" TargetMode="External"/><Relationship Id="rId79" Type="http://schemas.openxmlformats.org/officeDocument/2006/relationships/hyperlink" Target="https://www.figma.com/design/AzQaoPVLY9UdbDRMcrxRKx/Tech-%EA%B3%A0%EB%8F%84%ED%99%94?node-id=1623-7430&amp;t=iKFzwL8wBdDTMVIz-4" TargetMode="External"/><Relationship Id="rId78" Type="http://schemas.openxmlformats.org/officeDocument/2006/relationships/hyperlink" Target="https://www.figma.com/design/AzQaoPVLY9UdbDRMcrxRKx/Tech-%EA%B3%A0%EB%8F%84%ED%99%94?node-id=1623-7430&amp;t=iKFzwL8wBdDTMVIz-4" TargetMode="External"/><Relationship Id="rId71" Type="http://schemas.openxmlformats.org/officeDocument/2006/relationships/hyperlink" Target="https://www.figma.com/design/AzQaoPVLY9UdbDRMcrxRKx/Tech-%EA%B3%A0%EB%8F%84%ED%99%94?node-id=1623-7172&amp;t=iKFzwL8wBdDTMVIz-4" TargetMode="External"/><Relationship Id="rId70" Type="http://schemas.openxmlformats.org/officeDocument/2006/relationships/hyperlink" Target="https://www.figma.com/design/AzQaoPVLY9UdbDRMcrxRKx/Tech-%EA%B3%A0%EB%8F%84%ED%99%94?node-id=1623-7172&amp;t=iKFzwL8wBdDTMVIz-4" TargetMode="External"/><Relationship Id="rId62" Type="http://schemas.openxmlformats.org/officeDocument/2006/relationships/hyperlink" Target="https://www.figma.com/design/AzQaoPVLY9UdbDRMcrxRKx/Tech-%EA%B3%A0%EB%8F%84%ED%99%94?node-id=1623-7172&amp;t=iKFzwL8wBdDTMVIz-4" TargetMode="External"/><Relationship Id="rId61" Type="http://schemas.openxmlformats.org/officeDocument/2006/relationships/hyperlink" Target="https://www.figma.com/design/AzQaoPVLY9UdbDRMcrxRKx/Tech-%EA%B3%A0%EB%8F%84%ED%99%94?node-id=1623-7172&amp;t=iKFzwL8wBdDTMVIz-4" TargetMode="External"/><Relationship Id="rId64" Type="http://schemas.openxmlformats.org/officeDocument/2006/relationships/hyperlink" Target="https://www.figma.com/design/AzQaoPVLY9UdbDRMcrxRKx/Tech-%EA%B3%A0%EB%8F%84%ED%99%94?node-id=1623-7172&amp;t=iKFzwL8wBdDTMVIz-4" TargetMode="External"/><Relationship Id="rId63" Type="http://schemas.openxmlformats.org/officeDocument/2006/relationships/hyperlink" Target="https://www.figma.com/design/AzQaoPVLY9UdbDRMcrxRKx/Tech-%EA%B3%A0%EB%8F%84%ED%99%94?node-id=1623-7172&amp;t=iKFzwL8wBdDTMVIz-4" TargetMode="External"/><Relationship Id="rId66" Type="http://schemas.openxmlformats.org/officeDocument/2006/relationships/hyperlink" Target="https://www.figma.com/design/AzQaoPVLY9UdbDRMcrxRKx/Tech-%EA%B3%A0%EB%8F%84%ED%99%94?node-id=1623-7172&amp;t=iKFzwL8wBdDTMVIz-4" TargetMode="External"/><Relationship Id="rId65" Type="http://schemas.openxmlformats.org/officeDocument/2006/relationships/hyperlink" Target="https://www.figma.com/design/AzQaoPVLY9UdbDRMcrxRKx/Tech-%EA%B3%A0%EB%8F%84%ED%99%94?node-id=1623-7172&amp;t=iKFzwL8wBdDTMVIz-4" TargetMode="External"/><Relationship Id="rId68" Type="http://schemas.openxmlformats.org/officeDocument/2006/relationships/hyperlink" Target="https://www.figma.com/design/AzQaoPVLY9UdbDRMcrxRKx/Tech-%EA%B3%A0%EB%8F%84%ED%99%94?node-id=1623-7172&amp;t=iKFzwL8wBdDTMVIz-4" TargetMode="External"/><Relationship Id="rId67" Type="http://schemas.openxmlformats.org/officeDocument/2006/relationships/hyperlink" Target="https://www.figma.com/design/AzQaoPVLY9UdbDRMcrxRKx/Tech-%EA%B3%A0%EB%8F%84%ED%99%94?node-id=1623-7172&amp;t=iKFzwL8wBdDTMVIz-4" TargetMode="External"/><Relationship Id="rId60" Type="http://schemas.openxmlformats.org/officeDocument/2006/relationships/hyperlink" Target="https://www.figma.com/design/AzQaoPVLY9UdbDRMcrxRKx/Tech-%EA%B3%A0%EB%8F%84%ED%99%94?node-id=1623-7172&amp;t=iKFzwL8wBdDTMVIz-4" TargetMode="External"/><Relationship Id="rId69" Type="http://schemas.openxmlformats.org/officeDocument/2006/relationships/hyperlink" Target="https://www.figma.com/design/AzQaoPVLY9UdbDRMcrxRKx/Tech-%EA%B3%A0%EB%8F%84%ED%99%94?node-id=1623-7172&amp;t=iKFzwL8wBdDTMVIz-4" TargetMode="External"/><Relationship Id="rId51" Type="http://schemas.openxmlformats.org/officeDocument/2006/relationships/hyperlink" Target="https://www.figma.com/design/AzQaoPVLY9UdbDRMcrxRKx/Tech-%EA%B3%A0%EB%8F%84%ED%99%94?node-id=1623-7172&amp;t=iKFzwL8wBdDTMVIz-4" TargetMode="External"/><Relationship Id="rId50" Type="http://schemas.openxmlformats.org/officeDocument/2006/relationships/hyperlink" Target="https://www.figma.com/design/AzQaoPVLY9UdbDRMcrxRKx/Tech-%EA%B3%A0%EB%8F%84%ED%99%94?node-id=1620-6898&amp;t=iKFzwL8wBdDTMVIz-4" TargetMode="External"/><Relationship Id="rId53" Type="http://schemas.openxmlformats.org/officeDocument/2006/relationships/hyperlink" Target="https://www.figma.com/design/AzQaoPVLY9UdbDRMcrxRKx/Tech-%EA%B3%A0%EB%8F%84%ED%99%94?node-id=1623-7172&amp;t=iKFzwL8wBdDTMVIz-4" TargetMode="External"/><Relationship Id="rId52" Type="http://schemas.openxmlformats.org/officeDocument/2006/relationships/hyperlink" Target="https://www.figma.com/design/AzQaoPVLY9UdbDRMcrxRKx/Tech-%EA%B3%A0%EB%8F%84%ED%99%94?node-id=1623-7172&amp;t=iKFzwL8wBdDTMVIz-4" TargetMode="External"/><Relationship Id="rId55" Type="http://schemas.openxmlformats.org/officeDocument/2006/relationships/hyperlink" Target="https://www.figma.com/design/AzQaoPVLY9UdbDRMcrxRKx/Tech-%EA%B3%A0%EB%8F%84%ED%99%94?node-id=1623-7172&amp;t=iKFzwL8wBdDTMVIz-4" TargetMode="External"/><Relationship Id="rId54" Type="http://schemas.openxmlformats.org/officeDocument/2006/relationships/hyperlink" Target="https://www.figma.com/design/AzQaoPVLY9UdbDRMcrxRKx/Tech-%EA%B3%A0%EB%8F%84%ED%99%94?node-id=1623-7172&amp;t=iKFzwL8wBdDTMVIz-4" TargetMode="External"/><Relationship Id="rId57" Type="http://schemas.openxmlformats.org/officeDocument/2006/relationships/hyperlink" Target="https://www.figma.com/design/AzQaoPVLY9UdbDRMcrxRKx/Tech-%EA%B3%A0%EB%8F%84%ED%99%94?node-id=1623-7172&amp;t=iKFzwL8wBdDTMVIz-4" TargetMode="External"/><Relationship Id="rId56" Type="http://schemas.openxmlformats.org/officeDocument/2006/relationships/hyperlink" Target="https://www.figma.com/design/AzQaoPVLY9UdbDRMcrxRKx/Tech-%EA%B3%A0%EB%8F%84%ED%99%94?node-id=1623-7172&amp;t=iKFzwL8wBdDTMVIz-4" TargetMode="External"/><Relationship Id="rId59" Type="http://schemas.openxmlformats.org/officeDocument/2006/relationships/hyperlink" Target="https://www.figma.com/design/AzQaoPVLY9UdbDRMcrxRKx/Tech-%EA%B3%A0%EB%8F%84%ED%99%94?node-id=1623-7172&amp;t=iKFzwL8wBdDTMVIz-4" TargetMode="External"/><Relationship Id="rId58" Type="http://schemas.openxmlformats.org/officeDocument/2006/relationships/hyperlink" Target="https://www.figma.com/design/AzQaoPVLY9UdbDRMcrxRKx/Tech-%EA%B3%A0%EB%8F%84%ED%99%94?node-id=1623-7172&amp;t=iKFzwL8wBdDTMVIz-4" TargetMode="External"/><Relationship Id="rId95" Type="http://schemas.openxmlformats.org/officeDocument/2006/relationships/hyperlink" Target="https://www.figma.com/design/AzQaoPVLY9UdbDRMcrxRKx/Tech-%EA%B3%A0%EB%8F%84%ED%99%94?node-id=1623-7430&amp;t=iKFzwL8wBdDTMVIz-4" TargetMode="External"/><Relationship Id="rId94" Type="http://schemas.openxmlformats.org/officeDocument/2006/relationships/hyperlink" Target="https://www.figma.com/design/AzQaoPVLY9UdbDRMcrxRKx/Tech-%EA%B3%A0%EB%8F%84%ED%99%94?node-id=1623-7430&amp;t=iKFzwL8wBdDTMVIz-4" TargetMode="External"/><Relationship Id="rId97" Type="http://schemas.openxmlformats.org/officeDocument/2006/relationships/hyperlink" Target="https://www.figma.com/design/AzQaoPVLY9UdbDRMcrxRKx/Tech-%EA%B3%A0%EB%8F%84%ED%99%94?node-id=1623-7430&amp;t=iKFzwL8wBdDTMVIz-4" TargetMode="External"/><Relationship Id="rId96" Type="http://schemas.openxmlformats.org/officeDocument/2006/relationships/hyperlink" Target="https://www.figma.com/design/AzQaoPVLY9UdbDRMcrxRKx/Tech-%EA%B3%A0%EB%8F%84%ED%99%94?node-id=1623-7430&amp;t=iKFzwL8wBdDTMVIz-4" TargetMode="External"/><Relationship Id="rId98" Type="http://schemas.openxmlformats.org/officeDocument/2006/relationships/drawing" Target="../drawings/drawing12.xml"/><Relationship Id="rId91" Type="http://schemas.openxmlformats.org/officeDocument/2006/relationships/hyperlink" Target="https://www.figma.com/design/AzQaoPVLY9UdbDRMcrxRKx/Tech-%EA%B3%A0%EB%8F%84%ED%99%94?node-id=1623-7430&amp;t=iKFzwL8wBdDTMVIz-4" TargetMode="External"/><Relationship Id="rId90" Type="http://schemas.openxmlformats.org/officeDocument/2006/relationships/hyperlink" Target="https://www.figma.com/design/AzQaoPVLY9UdbDRMcrxRKx/Tech-%EA%B3%A0%EB%8F%84%ED%99%94?node-id=1623-7430&amp;t=iKFzwL8wBdDTMVIz-4" TargetMode="External"/><Relationship Id="rId93" Type="http://schemas.openxmlformats.org/officeDocument/2006/relationships/hyperlink" Target="https://www.figma.com/design/AzQaoPVLY9UdbDRMcrxRKx/Tech-%EA%B3%A0%EB%8F%84%ED%99%94?node-id=1623-7430&amp;t=iKFzwL8wBdDTMVIz-4" TargetMode="External"/><Relationship Id="rId92" Type="http://schemas.openxmlformats.org/officeDocument/2006/relationships/hyperlink" Target="https://www.figma.com/design/AzQaoPVLY9UdbDRMcrxRKx/Tech-%EA%B3%A0%EB%8F%84%ED%99%94?node-id=1623-7430&amp;t=iKFzwL8wBdDTMVIz-4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AzQaoPVLY9UdbDRMcrxRKx/Tech-%EA%B3%A0%EB%8F%84%ED%99%94?node-id=1141-6597&amp;t=fBNr0AGQOSJcHCXA-4" TargetMode="External"/><Relationship Id="rId42" Type="http://schemas.openxmlformats.org/officeDocument/2006/relationships/hyperlink" Target="https://www.figma.com/design/AzQaoPVLY9UdbDRMcrxRKx/Tech-%EA%B3%A0%EB%8F%84%ED%99%94?node-id=1141-6597&amp;t=fBNr0AGQOSJcHCXA-4" TargetMode="External"/><Relationship Id="rId41" Type="http://schemas.openxmlformats.org/officeDocument/2006/relationships/hyperlink" Target="https://www.figma.com/design/AzQaoPVLY9UdbDRMcrxRKx/Tech-%EA%B3%A0%EB%8F%84%ED%99%94?node-id=1141-6597&amp;t=fBNr0AGQOSJcHCXA-4" TargetMode="External"/><Relationship Id="rId44" Type="http://schemas.openxmlformats.org/officeDocument/2006/relationships/hyperlink" Target="https://www.figma.com/design/AzQaoPVLY9UdbDRMcrxRKx/Tech-%EA%B3%A0%EB%8F%84%ED%99%94?node-id=1141-6597&amp;t=fBNr0AGQOSJcHCXA-4" TargetMode="External"/><Relationship Id="rId43" Type="http://schemas.openxmlformats.org/officeDocument/2006/relationships/hyperlink" Target="https://www.figma.com/design/AzQaoPVLY9UdbDRMcrxRKx/Tech-%EA%B3%A0%EB%8F%84%ED%99%94?node-id=1141-6597&amp;t=fBNr0AGQOSJcHCXA-4" TargetMode="External"/><Relationship Id="rId46" Type="http://schemas.openxmlformats.org/officeDocument/2006/relationships/hyperlink" Target="https://www.figma.com/design/AzQaoPVLY9UdbDRMcrxRKx/Tech-%EA%B3%A0%EB%8F%84%ED%99%94?node-id=1141-6597&amp;t=fBNr0AGQOSJcHCXA-4" TargetMode="External"/><Relationship Id="rId45" Type="http://schemas.openxmlformats.org/officeDocument/2006/relationships/hyperlink" Target="https://www.figma.com/design/AzQaoPVLY9UdbDRMcrxRKx/Tech-%EA%B3%A0%EB%8F%84%ED%99%94?node-id=1141-6597&amp;t=fBNr0AGQOSJcHCXA-4" TargetMode="External"/><Relationship Id="rId48" Type="http://schemas.openxmlformats.org/officeDocument/2006/relationships/hyperlink" Target="https://www.figma.com/design/AzQaoPVLY9UdbDRMcrxRKx/Tech-%EA%B3%A0%EB%8F%84%ED%99%94?node-id=1141-6597&amp;t=fBNr0AGQOSJcHCXA-4" TargetMode="External"/><Relationship Id="rId47" Type="http://schemas.openxmlformats.org/officeDocument/2006/relationships/hyperlink" Target="https://www.figma.com/design/AzQaoPVLY9UdbDRMcrxRKx/Tech-%EA%B3%A0%EB%8F%84%ED%99%94?node-id=1141-6597&amp;t=fBNr0AGQOSJcHCXA-4" TargetMode="External"/><Relationship Id="rId49" Type="http://schemas.openxmlformats.org/officeDocument/2006/relationships/hyperlink" Target="https://www.figma.com/design/AzQaoPVLY9UdbDRMcrxRKx/Tech-%EA%B3%A0%EB%8F%84%ED%99%94?node-id=1141-6597&amp;t=fBNr0AGQOSJcHCXA-4" TargetMode="External"/><Relationship Id="rId31" Type="http://schemas.openxmlformats.org/officeDocument/2006/relationships/hyperlink" Target="https://smartscoretech.atlassian.net/browse/QA-14882" TargetMode="External"/><Relationship Id="rId30" Type="http://schemas.openxmlformats.org/officeDocument/2006/relationships/hyperlink" Target="https://www.figma.com/design/AzQaoPVLY9UdbDRMcrxRKx/Tech-%EA%B3%A0%EB%8F%84%ED%99%94?node-id=1141-6597&amp;t=fBNr0AGQOSJcHCXA-4" TargetMode="External"/><Relationship Id="rId33" Type="http://schemas.openxmlformats.org/officeDocument/2006/relationships/hyperlink" Target="https://www.figma.com/design/AzQaoPVLY9UdbDRMcrxRKx/Tech-%EA%B3%A0%EB%8F%84%ED%99%94?node-id=1141-6597&amp;t=fBNr0AGQOSJcHCXA-4" TargetMode="External"/><Relationship Id="rId32" Type="http://schemas.openxmlformats.org/officeDocument/2006/relationships/hyperlink" Target="https://www.figma.com/design/AzQaoPVLY9UdbDRMcrxRKx/Tech-%EA%B3%A0%EB%8F%84%ED%99%94?node-id=1141-6597&amp;t=fBNr0AGQOSJcHCXA-4" TargetMode="External"/><Relationship Id="rId35" Type="http://schemas.openxmlformats.org/officeDocument/2006/relationships/hyperlink" Target="https://www.figma.com/design/AzQaoPVLY9UdbDRMcrxRKx/Tech-%EA%B3%A0%EB%8F%84%ED%99%94?node-id=1141-6597&amp;t=fBNr0AGQOSJcHCXA-4" TargetMode="External"/><Relationship Id="rId34" Type="http://schemas.openxmlformats.org/officeDocument/2006/relationships/hyperlink" Target="https://www.figma.com/design/AzQaoPVLY9UdbDRMcrxRKx/Tech-%EA%B3%A0%EB%8F%84%ED%99%94?node-id=1141-6597&amp;t=fBNr0AGQOSJcHCXA-4" TargetMode="External"/><Relationship Id="rId37" Type="http://schemas.openxmlformats.org/officeDocument/2006/relationships/hyperlink" Target="https://www.figma.com/design/AzQaoPVLY9UdbDRMcrxRKx/Tech-%EA%B3%A0%EB%8F%84%ED%99%94?node-id=1141-6597&amp;t=fBNr0AGQOSJcHCXA-4" TargetMode="External"/><Relationship Id="rId36" Type="http://schemas.openxmlformats.org/officeDocument/2006/relationships/hyperlink" Target="https://smartscoretech.atlassian.net/browse/QA-14883" TargetMode="External"/><Relationship Id="rId39" Type="http://schemas.openxmlformats.org/officeDocument/2006/relationships/hyperlink" Target="https://www.figma.com/design/AzQaoPVLY9UdbDRMcrxRKx/Tech-%EA%B3%A0%EB%8F%84%ED%99%94?node-id=1141-6597&amp;t=fBNr0AGQOSJcHCXA-4" TargetMode="External"/><Relationship Id="rId38" Type="http://schemas.openxmlformats.org/officeDocument/2006/relationships/hyperlink" Target="https://smartscoretech.atlassian.net/browse/QA-14883" TargetMode="External"/><Relationship Id="rId20" Type="http://schemas.openxmlformats.org/officeDocument/2006/relationships/hyperlink" Target="https://www.figma.com/design/AzQaoPVLY9UdbDRMcrxRKx/Tech-%EA%B3%A0%EB%8F%84%ED%99%94?node-id=1141-6597&amp;t=fBNr0AGQOSJcHCXA-4" TargetMode="External"/><Relationship Id="rId22" Type="http://schemas.openxmlformats.org/officeDocument/2006/relationships/hyperlink" Target="https://www.figma.com/design/AzQaoPVLY9UdbDRMcrxRKx/Tech-%EA%B3%A0%EB%8F%84%ED%99%94?node-id=1141-6597&amp;t=fBNr0AGQOSJcHCXA-4" TargetMode="External"/><Relationship Id="rId21" Type="http://schemas.openxmlformats.org/officeDocument/2006/relationships/hyperlink" Target="https://smartscoretech.atlassian.net/browse/QA-14880" TargetMode="External"/><Relationship Id="rId24" Type="http://schemas.openxmlformats.org/officeDocument/2006/relationships/hyperlink" Target="https://www.figma.com/design/AzQaoPVLY9UdbDRMcrxRKx/Tech-%EA%B3%A0%EB%8F%84%ED%99%94?node-id=1141-6597&amp;t=fBNr0AGQOSJcHCXA-4" TargetMode="External"/><Relationship Id="rId23" Type="http://schemas.openxmlformats.org/officeDocument/2006/relationships/hyperlink" Target="https://www.figma.com/design/AzQaoPVLY9UdbDRMcrxRKx/Tech-%EA%B3%A0%EB%8F%84%ED%99%94?node-id=1141-6597&amp;t=fBNr0AGQOSJcHCXA-4" TargetMode="External"/><Relationship Id="rId26" Type="http://schemas.openxmlformats.org/officeDocument/2006/relationships/hyperlink" Target="https://www.figma.com/design/AzQaoPVLY9UdbDRMcrxRKx/Tech-%EA%B3%A0%EB%8F%84%ED%99%94?node-id=1141-6597&amp;t=fBNr0AGQOSJcHCXA-4" TargetMode="External"/><Relationship Id="rId25" Type="http://schemas.openxmlformats.org/officeDocument/2006/relationships/hyperlink" Target="https://www.figma.com/design/AzQaoPVLY9UdbDRMcrxRKx/Tech-%EA%B3%A0%EB%8F%84%ED%99%94?node-id=1141-6597&amp;t=fBNr0AGQOSJcHCXA-4" TargetMode="External"/><Relationship Id="rId28" Type="http://schemas.openxmlformats.org/officeDocument/2006/relationships/hyperlink" Target="https://www.figma.com/design/AzQaoPVLY9UdbDRMcrxRKx/Tech-%EA%B3%A0%EB%8F%84%ED%99%94?node-id=1141-6597&amp;t=fBNr0AGQOSJcHCXA-4" TargetMode="External"/><Relationship Id="rId27" Type="http://schemas.openxmlformats.org/officeDocument/2006/relationships/hyperlink" Target="https://www.figma.com/design/AzQaoPVLY9UdbDRMcrxRKx/Tech-%EA%B3%A0%EB%8F%84%ED%99%94?node-id=1141-6597&amp;t=fBNr0AGQOSJcHCXA-4" TargetMode="External"/><Relationship Id="rId29" Type="http://schemas.openxmlformats.org/officeDocument/2006/relationships/hyperlink" Target="https://www.figma.com/design/AzQaoPVLY9UdbDRMcrxRKx/Tech-%EA%B3%A0%EB%8F%84%ED%99%94?node-id=1141-6597&amp;t=fBNr0AGQOSJcHCXA-4" TargetMode="External"/><Relationship Id="rId11" Type="http://schemas.openxmlformats.org/officeDocument/2006/relationships/hyperlink" Target="https://www.figma.com/design/AzQaoPVLY9UdbDRMcrxRKx/Tech-%EA%B3%A0%EB%8F%84%ED%99%94?node-id=1141-6597&amp;t=fBNr0AGQOSJcHCXA-4" TargetMode="External"/><Relationship Id="rId10" Type="http://schemas.openxmlformats.org/officeDocument/2006/relationships/hyperlink" Target="https://www.figma.com/design/AzQaoPVLY9UdbDRMcrxRKx/Tech-%EA%B3%A0%EB%8F%84%ED%99%94?node-id=1141-6597&amp;t=fBNr0AGQOSJcHCXA-4" TargetMode="External"/><Relationship Id="rId13" Type="http://schemas.openxmlformats.org/officeDocument/2006/relationships/hyperlink" Target="https://www.figma.com/design/AzQaoPVLY9UdbDRMcrxRKx/Tech-%EA%B3%A0%EB%8F%84%ED%99%94?node-id=1141-6597&amp;t=fBNr0AGQOSJcHCXA-4" TargetMode="External"/><Relationship Id="rId12" Type="http://schemas.openxmlformats.org/officeDocument/2006/relationships/hyperlink" Target="https://www.figma.com/design/AzQaoPVLY9UdbDRMcrxRKx/Tech-%EA%B3%A0%EB%8F%84%ED%99%94?node-id=1141-6597&amp;t=fBNr0AGQOSJcHCXA-4" TargetMode="External"/><Relationship Id="rId15" Type="http://schemas.openxmlformats.org/officeDocument/2006/relationships/hyperlink" Target="https://www.figma.com/design/AzQaoPVLY9UdbDRMcrxRKx/Tech-%EA%B3%A0%EB%8F%84%ED%99%94?node-id=1141-6597&amp;t=fBNr0AGQOSJcHCXA-4" TargetMode="External"/><Relationship Id="rId14" Type="http://schemas.openxmlformats.org/officeDocument/2006/relationships/hyperlink" Target="https://smartscoretech.atlassian.net/browse/QA-14880" TargetMode="External"/><Relationship Id="rId17" Type="http://schemas.openxmlformats.org/officeDocument/2006/relationships/hyperlink" Target="https://www.figma.com/design/AzQaoPVLY9UdbDRMcrxRKx/Tech-%EA%B3%A0%EB%8F%84%ED%99%94?node-id=1141-6597&amp;t=fBNr0AGQOSJcHCXA-4" TargetMode="External"/><Relationship Id="rId16" Type="http://schemas.openxmlformats.org/officeDocument/2006/relationships/hyperlink" Target="https://www.figma.com/design/AzQaoPVLY9UdbDRMcrxRKx/Tech-%EA%B3%A0%EB%8F%84%ED%99%94?node-id=1141-6597&amp;t=fBNr0AGQOSJcHCXA-4" TargetMode="External"/><Relationship Id="rId19" Type="http://schemas.openxmlformats.org/officeDocument/2006/relationships/hyperlink" Target="https://www.figma.com/design/AzQaoPVLY9UdbDRMcrxRKx/Tech-%EA%B3%A0%EB%8F%84%ED%99%94?node-id=1141-6597&amp;t=fBNr0AGQOSJcHCXA-4" TargetMode="External"/><Relationship Id="rId18" Type="http://schemas.openxmlformats.org/officeDocument/2006/relationships/hyperlink" Target="https://www.figma.com/design/AzQaoPVLY9UdbDRMcrxRKx/Tech-%EA%B3%A0%EB%8F%84%ED%99%94?node-id=1141-6597&amp;t=fBNr0AGQOSJcHCXA-4" TargetMode="External"/><Relationship Id="rId84" Type="http://schemas.openxmlformats.org/officeDocument/2006/relationships/hyperlink" Target="https://www.figma.com/design/AzQaoPVLY9UdbDRMcrxRKx/Tech-%EA%B3%A0%EB%8F%84%ED%99%94?node-id=1145-8837&amp;t=oxsgLFKpHLjuwdms-4" TargetMode="External"/><Relationship Id="rId83" Type="http://schemas.openxmlformats.org/officeDocument/2006/relationships/hyperlink" Target="https://www.figma.com/design/AzQaoPVLY9UdbDRMcrxRKx/Tech-%EA%B3%A0%EB%8F%84%ED%99%94?node-id=1144-8086&amp;t=oxsgLFKpHLjuwdms-4" TargetMode="External"/><Relationship Id="rId86" Type="http://schemas.openxmlformats.org/officeDocument/2006/relationships/hyperlink" Target="https://smartscoretech.atlassian.net/browse/QA-14896" TargetMode="External"/><Relationship Id="rId85" Type="http://schemas.openxmlformats.org/officeDocument/2006/relationships/hyperlink" Target="https://www.figma.com/design/AzQaoPVLY9UdbDRMcrxRKx/Tech-%EA%B3%A0%EB%8F%84%ED%99%94?node-id=1145-8837&amp;t=oxsgLFKpHLjuwdms-4" TargetMode="External"/><Relationship Id="rId88" Type="http://schemas.openxmlformats.org/officeDocument/2006/relationships/hyperlink" Target="https://www.figma.com/design/AzQaoPVLY9UdbDRMcrxRKx/Tech-%EA%B3%A0%EB%8F%84%ED%99%94?node-id=1145-8837&amp;t=oxsgLFKpHLjuwdms-4" TargetMode="External"/><Relationship Id="rId87" Type="http://schemas.openxmlformats.org/officeDocument/2006/relationships/hyperlink" Target="http://yyyy.mm/" TargetMode="External"/><Relationship Id="rId89" Type="http://schemas.openxmlformats.org/officeDocument/2006/relationships/hyperlink" Target="https://www.figma.com/design/AzQaoPVLY9UdbDRMcrxRKx/Tech-%EA%B3%A0%EB%8F%84%ED%99%94?node-id=1145-8837&amp;t=oxsgLFKpHLjuwdms-4" TargetMode="External"/><Relationship Id="rId80" Type="http://schemas.openxmlformats.org/officeDocument/2006/relationships/hyperlink" Target="https://www.figma.com/design/AzQaoPVLY9UdbDRMcrxRKx/Tech-%EA%B3%A0%EB%8F%84%ED%99%94?node-id=1144-8086&amp;t=oxsgLFKpHLjuwdms-4" TargetMode="External"/><Relationship Id="rId82" Type="http://schemas.openxmlformats.org/officeDocument/2006/relationships/hyperlink" Target="https://www.figma.com/design/AzQaoPVLY9UdbDRMcrxRKx/Tech-%EA%B3%A0%EB%8F%84%ED%99%94?node-id=1144-8086&amp;t=oxsgLFKpHLjuwdms-4" TargetMode="External"/><Relationship Id="rId81" Type="http://schemas.openxmlformats.org/officeDocument/2006/relationships/hyperlink" Target="https://www.figma.com/design/AzQaoPVLY9UdbDRMcrxRKx/Tech-%EA%B3%A0%EB%8F%84%ED%99%94?node-id=1144-8086&amp;t=oxsgLFKpHLjuwdms-4" TargetMode="External"/><Relationship Id="rId1" Type="http://schemas.openxmlformats.org/officeDocument/2006/relationships/hyperlink" Target="https://www.figma.com/design/AzQaoPVLY9UdbDRMcrxRKx/Tech-%EA%B3%A0%EB%8F%84%ED%99%94?node-id=1141-6597&amp;t=fBNr0AGQOSJcHCXA-4" TargetMode="External"/><Relationship Id="rId2" Type="http://schemas.openxmlformats.org/officeDocument/2006/relationships/hyperlink" Target="https://www.figma.com/design/AzQaoPVLY9UdbDRMcrxRKx/Tech-%EA%B3%A0%EB%8F%84%ED%99%94?node-id=1141-6597&amp;t=fBNr0AGQOSJcHCXA-4" TargetMode="External"/><Relationship Id="rId3" Type="http://schemas.openxmlformats.org/officeDocument/2006/relationships/hyperlink" Target="https://www.figma.com/design/AzQaoPVLY9UdbDRMcrxRKx/Tech-%EA%B3%A0%EB%8F%84%ED%99%94?node-id=1141-6597&amp;t=fBNr0AGQOSJcHCXA-4" TargetMode="External"/><Relationship Id="rId4" Type="http://schemas.openxmlformats.org/officeDocument/2006/relationships/hyperlink" Target="https://www.figma.com/design/AzQaoPVLY9UdbDRMcrxRKx/Tech-%EA%B3%A0%EB%8F%84%ED%99%94?node-id=1141-6597&amp;t=fBNr0AGQOSJcHCXA-4" TargetMode="External"/><Relationship Id="rId9" Type="http://schemas.openxmlformats.org/officeDocument/2006/relationships/hyperlink" Target="https://www.figma.com/design/AzQaoPVLY9UdbDRMcrxRKx/Tech-%EA%B3%A0%EB%8F%84%ED%99%94?node-id=1141-6597&amp;t=fBNr0AGQOSJcHCXA-4" TargetMode="External"/><Relationship Id="rId5" Type="http://schemas.openxmlformats.org/officeDocument/2006/relationships/hyperlink" Target="https://www.figma.com/design/AzQaoPVLY9UdbDRMcrxRKx/Tech-%EA%B3%A0%EB%8F%84%ED%99%94?node-id=1141-6597&amp;t=fBNr0AGQOSJcHCXA-4" TargetMode="External"/><Relationship Id="rId6" Type="http://schemas.openxmlformats.org/officeDocument/2006/relationships/hyperlink" Target="https://smartscoretech.atlassian.net/browse/QA-14880" TargetMode="External"/><Relationship Id="rId7" Type="http://schemas.openxmlformats.org/officeDocument/2006/relationships/hyperlink" Target="https://www.figma.com/design/AzQaoPVLY9UdbDRMcrxRKx/Tech-%EA%B3%A0%EB%8F%84%ED%99%94?node-id=1141-6597&amp;t=fBNr0AGQOSJcHCXA-4" TargetMode="External"/><Relationship Id="rId8" Type="http://schemas.openxmlformats.org/officeDocument/2006/relationships/hyperlink" Target="https://www.figma.com/design/AzQaoPVLY9UdbDRMcrxRKx/Tech-%EA%B3%A0%EB%8F%84%ED%99%94?node-id=1141-6597&amp;t=fBNr0AGQOSJcHCXA-4" TargetMode="External"/><Relationship Id="rId73" Type="http://schemas.openxmlformats.org/officeDocument/2006/relationships/hyperlink" Target="https://www.figma.com/design/AzQaoPVLY9UdbDRMcrxRKx/Tech-%EA%B3%A0%EB%8F%84%ED%99%94?node-id=1144-8086&amp;t=oxsgLFKpHLjuwdms-4" TargetMode="External"/><Relationship Id="rId72" Type="http://schemas.openxmlformats.org/officeDocument/2006/relationships/hyperlink" Target="https://www.figma.com/design/AzQaoPVLY9UdbDRMcrxRKx/Tech-%EA%B3%A0%EB%8F%84%ED%99%94?node-id=1144-8086&amp;t=oxsgLFKpHLjuwdms-4" TargetMode="External"/><Relationship Id="rId75" Type="http://schemas.openxmlformats.org/officeDocument/2006/relationships/hyperlink" Target="https://www.figma.com/design/AzQaoPVLY9UdbDRMcrxRKx/Tech-%EA%B3%A0%EB%8F%84%ED%99%94?node-id=1144-8086&amp;t=oxsgLFKpHLjuwdms-4" TargetMode="External"/><Relationship Id="rId74" Type="http://schemas.openxmlformats.org/officeDocument/2006/relationships/hyperlink" Target="https://www.figma.com/design/AzQaoPVLY9UdbDRMcrxRKx/Tech-%EA%B3%A0%EB%8F%84%ED%99%94?node-id=1144-8086&amp;t=oxsgLFKpHLjuwdms-4" TargetMode="External"/><Relationship Id="rId77" Type="http://schemas.openxmlformats.org/officeDocument/2006/relationships/hyperlink" Target="https://www.figma.com/design/AzQaoPVLY9UdbDRMcrxRKx/Tech-%EA%B3%A0%EB%8F%84%ED%99%94?node-id=1144-8086&amp;t=oxsgLFKpHLjuwdms-4" TargetMode="External"/><Relationship Id="rId76" Type="http://schemas.openxmlformats.org/officeDocument/2006/relationships/hyperlink" Target="https://www.figma.com/design/AzQaoPVLY9UdbDRMcrxRKx/Tech-%EA%B3%A0%EB%8F%84%ED%99%94?node-id=1144-8086&amp;t=oxsgLFKpHLjuwdms-4" TargetMode="External"/><Relationship Id="rId79" Type="http://schemas.openxmlformats.org/officeDocument/2006/relationships/hyperlink" Target="https://www.figma.com/design/AzQaoPVLY9UdbDRMcrxRKx/Tech-%EA%B3%A0%EB%8F%84%ED%99%94?node-id=1144-8086&amp;t=oxsgLFKpHLjuwdms-4" TargetMode="External"/><Relationship Id="rId78" Type="http://schemas.openxmlformats.org/officeDocument/2006/relationships/hyperlink" Target="https://www.figma.com/design/AzQaoPVLY9UdbDRMcrxRKx/Tech-%EA%B3%A0%EB%8F%84%ED%99%94?node-id=1144-8086&amp;t=oxsgLFKpHLjuwdms-4" TargetMode="External"/><Relationship Id="rId71" Type="http://schemas.openxmlformats.org/officeDocument/2006/relationships/hyperlink" Target="https://www.figma.com/design/AzQaoPVLY9UdbDRMcrxRKx/Tech-%EA%B3%A0%EB%8F%84%ED%99%94?node-id=1144-8086&amp;t=oxsgLFKpHLjuwdms-4" TargetMode="External"/><Relationship Id="rId70" Type="http://schemas.openxmlformats.org/officeDocument/2006/relationships/hyperlink" Target="https://www.figma.com/design/AzQaoPVLY9UdbDRMcrxRKx/Tech-%EA%B3%A0%EB%8F%84%ED%99%94?node-id=1144-8086&amp;t=oxsgLFKpHLjuwdms-4" TargetMode="External"/><Relationship Id="rId62" Type="http://schemas.openxmlformats.org/officeDocument/2006/relationships/hyperlink" Target="https://www.figma.com/design/AzQaoPVLY9UdbDRMcrxRKx/Tech-%EA%B3%A0%EB%8F%84%ED%99%94?node-id=1141-6597&amp;t=fBNr0AGQOSJcHCXA-4" TargetMode="External"/><Relationship Id="rId61" Type="http://schemas.openxmlformats.org/officeDocument/2006/relationships/hyperlink" Target="https://www.figma.com/design/AzQaoPVLY9UdbDRMcrxRKx/Tech-%EA%B3%A0%EB%8F%84%ED%99%94?node-id=1141-6597&amp;t=fBNr0AGQOSJcHCXA-4" TargetMode="External"/><Relationship Id="rId64" Type="http://schemas.openxmlformats.org/officeDocument/2006/relationships/hyperlink" Target="https://www.figma.com/design/AzQaoPVLY9UdbDRMcrxRKx/Tech-%EA%B3%A0%EB%8F%84%ED%99%94?node-id=1144-8086&amp;t=oxsgLFKpHLjuwdms-4" TargetMode="External"/><Relationship Id="rId63" Type="http://schemas.openxmlformats.org/officeDocument/2006/relationships/hyperlink" Target="https://www.figma.com/design/AzQaoPVLY9UdbDRMcrxRKx/Tech-%EA%B3%A0%EB%8F%84%ED%99%94?node-id=1144-8086&amp;t=oxsgLFKpHLjuwdms-4" TargetMode="External"/><Relationship Id="rId66" Type="http://schemas.openxmlformats.org/officeDocument/2006/relationships/hyperlink" Target="https://www.figma.com/design/AzQaoPVLY9UdbDRMcrxRKx/Tech-%EA%B3%A0%EB%8F%84%ED%99%94?node-id=1144-8086&amp;t=oxsgLFKpHLjuwdms-4" TargetMode="External"/><Relationship Id="rId65" Type="http://schemas.openxmlformats.org/officeDocument/2006/relationships/hyperlink" Target="https://www.figma.com/design/AzQaoPVLY9UdbDRMcrxRKx/Tech-%EA%B3%A0%EB%8F%84%ED%99%94?node-id=1144-8086&amp;t=oxsgLFKpHLjuwdms-4" TargetMode="External"/><Relationship Id="rId68" Type="http://schemas.openxmlformats.org/officeDocument/2006/relationships/hyperlink" Target="https://www.figma.com/design/AzQaoPVLY9UdbDRMcrxRKx/Tech-%EA%B3%A0%EB%8F%84%ED%99%94?node-id=1144-8086&amp;t=oxsgLFKpHLjuwdms-4" TargetMode="External"/><Relationship Id="rId67" Type="http://schemas.openxmlformats.org/officeDocument/2006/relationships/hyperlink" Target="https://www.figma.com/design/AzQaoPVLY9UdbDRMcrxRKx/Tech-%EA%B3%A0%EB%8F%84%ED%99%94?node-id=1144-8086&amp;t=oxsgLFKpHLjuwdms-4" TargetMode="External"/><Relationship Id="rId60" Type="http://schemas.openxmlformats.org/officeDocument/2006/relationships/hyperlink" Target="https://www.figma.com/design/AzQaoPVLY9UdbDRMcrxRKx/Tech-%EA%B3%A0%EB%8F%84%ED%99%94?node-id=1141-6597&amp;t=fBNr0AGQOSJcHCXA-4" TargetMode="External"/><Relationship Id="rId69" Type="http://schemas.openxmlformats.org/officeDocument/2006/relationships/hyperlink" Target="https://www.figma.com/design/AzQaoPVLY9UdbDRMcrxRKx/Tech-%EA%B3%A0%EB%8F%84%ED%99%94?node-id=1144-8086&amp;t=oxsgLFKpHLjuwdms-4" TargetMode="External"/><Relationship Id="rId51" Type="http://schemas.openxmlformats.org/officeDocument/2006/relationships/hyperlink" Target="https://www.figma.com/design/AzQaoPVLY9UdbDRMcrxRKx/Tech-%EA%B3%A0%EB%8F%84%ED%99%94?node-id=1141-6597&amp;t=fBNr0AGQOSJcHCXA-4" TargetMode="External"/><Relationship Id="rId50" Type="http://schemas.openxmlformats.org/officeDocument/2006/relationships/hyperlink" Target="https://www.figma.com/design/AzQaoPVLY9UdbDRMcrxRKx/Tech-%EA%B3%A0%EB%8F%84%ED%99%94?node-id=1141-6597&amp;t=fBNr0AGQOSJcHCXA-4" TargetMode="External"/><Relationship Id="rId53" Type="http://schemas.openxmlformats.org/officeDocument/2006/relationships/hyperlink" Target="https://www.figma.com/design/AzQaoPVLY9UdbDRMcrxRKx/Tech-%EA%B3%A0%EB%8F%84%ED%99%94?node-id=1141-6597&amp;t=fBNr0AGQOSJcHCXA-4" TargetMode="External"/><Relationship Id="rId52" Type="http://schemas.openxmlformats.org/officeDocument/2006/relationships/hyperlink" Target="https://www.figma.com/design/AzQaoPVLY9UdbDRMcrxRKx/Tech-%EA%B3%A0%EB%8F%84%ED%99%94?node-id=1141-6597&amp;t=fBNr0AGQOSJcHCXA-4" TargetMode="External"/><Relationship Id="rId55" Type="http://schemas.openxmlformats.org/officeDocument/2006/relationships/hyperlink" Target="https://www.figma.com/design/AzQaoPVLY9UdbDRMcrxRKx/Tech-%EA%B3%A0%EB%8F%84%ED%99%94?node-id=1141-6597&amp;t=fBNr0AGQOSJcHCXA-4" TargetMode="External"/><Relationship Id="rId54" Type="http://schemas.openxmlformats.org/officeDocument/2006/relationships/hyperlink" Target="https://www.figma.com/design/AzQaoPVLY9UdbDRMcrxRKx/Tech-%EA%B3%A0%EB%8F%84%ED%99%94?node-id=1141-6597&amp;t=fBNr0AGQOSJcHCXA-4" TargetMode="External"/><Relationship Id="rId57" Type="http://schemas.openxmlformats.org/officeDocument/2006/relationships/hyperlink" Target="https://www.figma.com/design/AzQaoPVLY9UdbDRMcrxRKx/Tech-%EA%B3%A0%EB%8F%84%ED%99%94?node-id=1141-6597&amp;t=fBNr0AGQOSJcHCXA-4" TargetMode="External"/><Relationship Id="rId56" Type="http://schemas.openxmlformats.org/officeDocument/2006/relationships/hyperlink" Target="https://www.figma.com/design/AzQaoPVLY9UdbDRMcrxRKx/Tech-%EA%B3%A0%EB%8F%84%ED%99%94?node-id=1141-6597&amp;t=fBNr0AGQOSJcHCXA-4" TargetMode="External"/><Relationship Id="rId59" Type="http://schemas.openxmlformats.org/officeDocument/2006/relationships/hyperlink" Target="https://www.figma.com/design/AzQaoPVLY9UdbDRMcrxRKx/Tech-%EA%B3%A0%EB%8F%84%ED%99%94?node-id=1141-6597&amp;t=fBNr0AGQOSJcHCXA-4" TargetMode="External"/><Relationship Id="rId58" Type="http://schemas.openxmlformats.org/officeDocument/2006/relationships/hyperlink" Target="https://www.figma.com/design/AzQaoPVLY9UdbDRMcrxRKx/Tech-%EA%B3%A0%EB%8F%84%ED%99%94?node-id=1141-6597&amp;t=fBNr0AGQOSJcHCXA-4" TargetMode="External"/><Relationship Id="rId91" Type="http://schemas.openxmlformats.org/officeDocument/2006/relationships/hyperlink" Target="https://www.figma.com/design/AzQaoPVLY9UdbDRMcrxRKx/Tech-%EA%B3%A0%EB%8F%84%ED%99%94?node-id=1145-8837&amp;t=oxsgLFKpHLjuwdms-4" TargetMode="External"/><Relationship Id="rId90" Type="http://schemas.openxmlformats.org/officeDocument/2006/relationships/hyperlink" Target="https://www.figma.com/design/AzQaoPVLY9UdbDRMcrxRKx/Tech-%EA%B3%A0%EB%8F%84%ED%99%94?node-id=1145-8837&amp;t=oxsgLFKpHLjuwdms-4" TargetMode="External"/><Relationship Id="rId9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AzQaoPVLY9UdbDRMcrxRKx/Tech-%EA%B3%A0%EB%8F%84%ED%99%94?node-id=4020-6738&amp;t=oxsgLFKpHLjuwdms-4" TargetMode="External"/><Relationship Id="rId190" Type="http://schemas.openxmlformats.org/officeDocument/2006/relationships/hyperlink" Target="https://www.figma.com/design/AzQaoPVLY9UdbDRMcrxRKx/Tech-%EA%B3%A0%EB%8F%84%ED%99%94?node-id=4021-7312&amp;t=oxsgLFKpHLjuwdms-4" TargetMode="External"/><Relationship Id="rId42" Type="http://schemas.openxmlformats.org/officeDocument/2006/relationships/hyperlink" Target="https://www.figma.com/design/AzQaoPVLY9UdbDRMcrxRKx/Tech-%EA%B3%A0%EB%8F%84%ED%99%94?node-id=4020-6738&amp;t=oxsgLFKpHLjuwdms-4" TargetMode="External"/><Relationship Id="rId41" Type="http://schemas.openxmlformats.org/officeDocument/2006/relationships/hyperlink" Target="https://www.figma.com/design/AzQaoPVLY9UdbDRMcrxRKx/Tech-%EA%B3%A0%EB%8F%84%ED%99%94?node-id=4020-6738&amp;t=oxsgLFKpHLjuwdms-4" TargetMode="External"/><Relationship Id="rId44" Type="http://schemas.openxmlformats.org/officeDocument/2006/relationships/hyperlink" Target="https://www.figma.com/design/AzQaoPVLY9UdbDRMcrxRKx/Tech-%EA%B3%A0%EB%8F%84%ED%99%94?node-id=4020-6738&amp;t=oxsgLFKpHLjuwdms-4" TargetMode="External"/><Relationship Id="rId194" Type="http://schemas.openxmlformats.org/officeDocument/2006/relationships/hyperlink" Target="https://www.figma.com/design/AzQaoPVLY9UdbDRMcrxRKx/Tech-%EA%B3%A0%EB%8F%84%ED%99%94?node-id=4021-7312&amp;t=oxsgLFKpHLjuwdms-4" TargetMode="External"/><Relationship Id="rId43" Type="http://schemas.openxmlformats.org/officeDocument/2006/relationships/hyperlink" Target="https://www.figma.com/design/AzQaoPVLY9UdbDRMcrxRKx/Tech-%EA%B3%A0%EB%8F%84%ED%99%94?node-id=4020-6738&amp;t=oxsgLFKpHLjuwdms-4" TargetMode="External"/><Relationship Id="rId193" Type="http://schemas.openxmlformats.org/officeDocument/2006/relationships/hyperlink" Target="https://www.figma.com/design/AzQaoPVLY9UdbDRMcrxRKx/Tech-%EA%B3%A0%EB%8F%84%ED%99%94?node-id=4021-7312&amp;t=oxsgLFKpHLjuwdms-4" TargetMode="External"/><Relationship Id="rId46" Type="http://schemas.openxmlformats.org/officeDocument/2006/relationships/hyperlink" Target="https://www.figma.com/design/AzQaoPVLY9UdbDRMcrxRKx/Tech-%EA%B3%A0%EB%8F%84%ED%99%94?node-id=4020-6738&amp;t=oxsgLFKpHLjuwdms-4" TargetMode="External"/><Relationship Id="rId192" Type="http://schemas.openxmlformats.org/officeDocument/2006/relationships/hyperlink" Target="https://www.figma.com/design/AzQaoPVLY9UdbDRMcrxRKx/Tech-%EA%B3%A0%EB%8F%84%ED%99%94?node-id=4021-7312&amp;t=oxsgLFKpHLjuwdms-4" TargetMode="External"/><Relationship Id="rId45" Type="http://schemas.openxmlformats.org/officeDocument/2006/relationships/hyperlink" Target="https://www.figma.com/design/AzQaoPVLY9UdbDRMcrxRKx/Tech-%EA%B3%A0%EB%8F%84%ED%99%94?node-id=4020-6738&amp;t=oxsgLFKpHLjuwdms-4" TargetMode="External"/><Relationship Id="rId191" Type="http://schemas.openxmlformats.org/officeDocument/2006/relationships/hyperlink" Target="https://www.figma.com/design/AzQaoPVLY9UdbDRMcrxRKx/Tech-%EA%B3%A0%EB%8F%84%ED%99%94?node-id=4021-7312&amp;t=oxsgLFKpHLjuwdms-4" TargetMode="External"/><Relationship Id="rId48" Type="http://schemas.openxmlformats.org/officeDocument/2006/relationships/hyperlink" Target="https://www.figma.com/design/AzQaoPVLY9UdbDRMcrxRKx/Tech-%EA%B3%A0%EB%8F%84%ED%99%94?node-id=4021-7025&amp;t=oxsgLFKpHLjuwdms-4" TargetMode="External"/><Relationship Id="rId187" Type="http://schemas.openxmlformats.org/officeDocument/2006/relationships/hyperlink" Target="https://www.figma.com/design/AzQaoPVLY9UdbDRMcrxRKx/Tech-%EA%B3%A0%EB%8F%84%ED%99%94?node-id=4021-7312&amp;t=oxsgLFKpHLjuwdms-4" TargetMode="External"/><Relationship Id="rId47" Type="http://schemas.openxmlformats.org/officeDocument/2006/relationships/hyperlink" Target="https://www.figma.com/design/AzQaoPVLY9UdbDRMcrxRKx/Tech-%EA%B3%A0%EB%8F%84%ED%99%94?node-id=4021-7025&amp;t=oxsgLFKpHLjuwdms-4" TargetMode="External"/><Relationship Id="rId186" Type="http://schemas.openxmlformats.org/officeDocument/2006/relationships/hyperlink" Target="https://www.figma.com/design/AzQaoPVLY9UdbDRMcrxRKx/Tech-%EA%B3%A0%EB%8F%84%ED%99%94?node-id=4021-7312&amp;t=oxsgLFKpHLjuwdms-4" TargetMode="External"/><Relationship Id="rId185" Type="http://schemas.openxmlformats.org/officeDocument/2006/relationships/hyperlink" Target="https://www.figma.com/design/AzQaoPVLY9UdbDRMcrxRKx/Tech-%EA%B3%A0%EB%8F%84%ED%99%94?node-id=4021-7312&amp;t=oxsgLFKpHLjuwdms-4" TargetMode="External"/><Relationship Id="rId49" Type="http://schemas.openxmlformats.org/officeDocument/2006/relationships/hyperlink" Target="https://www.figma.com/design/AzQaoPVLY9UdbDRMcrxRKx/Tech-%EA%B3%A0%EB%8F%84%ED%99%94?node-id=4021-7025&amp;t=oxsgLFKpHLjuwdms-4" TargetMode="External"/><Relationship Id="rId184" Type="http://schemas.openxmlformats.org/officeDocument/2006/relationships/hyperlink" Target="https://www.figma.com/design/AzQaoPVLY9UdbDRMcrxRKx/Tech-%EA%B3%A0%EB%8F%84%ED%99%94?node-id=4021-7312&amp;t=oxsgLFKpHLjuwdms-4" TargetMode="External"/><Relationship Id="rId189" Type="http://schemas.openxmlformats.org/officeDocument/2006/relationships/hyperlink" Target="https://www.figma.com/design/AzQaoPVLY9UdbDRMcrxRKx/Tech-%EA%B3%A0%EB%8F%84%ED%99%94?node-id=4021-7312&amp;t=oxsgLFKpHLjuwdms-4" TargetMode="External"/><Relationship Id="rId188" Type="http://schemas.openxmlformats.org/officeDocument/2006/relationships/hyperlink" Target="https://www.figma.com/design/AzQaoPVLY9UdbDRMcrxRKx/Tech-%EA%B3%A0%EB%8F%84%ED%99%94?node-id=4021-7312&amp;t=oxsgLFKpHLjuwdms-4" TargetMode="External"/><Relationship Id="rId31" Type="http://schemas.openxmlformats.org/officeDocument/2006/relationships/hyperlink" Target="https://www.figma.com/design/AzQaoPVLY9UdbDRMcrxRKx/Tech-%EA%B3%A0%EB%8F%84%ED%99%94?node-id=4020-6738&amp;t=oxsgLFKpHLjuwdms-4" TargetMode="External"/><Relationship Id="rId30" Type="http://schemas.openxmlformats.org/officeDocument/2006/relationships/hyperlink" Target="https://www.figma.com/design/AzQaoPVLY9UdbDRMcrxRKx/Tech-%EA%B3%A0%EB%8F%84%ED%99%94?node-id=4020-6738&amp;t=oxsgLFKpHLjuwdms-4" TargetMode="External"/><Relationship Id="rId33" Type="http://schemas.openxmlformats.org/officeDocument/2006/relationships/hyperlink" Target="https://www.figma.com/design/AzQaoPVLY9UdbDRMcrxRKx/Tech-%EA%B3%A0%EB%8F%84%ED%99%94?node-id=4020-6738&amp;t=oxsgLFKpHLjuwdms-4" TargetMode="External"/><Relationship Id="rId183" Type="http://schemas.openxmlformats.org/officeDocument/2006/relationships/hyperlink" Target="https://www.figma.com/design/AzQaoPVLY9UdbDRMcrxRKx/Tech-%EA%B3%A0%EB%8F%84%ED%99%94?node-id=4021-7312&amp;t=oxsgLFKpHLjuwdms-4" TargetMode="External"/><Relationship Id="rId32" Type="http://schemas.openxmlformats.org/officeDocument/2006/relationships/hyperlink" Target="https://www.figma.com/design/AzQaoPVLY9UdbDRMcrxRKx/Tech-%EA%B3%A0%EB%8F%84%ED%99%94?node-id=4020-6738&amp;t=oxsgLFKpHLjuwdms-4" TargetMode="External"/><Relationship Id="rId182" Type="http://schemas.openxmlformats.org/officeDocument/2006/relationships/hyperlink" Target="https://www.figma.com/design/AzQaoPVLY9UdbDRMcrxRKx/Tech-%EA%B3%A0%EB%8F%84%ED%99%94?node-id=4021-7312&amp;t=oxsgLFKpHLjuwdms-4" TargetMode="External"/><Relationship Id="rId35" Type="http://schemas.openxmlformats.org/officeDocument/2006/relationships/hyperlink" Target="https://www.figma.com/design/AzQaoPVLY9UdbDRMcrxRKx/Tech-%EA%B3%A0%EB%8F%84%ED%99%94?node-id=4020-6738&amp;t=oxsgLFKpHLjuwdms-4" TargetMode="External"/><Relationship Id="rId181" Type="http://schemas.openxmlformats.org/officeDocument/2006/relationships/hyperlink" Target="https://www.figma.com/design/AzQaoPVLY9UdbDRMcrxRKx/Tech-%EA%B3%A0%EB%8F%84%ED%99%94?node-id=4021-7312&amp;t=oxsgLFKpHLjuwdms-4" TargetMode="External"/><Relationship Id="rId34" Type="http://schemas.openxmlformats.org/officeDocument/2006/relationships/hyperlink" Target="https://www.figma.com/design/AzQaoPVLY9UdbDRMcrxRKx/Tech-%EA%B3%A0%EB%8F%84%ED%99%94?node-id=4020-6738&amp;t=oxsgLFKpHLjuwdms-4" TargetMode="External"/><Relationship Id="rId180" Type="http://schemas.openxmlformats.org/officeDocument/2006/relationships/hyperlink" Target="https://www.figma.com/design/AzQaoPVLY9UdbDRMcrxRKx/Tech-%EA%B3%A0%EB%8F%84%ED%99%94?node-id=4021-7312&amp;t=oxsgLFKpHLjuwdms-4" TargetMode="External"/><Relationship Id="rId37" Type="http://schemas.openxmlformats.org/officeDocument/2006/relationships/hyperlink" Target="https://www.figma.com/design/AzQaoPVLY9UdbDRMcrxRKx/Tech-%EA%B3%A0%EB%8F%84%ED%99%94?node-id=4020-6738&amp;t=oxsgLFKpHLjuwdms-4" TargetMode="External"/><Relationship Id="rId176" Type="http://schemas.openxmlformats.org/officeDocument/2006/relationships/hyperlink" Target="https://www.figma.com/design/AzQaoPVLY9UdbDRMcrxRKx/Tech-%EA%B3%A0%EB%8F%84%ED%99%94?node-id=4021-7312&amp;t=oxsgLFKpHLjuwdms-4" TargetMode="External"/><Relationship Id="rId36" Type="http://schemas.openxmlformats.org/officeDocument/2006/relationships/hyperlink" Target="https://www.figma.com/design/AzQaoPVLY9UdbDRMcrxRKx/Tech-%EA%B3%A0%EB%8F%84%ED%99%94?node-id=4020-6738&amp;t=oxsgLFKpHLjuwdms-4" TargetMode="External"/><Relationship Id="rId175" Type="http://schemas.openxmlformats.org/officeDocument/2006/relationships/hyperlink" Target="https://www.figma.com/design/AzQaoPVLY9UdbDRMcrxRKx/Tech-%EA%B3%A0%EB%8F%84%ED%99%94?node-id=4021-7312&amp;t=oxsgLFKpHLjuwdms-4" TargetMode="External"/><Relationship Id="rId39" Type="http://schemas.openxmlformats.org/officeDocument/2006/relationships/hyperlink" Target="https://www.figma.com/design/AzQaoPVLY9UdbDRMcrxRKx/Tech-%EA%B3%A0%EB%8F%84%ED%99%94?node-id=4020-6738&amp;t=oxsgLFKpHLjuwdms-4" TargetMode="External"/><Relationship Id="rId174" Type="http://schemas.openxmlformats.org/officeDocument/2006/relationships/hyperlink" Target="https://www.figma.com/design/AzQaoPVLY9UdbDRMcrxRKx/Tech-%EA%B3%A0%EB%8F%84%ED%99%94?node-id=4021-7312&amp;t=oxsgLFKpHLjuwdms-4" TargetMode="External"/><Relationship Id="rId38" Type="http://schemas.openxmlformats.org/officeDocument/2006/relationships/hyperlink" Target="https://www.figma.com/design/AzQaoPVLY9UdbDRMcrxRKx/Tech-%EA%B3%A0%EB%8F%84%ED%99%94?node-id=4020-6738&amp;t=oxsgLFKpHLjuwdms-4" TargetMode="External"/><Relationship Id="rId173" Type="http://schemas.openxmlformats.org/officeDocument/2006/relationships/hyperlink" Target="https://www.figma.com/design/AzQaoPVLY9UdbDRMcrxRKx/Tech-%EA%B3%A0%EB%8F%84%ED%99%94?node-id=4021-7312&amp;t=oxsgLFKpHLjuwdms-4" TargetMode="External"/><Relationship Id="rId179" Type="http://schemas.openxmlformats.org/officeDocument/2006/relationships/hyperlink" Target="https://www.figma.com/design/AzQaoPVLY9UdbDRMcrxRKx/Tech-%EA%B3%A0%EB%8F%84%ED%99%94?node-id=4021-7312&amp;t=oxsgLFKpHLjuwdms-4" TargetMode="External"/><Relationship Id="rId178" Type="http://schemas.openxmlformats.org/officeDocument/2006/relationships/hyperlink" Target="https://www.figma.com/design/AzQaoPVLY9UdbDRMcrxRKx/Tech-%EA%B3%A0%EB%8F%84%ED%99%94?node-id=4021-7312&amp;t=oxsgLFKpHLjuwdms-4" TargetMode="External"/><Relationship Id="rId177" Type="http://schemas.openxmlformats.org/officeDocument/2006/relationships/hyperlink" Target="https://www.figma.com/design/AzQaoPVLY9UdbDRMcrxRKx/Tech-%EA%B3%A0%EB%8F%84%ED%99%94?node-id=4021-7312&amp;t=oxsgLFKpHLjuwdms-4" TargetMode="External"/><Relationship Id="rId20" Type="http://schemas.openxmlformats.org/officeDocument/2006/relationships/hyperlink" Target="https://www.figma.com/design/AzQaoPVLY9UdbDRMcrxRKx/Tech-%EA%B3%A0%EB%8F%84%ED%99%94?node-id=4020-6738&amp;t=oxsgLFKpHLjuwdms-4" TargetMode="External"/><Relationship Id="rId22" Type="http://schemas.openxmlformats.org/officeDocument/2006/relationships/hyperlink" Target="https://www.figma.com/design/AzQaoPVLY9UdbDRMcrxRKx/Tech-%EA%B3%A0%EB%8F%84%ED%99%94?node-id=4020-6738&amp;t=oxsgLFKpHLjuwdms-4" TargetMode="External"/><Relationship Id="rId21" Type="http://schemas.openxmlformats.org/officeDocument/2006/relationships/hyperlink" Target="https://www.figma.com/design/AzQaoPVLY9UdbDRMcrxRKx/Tech-%EA%B3%A0%EB%8F%84%ED%99%94?node-id=4020-6738&amp;t=oxsgLFKpHLjuwdms-4" TargetMode="External"/><Relationship Id="rId24" Type="http://schemas.openxmlformats.org/officeDocument/2006/relationships/hyperlink" Target="https://www.figma.com/design/AzQaoPVLY9UdbDRMcrxRKx/Tech-%EA%B3%A0%EB%8F%84%ED%99%94?node-id=4020-6738&amp;t=oxsgLFKpHLjuwdms-4" TargetMode="External"/><Relationship Id="rId23" Type="http://schemas.openxmlformats.org/officeDocument/2006/relationships/hyperlink" Target="https://www.figma.com/design/AzQaoPVLY9UdbDRMcrxRKx/Tech-%EA%B3%A0%EB%8F%84%ED%99%94?node-id=4020-6738&amp;t=oxsgLFKpHLjuwdms-4" TargetMode="External"/><Relationship Id="rId26" Type="http://schemas.openxmlformats.org/officeDocument/2006/relationships/hyperlink" Target="https://www.figma.com/design/AzQaoPVLY9UdbDRMcrxRKx/Tech-%EA%B3%A0%EB%8F%84%ED%99%94?node-id=4020-6738&amp;t=oxsgLFKpHLjuwdms-4" TargetMode="External"/><Relationship Id="rId25" Type="http://schemas.openxmlformats.org/officeDocument/2006/relationships/hyperlink" Target="https://www.figma.com/design/AzQaoPVLY9UdbDRMcrxRKx/Tech-%EA%B3%A0%EB%8F%84%ED%99%94?node-id=4020-6738&amp;t=oxsgLFKpHLjuwdms-4" TargetMode="External"/><Relationship Id="rId28" Type="http://schemas.openxmlformats.org/officeDocument/2006/relationships/hyperlink" Target="https://www.figma.com/design/AzQaoPVLY9UdbDRMcrxRKx/Tech-%EA%B3%A0%EB%8F%84%ED%99%94?node-id=4020-6738&amp;t=oxsgLFKpHLjuwdms-4" TargetMode="External"/><Relationship Id="rId27" Type="http://schemas.openxmlformats.org/officeDocument/2006/relationships/hyperlink" Target="https://www.figma.com/design/AzQaoPVLY9UdbDRMcrxRKx/Tech-%EA%B3%A0%EB%8F%84%ED%99%94?node-id=4020-6738&amp;t=oxsgLFKpHLjuwdms-4" TargetMode="External"/><Relationship Id="rId29" Type="http://schemas.openxmlformats.org/officeDocument/2006/relationships/hyperlink" Target="https://www.figma.com/design/AzQaoPVLY9UdbDRMcrxRKx/Tech-%EA%B3%A0%EB%8F%84%ED%99%94?node-id=4020-6738&amp;t=oxsgLFKpHLjuwdms-4" TargetMode="External"/><Relationship Id="rId11" Type="http://schemas.openxmlformats.org/officeDocument/2006/relationships/hyperlink" Target="https://www.figma.com/design/AzQaoPVLY9UdbDRMcrxRKx/Tech-%EA%B3%A0%EB%8F%84%ED%99%94?node-id=4020-6738&amp;t=oxsgLFKpHLjuwdms-4" TargetMode="External"/><Relationship Id="rId10" Type="http://schemas.openxmlformats.org/officeDocument/2006/relationships/hyperlink" Target="https://smartscoretech.atlassian.net/browse/QA-14906" TargetMode="External"/><Relationship Id="rId13" Type="http://schemas.openxmlformats.org/officeDocument/2006/relationships/hyperlink" Target="https://www.figma.com/design/AzQaoPVLY9UdbDRMcrxRKx/Tech-%EA%B3%A0%EB%8F%84%ED%99%94?node-id=4020-6738&amp;t=oxsgLFKpHLjuwdms-4" TargetMode="External"/><Relationship Id="rId12" Type="http://schemas.openxmlformats.org/officeDocument/2006/relationships/hyperlink" Target="https://www.figma.com/design/AzQaoPVLY9UdbDRMcrxRKx/Tech-%EA%B3%A0%EB%8F%84%ED%99%94?node-id=4020-6738&amp;t=oxsgLFKpHLjuwdms-4" TargetMode="External"/><Relationship Id="rId15" Type="http://schemas.openxmlformats.org/officeDocument/2006/relationships/hyperlink" Target="https://www.figma.com/design/AzQaoPVLY9UdbDRMcrxRKx/Tech-%EA%B3%A0%EB%8F%84%ED%99%94?node-id=4020-6738&amp;t=oxsgLFKpHLjuwdms-4" TargetMode="External"/><Relationship Id="rId198" Type="http://schemas.openxmlformats.org/officeDocument/2006/relationships/hyperlink" Target="https://www.figma.com/design/AzQaoPVLY9UdbDRMcrxRKx/Tech-%EA%B3%A0%EB%8F%84%ED%99%94?node-id=4021-7312&amp;t=oxsgLFKpHLjuwdms-4" TargetMode="External"/><Relationship Id="rId14" Type="http://schemas.openxmlformats.org/officeDocument/2006/relationships/hyperlink" Target="https://www.figma.com/design/AzQaoPVLY9UdbDRMcrxRKx/Tech-%EA%B3%A0%EB%8F%84%ED%99%94?node-id=4020-6738&amp;t=oxsgLFKpHLjuwdms-4" TargetMode="External"/><Relationship Id="rId197" Type="http://schemas.openxmlformats.org/officeDocument/2006/relationships/hyperlink" Target="https://www.figma.com/design/AzQaoPVLY9UdbDRMcrxRKx/Tech-%EA%B3%A0%EB%8F%84%ED%99%94?node-id=4021-7312&amp;t=oxsgLFKpHLjuwdms-4" TargetMode="External"/><Relationship Id="rId17" Type="http://schemas.openxmlformats.org/officeDocument/2006/relationships/hyperlink" Target="https://www.figma.com/design/AzQaoPVLY9UdbDRMcrxRKx/Tech-%EA%B3%A0%EB%8F%84%ED%99%94?node-id=4020-6738&amp;t=oxsgLFKpHLjuwdms-4" TargetMode="External"/><Relationship Id="rId196" Type="http://schemas.openxmlformats.org/officeDocument/2006/relationships/hyperlink" Target="https://www.figma.com/design/AzQaoPVLY9UdbDRMcrxRKx/Tech-%EA%B3%A0%EB%8F%84%ED%99%94?node-id=4021-7312&amp;t=oxsgLFKpHLjuwdms-4" TargetMode="External"/><Relationship Id="rId16" Type="http://schemas.openxmlformats.org/officeDocument/2006/relationships/hyperlink" Target="https://www.figma.com/design/AzQaoPVLY9UdbDRMcrxRKx/Tech-%EA%B3%A0%EB%8F%84%ED%99%94?node-id=4020-6738&amp;t=oxsgLFKpHLjuwdms-4" TargetMode="External"/><Relationship Id="rId195" Type="http://schemas.openxmlformats.org/officeDocument/2006/relationships/hyperlink" Target="https://www.figma.com/design/AzQaoPVLY9UdbDRMcrxRKx/Tech-%EA%B3%A0%EB%8F%84%ED%99%94?node-id=4021-7312&amp;t=oxsgLFKpHLjuwdms-4" TargetMode="External"/><Relationship Id="rId19" Type="http://schemas.openxmlformats.org/officeDocument/2006/relationships/hyperlink" Target="https://www.figma.com/design/AzQaoPVLY9UdbDRMcrxRKx/Tech-%EA%B3%A0%EB%8F%84%ED%99%94?node-id=4020-6738&amp;t=oxsgLFKpHLjuwdms-4" TargetMode="External"/><Relationship Id="rId18" Type="http://schemas.openxmlformats.org/officeDocument/2006/relationships/hyperlink" Target="https://www.figma.com/design/AzQaoPVLY9UdbDRMcrxRKx/Tech-%EA%B3%A0%EB%8F%84%ED%99%94?node-id=4020-6738&amp;t=oxsgLFKpHLjuwdms-4" TargetMode="External"/><Relationship Id="rId199" Type="http://schemas.openxmlformats.org/officeDocument/2006/relationships/hyperlink" Target="https://www.figma.com/design/AzQaoPVLY9UdbDRMcrxRKx/Tech-%EA%B3%A0%EB%8F%84%ED%99%94?node-id=4021-7312&amp;t=oxsgLFKpHLjuwdms-4" TargetMode="External"/><Relationship Id="rId84" Type="http://schemas.openxmlformats.org/officeDocument/2006/relationships/hyperlink" Target="https://www.figma.com/design/AzQaoPVLY9UdbDRMcrxRKx/Tech-%EA%B3%A0%EB%8F%84%ED%99%94?node-id=4021-7025&amp;t=oxsgLFKpHLjuwdms-4" TargetMode="External"/><Relationship Id="rId83" Type="http://schemas.openxmlformats.org/officeDocument/2006/relationships/hyperlink" Target="https://www.figma.com/design/AzQaoPVLY9UdbDRMcrxRKx/Tech-%EA%B3%A0%EB%8F%84%ED%99%94?node-id=4021-7025&amp;t=oxsgLFKpHLjuwdms-4" TargetMode="External"/><Relationship Id="rId86" Type="http://schemas.openxmlformats.org/officeDocument/2006/relationships/hyperlink" Target="https://www.figma.com/design/AzQaoPVLY9UdbDRMcrxRKx/Tech-%EA%B3%A0%EB%8F%84%ED%99%94?node-id=4021-7025&amp;t=oxsgLFKpHLjuwdms-4" TargetMode="External"/><Relationship Id="rId85" Type="http://schemas.openxmlformats.org/officeDocument/2006/relationships/hyperlink" Target="https://www.figma.com/design/AzQaoPVLY9UdbDRMcrxRKx/Tech-%EA%B3%A0%EB%8F%84%ED%99%94?node-id=4021-7025&amp;t=oxsgLFKpHLjuwdms-4" TargetMode="External"/><Relationship Id="rId88" Type="http://schemas.openxmlformats.org/officeDocument/2006/relationships/hyperlink" Target="https://www.figma.com/design/AzQaoPVLY9UdbDRMcrxRKx/Tech-%EA%B3%A0%EB%8F%84%ED%99%94?node-id=4021-7025&amp;t=oxsgLFKpHLjuwdms-4" TargetMode="External"/><Relationship Id="rId150" Type="http://schemas.openxmlformats.org/officeDocument/2006/relationships/hyperlink" Target="https://www.figma.com/design/AzQaoPVLY9UdbDRMcrxRKx/Tech-%EA%B3%A0%EB%8F%84%ED%99%94?node-id=4021-7312&amp;t=oxsgLFKpHLjuwdms-4" TargetMode="External"/><Relationship Id="rId87" Type="http://schemas.openxmlformats.org/officeDocument/2006/relationships/hyperlink" Target="https://www.figma.com/design/AzQaoPVLY9UdbDRMcrxRKx/Tech-%EA%B3%A0%EB%8F%84%ED%99%94?node-id=4021-7025&amp;t=oxsgLFKpHLjuwdms-4" TargetMode="External"/><Relationship Id="rId89" Type="http://schemas.openxmlformats.org/officeDocument/2006/relationships/hyperlink" Target="https://www.figma.com/design/AzQaoPVLY9UdbDRMcrxRKx/Tech-%EA%B3%A0%EB%8F%84%ED%99%94?node-id=4021-7025&amp;t=oxsgLFKpHLjuwdms-4" TargetMode="External"/><Relationship Id="rId80" Type="http://schemas.openxmlformats.org/officeDocument/2006/relationships/hyperlink" Target="https://www.figma.com/design/AzQaoPVLY9UdbDRMcrxRKx/Tech-%EA%B3%A0%EB%8F%84%ED%99%94?node-id=4021-7025&amp;t=oxsgLFKpHLjuwdms-4" TargetMode="External"/><Relationship Id="rId82" Type="http://schemas.openxmlformats.org/officeDocument/2006/relationships/hyperlink" Target="https://www.figma.com/design/AzQaoPVLY9UdbDRMcrxRKx/Tech-%EA%B3%A0%EB%8F%84%ED%99%94?node-id=4021-7025&amp;t=oxsgLFKpHLjuwdms-4" TargetMode="External"/><Relationship Id="rId81" Type="http://schemas.openxmlformats.org/officeDocument/2006/relationships/hyperlink" Target="https://www.figma.com/design/AzQaoPVLY9UdbDRMcrxRKx/Tech-%EA%B3%A0%EB%8F%84%ED%99%94?node-id=4021-7025&amp;t=oxsgLFKpHLjuwdms-4" TargetMode="External"/><Relationship Id="rId1" Type="http://schemas.openxmlformats.org/officeDocument/2006/relationships/hyperlink" Target="https://www.figma.com/design/AzQaoPVLY9UdbDRMcrxRKx/Tech-%EA%B3%A0%EB%8F%84%ED%99%94?node-id=4020-5622&amp;t=oxsgLFKpHLjuwdms-4" TargetMode="External"/><Relationship Id="rId2" Type="http://schemas.openxmlformats.org/officeDocument/2006/relationships/hyperlink" Target="https://www.figma.com/design/AzQaoPVLY9UdbDRMcrxRKx/Tech-%EA%B3%A0%EB%8F%84%ED%99%94?node-id=4020-5622&amp;t=oxsgLFKpHLjuwdms-4" TargetMode="External"/><Relationship Id="rId3" Type="http://schemas.openxmlformats.org/officeDocument/2006/relationships/hyperlink" Target="https://www.figma.com/design/AzQaoPVLY9UdbDRMcrxRKx/Tech-%EA%B3%A0%EB%8F%84%ED%99%94?node-id=4020-5622&amp;t=oxsgLFKpHLjuwdms-4" TargetMode="External"/><Relationship Id="rId149" Type="http://schemas.openxmlformats.org/officeDocument/2006/relationships/hyperlink" Target="https://www.figma.com/design/AzQaoPVLY9UdbDRMcrxRKx/Tech-%EA%B3%A0%EB%8F%84%ED%99%94?node-id=4021-7312&amp;t=oxsgLFKpHLjuwdms-4" TargetMode="External"/><Relationship Id="rId4" Type="http://schemas.openxmlformats.org/officeDocument/2006/relationships/hyperlink" Target="https://www.figma.com/design/AzQaoPVLY9UdbDRMcrxRKx/Tech-%EA%B3%A0%EB%8F%84%ED%99%94?node-id=4020-5622&amp;t=oxsgLFKpHLjuwdms-4" TargetMode="External"/><Relationship Id="rId148" Type="http://schemas.openxmlformats.org/officeDocument/2006/relationships/hyperlink" Target="https://www.figma.com/design/AzQaoPVLY9UdbDRMcrxRKx/Tech-%EA%B3%A0%EB%8F%84%ED%99%94?node-id=4021-7312&amp;t=oxsgLFKpHLjuwdms-4" TargetMode="External"/><Relationship Id="rId9" Type="http://schemas.openxmlformats.org/officeDocument/2006/relationships/hyperlink" Target="https://www.figma.com/design/AzQaoPVLY9UdbDRMcrxRKx/Tech-%EA%B3%A0%EB%8F%84%ED%99%94?node-id=4020-6738&amp;t=oxsgLFKpHLjuwdms-4" TargetMode="External"/><Relationship Id="rId143" Type="http://schemas.openxmlformats.org/officeDocument/2006/relationships/hyperlink" Target="https://www.figma.com/design/AzQaoPVLY9UdbDRMcrxRKx/Tech-%EA%B3%A0%EB%8F%84%ED%99%94?node-id=4021-7312&amp;t=oxsgLFKpHLjuwdms-4" TargetMode="External"/><Relationship Id="rId142" Type="http://schemas.openxmlformats.org/officeDocument/2006/relationships/hyperlink" Target="https://www.figma.com/design/AzQaoPVLY9UdbDRMcrxRKx/Tech-%EA%B3%A0%EB%8F%84%ED%99%94?node-id=4021-7312&amp;t=oxsgLFKpHLjuwdms-4" TargetMode="External"/><Relationship Id="rId141" Type="http://schemas.openxmlformats.org/officeDocument/2006/relationships/hyperlink" Target="https://www.figma.com/design/AzQaoPVLY9UdbDRMcrxRKx/Tech-%EA%B3%A0%EB%8F%84%ED%99%94?node-id=4021-7312&amp;t=oxsgLFKpHLjuwdms-4" TargetMode="External"/><Relationship Id="rId140" Type="http://schemas.openxmlformats.org/officeDocument/2006/relationships/hyperlink" Target="https://www.figma.com/design/AzQaoPVLY9UdbDRMcrxRKx/Tech-%EA%B3%A0%EB%8F%84%ED%99%94?node-id=4021-7312&amp;t=oxsgLFKpHLjuwdms-4" TargetMode="External"/><Relationship Id="rId5" Type="http://schemas.openxmlformats.org/officeDocument/2006/relationships/hyperlink" Target="https://www.figma.com/design/AzQaoPVLY9UdbDRMcrxRKx/Tech-%EA%B3%A0%EB%8F%84%ED%99%94?node-id=4020-5622&amp;t=oxsgLFKpHLjuwdms-4" TargetMode="External"/><Relationship Id="rId147" Type="http://schemas.openxmlformats.org/officeDocument/2006/relationships/hyperlink" Target="https://www.figma.com/design/AzQaoPVLY9UdbDRMcrxRKx/Tech-%EA%B3%A0%EB%8F%84%ED%99%94?node-id=4021-7312&amp;t=oxsgLFKpHLjuwdms-4" TargetMode="External"/><Relationship Id="rId6" Type="http://schemas.openxmlformats.org/officeDocument/2006/relationships/hyperlink" Target="https://www.figma.com/design/AzQaoPVLY9UdbDRMcrxRKx/Tech-%EA%B3%A0%EB%8F%84%ED%99%94?node-id=4020-5622&amp;t=oxsgLFKpHLjuwdms-4" TargetMode="External"/><Relationship Id="rId146" Type="http://schemas.openxmlformats.org/officeDocument/2006/relationships/hyperlink" Target="https://www.figma.com/design/AzQaoPVLY9UdbDRMcrxRKx/Tech-%EA%B3%A0%EB%8F%84%ED%99%94?node-id=4021-7312&amp;t=oxsgLFKpHLjuwdms-4" TargetMode="External"/><Relationship Id="rId7" Type="http://schemas.openxmlformats.org/officeDocument/2006/relationships/hyperlink" Target="https://www.figma.com/design/AzQaoPVLY9UdbDRMcrxRKx/Tech-%EA%B3%A0%EB%8F%84%ED%99%94?node-id=4020-5622&amp;t=oxsgLFKpHLjuwdms-4" TargetMode="External"/><Relationship Id="rId145" Type="http://schemas.openxmlformats.org/officeDocument/2006/relationships/hyperlink" Target="https://www.figma.com/design/AzQaoPVLY9UdbDRMcrxRKx/Tech-%EA%B3%A0%EB%8F%84%ED%99%94?node-id=4021-7312&amp;t=oxsgLFKpHLjuwdms-4" TargetMode="External"/><Relationship Id="rId8" Type="http://schemas.openxmlformats.org/officeDocument/2006/relationships/hyperlink" Target="https://www.figma.com/design/AzQaoPVLY9UdbDRMcrxRKx/Tech-%EA%B3%A0%EB%8F%84%ED%99%94?node-id=4020-5622&amp;t=oxsgLFKpHLjuwdms-4" TargetMode="External"/><Relationship Id="rId144" Type="http://schemas.openxmlformats.org/officeDocument/2006/relationships/hyperlink" Target="https://www.figma.com/design/AzQaoPVLY9UdbDRMcrxRKx/Tech-%EA%B3%A0%EB%8F%84%ED%99%94?node-id=4021-7312&amp;t=oxsgLFKpHLjuwdms-4" TargetMode="External"/><Relationship Id="rId73" Type="http://schemas.openxmlformats.org/officeDocument/2006/relationships/hyperlink" Target="https://www.figma.com/design/AzQaoPVLY9UdbDRMcrxRKx/Tech-%EA%B3%A0%EB%8F%84%ED%99%94?node-id=4021-7025&amp;t=oxsgLFKpHLjuwdms-4" TargetMode="External"/><Relationship Id="rId72" Type="http://schemas.openxmlformats.org/officeDocument/2006/relationships/hyperlink" Target="https://www.figma.com/design/AzQaoPVLY9UdbDRMcrxRKx/Tech-%EA%B3%A0%EB%8F%84%ED%99%94?node-id=4021-7025&amp;t=oxsgLFKpHLjuwdms-4" TargetMode="External"/><Relationship Id="rId75" Type="http://schemas.openxmlformats.org/officeDocument/2006/relationships/hyperlink" Target="https://www.figma.com/design/AzQaoPVLY9UdbDRMcrxRKx/Tech-%EA%B3%A0%EB%8F%84%ED%99%94?node-id=4021-7025&amp;t=oxsgLFKpHLjuwdms-4" TargetMode="External"/><Relationship Id="rId74" Type="http://schemas.openxmlformats.org/officeDocument/2006/relationships/hyperlink" Target="https://www.figma.com/design/AzQaoPVLY9UdbDRMcrxRKx/Tech-%EA%B3%A0%EB%8F%84%ED%99%94?node-id=4021-7025&amp;t=oxsgLFKpHLjuwdms-4" TargetMode="External"/><Relationship Id="rId77" Type="http://schemas.openxmlformats.org/officeDocument/2006/relationships/hyperlink" Target="https://www.figma.com/design/AzQaoPVLY9UdbDRMcrxRKx/Tech-%EA%B3%A0%EB%8F%84%ED%99%94?node-id=4021-7025&amp;t=oxsgLFKpHLjuwdms-4" TargetMode="External"/><Relationship Id="rId76" Type="http://schemas.openxmlformats.org/officeDocument/2006/relationships/hyperlink" Target="https://www.figma.com/design/AzQaoPVLY9UdbDRMcrxRKx/Tech-%EA%B3%A0%EB%8F%84%ED%99%94?node-id=4021-7025&amp;t=oxsgLFKpHLjuwdms-4" TargetMode="External"/><Relationship Id="rId79" Type="http://schemas.openxmlformats.org/officeDocument/2006/relationships/hyperlink" Target="https://www.figma.com/design/AzQaoPVLY9UdbDRMcrxRKx/Tech-%EA%B3%A0%EB%8F%84%ED%99%94?node-id=4021-7025&amp;t=oxsgLFKpHLjuwdms-4" TargetMode="External"/><Relationship Id="rId78" Type="http://schemas.openxmlformats.org/officeDocument/2006/relationships/hyperlink" Target="https://www.figma.com/design/AzQaoPVLY9UdbDRMcrxRKx/Tech-%EA%B3%A0%EB%8F%84%ED%99%94?node-id=4021-7025&amp;t=oxsgLFKpHLjuwdms-4" TargetMode="External"/><Relationship Id="rId71" Type="http://schemas.openxmlformats.org/officeDocument/2006/relationships/hyperlink" Target="https://www.figma.com/design/AzQaoPVLY9UdbDRMcrxRKx/Tech-%EA%B3%A0%EB%8F%84%ED%99%94?node-id=4021-7025&amp;t=oxsgLFKpHLjuwdms-4" TargetMode="External"/><Relationship Id="rId70" Type="http://schemas.openxmlformats.org/officeDocument/2006/relationships/hyperlink" Target="https://www.figma.com/design/AzQaoPVLY9UdbDRMcrxRKx/Tech-%EA%B3%A0%EB%8F%84%ED%99%94?node-id=4021-7025&amp;t=oxsgLFKpHLjuwdms-4" TargetMode="External"/><Relationship Id="rId139" Type="http://schemas.openxmlformats.org/officeDocument/2006/relationships/hyperlink" Target="https://www.figma.com/design/AzQaoPVLY9UdbDRMcrxRKx/Tech-%EA%B3%A0%EB%8F%84%ED%99%94?node-id=4021-7025&amp;t=oxsgLFKpHLjuwdms-4" TargetMode="External"/><Relationship Id="rId138" Type="http://schemas.openxmlformats.org/officeDocument/2006/relationships/hyperlink" Target="https://www.figma.com/design/AzQaoPVLY9UdbDRMcrxRKx/Tech-%EA%B3%A0%EB%8F%84%ED%99%94?node-id=4021-7025&amp;t=oxsgLFKpHLjuwdms-4" TargetMode="External"/><Relationship Id="rId137" Type="http://schemas.openxmlformats.org/officeDocument/2006/relationships/hyperlink" Target="https://www.figma.com/design/AzQaoPVLY9UdbDRMcrxRKx/Tech-%EA%B3%A0%EB%8F%84%ED%99%94?node-id=4021-7025&amp;t=oxsgLFKpHLjuwdms-4" TargetMode="External"/><Relationship Id="rId132" Type="http://schemas.openxmlformats.org/officeDocument/2006/relationships/hyperlink" Target="https://www.figma.com/design/AzQaoPVLY9UdbDRMcrxRKx/Tech-%EA%B3%A0%EB%8F%84%ED%99%94?node-id=4021-7025&amp;t=oxsgLFKpHLjuwdms-4" TargetMode="External"/><Relationship Id="rId131" Type="http://schemas.openxmlformats.org/officeDocument/2006/relationships/hyperlink" Target="https://www.figma.com/design/AzQaoPVLY9UdbDRMcrxRKx/Tech-%EA%B3%A0%EB%8F%84%ED%99%94?node-id=4021-7025&amp;t=oxsgLFKpHLjuwdms-4" TargetMode="External"/><Relationship Id="rId130" Type="http://schemas.openxmlformats.org/officeDocument/2006/relationships/hyperlink" Target="https://www.figma.com/design/AzQaoPVLY9UdbDRMcrxRKx/Tech-%EA%B3%A0%EB%8F%84%ED%99%94?node-id=4021-7025&amp;t=oxsgLFKpHLjuwdms-4" TargetMode="External"/><Relationship Id="rId136" Type="http://schemas.openxmlformats.org/officeDocument/2006/relationships/hyperlink" Target="https://www.figma.com/design/AzQaoPVLY9UdbDRMcrxRKx/Tech-%EA%B3%A0%EB%8F%84%ED%99%94?node-id=4021-7025&amp;t=oxsgLFKpHLjuwdms-4" TargetMode="External"/><Relationship Id="rId135" Type="http://schemas.openxmlformats.org/officeDocument/2006/relationships/hyperlink" Target="https://www.figma.com/design/AzQaoPVLY9UdbDRMcrxRKx/Tech-%EA%B3%A0%EB%8F%84%ED%99%94?node-id=4021-7025&amp;t=oxsgLFKpHLjuwdms-4" TargetMode="External"/><Relationship Id="rId134" Type="http://schemas.openxmlformats.org/officeDocument/2006/relationships/hyperlink" Target="https://www.figma.com/design/AzQaoPVLY9UdbDRMcrxRKx/Tech-%EA%B3%A0%EB%8F%84%ED%99%94?node-id=4021-7025&amp;t=oxsgLFKpHLjuwdms-4" TargetMode="External"/><Relationship Id="rId133" Type="http://schemas.openxmlformats.org/officeDocument/2006/relationships/hyperlink" Target="https://www.figma.com/design/AzQaoPVLY9UdbDRMcrxRKx/Tech-%EA%B3%A0%EB%8F%84%ED%99%94?node-id=4021-7025&amp;t=oxsgLFKpHLjuwdms-4" TargetMode="External"/><Relationship Id="rId62" Type="http://schemas.openxmlformats.org/officeDocument/2006/relationships/hyperlink" Target="https://www.figma.com/design/AzQaoPVLY9UdbDRMcrxRKx/Tech-%EA%B3%A0%EB%8F%84%ED%99%94?node-id=4021-7025&amp;t=oxsgLFKpHLjuwdms-4" TargetMode="External"/><Relationship Id="rId61" Type="http://schemas.openxmlformats.org/officeDocument/2006/relationships/hyperlink" Target="https://www.figma.com/design/AzQaoPVLY9UdbDRMcrxRKx/Tech-%EA%B3%A0%EB%8F%84%ED%99%94?node-id=4021-7025&amp;t=oxsgLFKpHLjuwdms-4" TargetMode="External"/><Relationship Id="rId64" Type="http://schemas.openxmlformats.org/officeDocument/2006/relationships/hyperlink" Target="https://www.figma.com/design/AzQaoPVLY9UdbDRMcrxRKx/Tech-%EA%B3%A0%EB%8F%84%ED%99%94?node-id=4021-7025&amp;t=oxsgLFKpHLjuwdms-4" TargetMode="External"/><Relationship Id="rId63" Type="http://schemas.openxmlformats.org/officeDocument/2006/relationships/hyperlink" Target="https://www.figma.com/design/AzQaoPVLY9UdbDRMcrxRKx/Tech-%EA%B3%A0%EB%8F%84%ED%99%94?node-id=4021-7025&amp;t=oxsgLFKpHLjuwdms-4" TargetMode="External"/><Relationship Id="rId66" Type="http://schemas.openxmlformats.org/officeDocument/2006/relationships/hyperlink" Target="https://www.figma.com/design/AzQaoPVLY9UdbDRMcrxRKx/Tech-%EA%B3%A0%EB%8F%84%ED%99%94?node-id=4021-7025&amp;t=oxsgLFKpHLjuwdms-4" TargetMode="External"/><Relationship Id="rId172" Type="http://schemas.openxmlformats.org/officeDocument/2006/relationships/hyperlink" Target="https://www.figma.com/design/AzQaoPVLY9UdbDRMcrxRKx/Tech-%EA%B3%A0%EB%8F%84%ED%99%94?node-id=4021-7312&amp;t=oxsgLFKpHLjuwdms-4" TargetMode="External"/><Relationship Id="rId65" Type="http://schemas.openxmlformats.org/officeDocument/2006/relationships/hyperlink" Target="https://www.figma.com/design/AzQaoPVLY9UdbDRMcrxRKx/Tech-%EA%B3%A0%EB%8F%84%ED%99%94?node-id=4021-7025&amp;t=oxsgLFKpHLjuwdms-4" TargetMode="External"/><Relationship Id="rId171" Type="http://schemas.openxmlformats.org/officeDocument/2006/relationships/hyperlink" Target="https://www.figma.com/design/AzQaoPVLY9UdbDRMcrxRKx/Tech-%EA%B3%A0%EB%8F%84%ED%99%94?node-id=4021-7312&amp;t=oxsgLFKpHLjuwdms-4" TargetMode="External"/><Relationship Id="rId68" Type="http://schemas.openxmlformats.org/officeDocument/2006/relationships/hyperlink" Target="https://www.figma.com/design/AzQaoPVLY9UdbDRMcrxRKx/Tech-%EA%B3%A0%EB%8F%84%ED%99%94?node-id=4021-7025&amp;t=oxsgLFKpHLjuwdms-4" TargetMode="External"/><Relationship Id="rId170" Type="http://schemas.openxmlformats.org/officeDocument/2006/relationships/hyperlink" Target="https://www.figma.com/design/AzQaoPVLY9UdbDRMcrxRKx/Tech-%EA%B3%A0%EB%8F%84%ED%99%94?node-id=4021-7312&amp;t=oxsgLFKpHLjuwdms-4" TargetMode="External"/><Relationship Id="rId67" Type="http://schemas.openxmlformats.org/officeDocument/2006/relationships/hyperlink" Target="https://www.figma.com/design/AzQaoPVLY9UdbDRMcrxRKx/Tech-%EA%B3%A0%EB%8F%84%ED%99%94?node-id=4021-7025&amp;t=oxsgLFKpHLjuwdms-4" TargetMode="External"/><Relationship Id="rId60" Type="http://schemas.openxmlformats.org/officeDocument/2006/relationships/hyperlink" Target="https://www.figma.com/design/AzQaoPVLY9UdbDRMcrxRKx/Tech-%EA%B3%A0%EB%8F%84%ED%99%94?node-id=4021-7025&amp;t=oxsgLFKpHLjuwdms-4" TargetMode="External"/><Relationship Id="rId165" Type="http://schemas.openxmlformats.org/officeDocument/2006/relationships/hyperlink" Target="https://www.figma.com/design/AzQaoPVLY9UdbDRMcrxRKx/Tech-%EA%B3%A0%EB%8F%84%ED%99%94?node-id=4021-7312&amp;t=oxsgLFKpHLjuwdms-4" TargetMode="External"/><Relationship Id="rId69" Type="http://schemas.openxmlformats.org/officeDocument/2006/relationships/hyperlink" Target="https://www.figma.com/design/AzQaoPVLY9UdbDRMcrxRKx/Tech-%EA%B3%A0%EB%8F%84%ED%99%94?node-id=4021-7025&amp;t=oxsgLFKpHLjuwdms-4" TargetMode="External"/><Relationship Id="rId164" Type="http://schemas.openxmlformats.org/officeDocument/2006/relationships/hyperlink" Target="https://www.figma.com/design/AzQaoPVLY9UdbDRMcrxRKx/Tech-%EA%B3%A0%EB%8F%84%ED%99%94?node-id=4021-7312&amp;t=oxsgLFKpHLjuwdms-4" TargetMode="External"/><Relationship Id="rId163" Type="http://schemas.openxmlformats.org/officeDocument/2006/relationships/hyperlink" Target="https://www.figma.com/design/AzQaoPVLY9UdbDRMcrxRKx/Tech-%EA%B3%A0%EB%8F%84%ED%99%94?node-id=4021-7312&amp;t=oxsgLFKpHLjuwdms-4" TargetMode="External"/><Relationship Id="rId162" Type="http://schemas.openxmlformats.org/officeDocument/2006/relationships/hyperlink" Target="https://www.figma.com/design/AzQaoPVLY9UdbDRMcrxRKx/Tech-%EA%B3%A0%EB%8F%84%ED%99%94?node-id=4021-7312&amp;t=oxsgLFKpHLjuwdms-4" TargetMode="External"/><Relationship Id="rId169" Type="http://schemas.openxmlformats.org/officeDocument/2006/relationships/hyperlink" Target="https://www.figma.com/design/AzQaoPVLY9UdbDRMcrxRKx/Tech-%EA%B3%A0%EB%8F%84%ED%99%94?node-id=4021-7312&amp;t=oxsgLFKpHLjuwdms-4" TargetMode="External"/><Relationship Id="rId168" Type="http://schemas.openxmlformats.org/officeDocument/2006/relationships/hyperlink" Target="https://www.figma.com/design/AzQaoPVLY9UdbDRMcrxRKx/Tech-%EA%B3%A0%EB%8F%84%ED%99%94?node-id=4021-7312&amp;t=oxsgLFKpHLjuwdms-4" TargetMode="External"/><Relationship Id="rId167" Type="http://schemas.openxmlformats.org/officeDocument/2006/relationships/hyperlink" Target="https://www.figma.com/design/AzQaoPVLY9UdbDRMcrxRKx/Tech-%EA%B3%A0%EB%8F%84%ED%99%94?node-id=4021-7312&amp;t=oxsgLFKpHLjuwdms-4" TargetMode="External"/><Relationship Id="rId166" Type="http://schemas.openxmlformats.org/officeDocument/2006/relationships/hyperlink" Target="https://www.figma.com/design/AzQaoPVLY9UdbDRMcrxRKx/Tech-%EA%B3%A0%EB%8F%84%ED%99%94?node-id=4021-7312&amp;t=oxsgLFKpHLjuwdms-4" TargetMode="External"/><Relationship Id="rId51" Type="http://schemas.openxmlformats.org/officeDocument/2006/relationships/hyperlink" Target="https://www.figma.com/design/AzQaoPVLY9UdbDRMcrxRKx/Tech-%EA%B3%A0%EB%8F%84%ED%99%94?node-id=4021-7025&amp;t=oxsgLFKpHLjuwdms-4" TargetMode="External"/><Relationship Id="rId50" Type="http://schemas.openxmlformats.org/officeDocument/2006/relationships/hyperlink" Target="https://www.figma.com/design/AzQaoPVLY9UdbDRMcrxRKx/Tech-%EA%B3%A0%EB%8F%84%ED%99%94?node-id=4021-7025&amp;t=oxsgLFKpHLjuwdms-4" TargetMode="External"/><Relationship Id="rId53" Type="http://schemas.openxmlformats.org/officeDocument/2006/relationships/hyperlink" Target="https://www.figma.com/design/AzQaoPVLY9UdbDRMcrxRKx/Tech-%EA%B3%A0%EB%8F%84%ED%99%94?node-id=4021-7025&amp;t=oxsgLFKpHLjuwdms-4" TargetMode="External"/><Relationship Id="rId52" Type="http://schemas.openxmlformats.org/officeDocument/2006/relationships/hyperlink" Target="https://www.figma.com/design/AzQaoPVLY9UdbDRMcrxRKx/Tech-%EA%B3%A0%EB%8F%84%ED%99%94?node-id=4021-7025&amp;t=oxsgLFKpHLjuwdms-4" TargetMode="External"/><Relationship Id="rId55" Type="http://schemas.openxmlformats.org/officeDocument/2006/relationships/hyperlink" Target="https://www.figma.com/design/AzQaoPVLY9UdbDRMcrxRKx/Tech-%EA%B3%A0%EB%8F%84%ED%99%94?node-id=4021-7025&amp;t=oxsgLFKpHLjuwdms-4" TargetMode="External"/><Relationship Id="rId161" Type="http://schemas.openxmlformats.org/officeDocument/2006/relationships/hyperlink" Target="https://www.figma.com/design/AzQaoPVLY9UdbDRMcrxRKx/Tech-%EA%B3%A0%EB%8F%84%ED%99%94?node-id=4021-7312&amp;t=oxsgLFKpHLjuwdms-4" TargetMode="External"/><Relationship Id="rId54" Type="http://schemas.openxmlformats.org/officeDocument/2006/relationships/hyperlink" Target="https://www.figma.com/design/AzQaoPVLY9UdbDRMcrxRKx/Tech-%EA%B3%A0%EB%8F%84%ED%99%94?node-id=4021-7025&amp;t=oxsgLFKpHLjuwdms-4" TargetMode="External"/><Relationship Id="rId160" Type="http://schemas.openxmlformats.org/officeDocument/2006/relationships/hyperlink" Target="https://www.figma.com/design/AzQaoPVLY9UdbDRMcrxRKx/Tech-%EA%B3%A0%EB%8F%84%ED%99%94?node-id=4021-7312&amp;t=oxsgLFKpHLjuwdms-4" TargetMode="External"/><Relationship Id="rId57" Type="http://schemas.openxmlformats.org/officeDocument/2006/relationships/hyperlink" Target="https://www.figma.com/design/AzQaoPVLY9UdbDRMcrxRKx/Tech-%EA%B3%A0%EB%8F%84%ED%99%94?node-id=4021-7025&amp;t=oxsgLFKpHLjuwdms-4" TargetMode="External"/><Relationship Id="rId56" Type="http://schemas.openxmlformats.org/officeDocument/2006/relationships/hyperlink" Target="https://www.figma.com/design/AzQaoPVLY9UdbDRMcrxRKx/Tech-%EA%B3%A0%EB%8F%84%ED%99%94?node-id=4021-7025&amp;t=oxsgLFKpHLjuwdms-4" TargetMode="External"/><Relationship Id="rId159" Type="http://schemas.openxmlformats.org/officeDocument/2006/relationships/hyperlink" Target="https://www.figma.com/design/AzQaoPVLY9UdbDRMcrxRKx/Tech-%EA%B3%A0%EB%8F%84%ED%99%94?node-id=4021-7312&amp;t=oxsgLFKpHLjuwdms-4" TargetMode="External"/><Relationship Id="rId59" Type="http://schemas.openxmlformats.org/officeDocument/2006/relationships/hyperlink" Target="https://www.figma.com/design/AzQaoPVLY9UdbDRMcrxRKx/Tech-%EA%B3%A0%EB%8F%84%ED%99%94?node-id=4021-7025&amp;t=oxsgLFKpHLjuwdms-4" TargetMode="External"/><Relationship Id="rId154" Type="http://schemas.openxmlformats.org/officeDocument/2006/relationships/hyperlink" Target="https://www.figma.com/design/AzQaoPVLY9UdbDRMcrxRKx/Tech-%EA%B3%A0%EB%8F%84%ED%99%94?node-id=4021-7312&amp;t=oxsgLFKpHLjuwdms-4" TargetMode="External"/><Relationship Id="rId58" Type="http://schemas.openxmlformats.org/officeDocument/2006/relationships/hyperlink" Target="https://www.figma.com/design/AzQaoPVLY9UdbDRMcrxRKx/Tech-%EA%B3%A0%EB%8F%84%ED%99%94?node-id=4021-7025&amp;t=oxsgLFKpHLjuwdms-4" TargetMode="External"/><Relationship Id="rId153" Type="http://schemas.openxmlformats.org/officeDocument/2006/relationships/hyperlink" Target="https://www.figma.com/design/AzQaoPVLY9UdbDRMcrxRKx/Tech-%EA%B3%A0%EB%8F%84%ED%99%94?node-id=4021-7312&amp;t=oxsgLFKpHLjuwdms-4" TargetMode="External"/><Relationship Id="rId152" Type="http://schemas.openxmlformats.org/officeDocument/2006/relationships/hyperlink" Target="https://www.figma.com/design/AzQaoPVLY9UdbDRMcrxRKx/Tech-%EA%B3%A0%EB%8F%84%ED%99%94?node-id=4021-7312&amp;t=oxsgLFKpHLjuwdms-4" TargetMode="External"/><Relationship Id="rId151" Type="http://schemas.openxmlformats.org/officeDocument/2006/relationships/hyperlink" Target="https://www.figma.com/design/AzQaoPVLY9UdbDRMcrxRKx/Tech-%EA%B3%A0%EB%8F%84%ED%99%94?node-id=4021-7312&amp;t=oxsgLFKpHLjuwdms-4" TargetMode="External"/><Relationship Id="rId158" Type="http://schemas.openxmlformats.org/officeDocument/2006/relationships/hyperlink" Target="https://www.figma.com/design/AzQaoPVLY9UdbDRMcrxRKx/Tech-%EA%B3%A0%EB%8F%84%ED%99%94?node-id=4021-7312&amp;t=oxsgLFKpHLjuwdms-4" TargetMode="External"/><Relationship Id="rId157" Type="http://schemas.openxmlformats.org/officeDocument/2006/relationships/hyperlink" Target="https://www.figma.com/design/AzQaoPVLY9UdbDRMcrxRKx/Tech-%EA%B3%A0%EB%8F%84%ED%99%94?node-id=4021-7312&amp;t=oxsgLFKpHLjuwdms-4" TargetMode="External"/><Relationship Id="rId156" Type="http://schemas.openxmlformats.org/officeDocument/2006/relationships/hyperlink" Target="https://www.figma.com/design/AzQaoPVLY9UdbDRMcrxRKx/Tech-%EA%B3%A0%EB%8F%84%ED%99%94?node-id=4021-7312&amp;t=oxsgLFKpHLjuwdms-4" TargetMode="External"/><Relationship Id="rId155" Type="http://schemas.openxmlformats.org/officeDocument/2006/relationships/hyperlink" Target="https://www.figma.com/design/AzQaoPVLY9UdbDRMcrxRKx/Tech-%EA%B3%A0%EB%8F%84%ED%99%94?node-id=4021-7312&amp;t=oxsgLFKpHLjuwdms-4" TargetMode="External"/><Relationship Id="rId107" Type="http://schemas.openxmlformats.org/officeDocument/2006/relationships/hyperlink" Target="https://www.figma.com/design/AzQaoPVLY9UdbDRMcrxRKx/Tech-%EA%B3%A0%EB%8F%84%ED%99%94?node-id=4021-7025&amp;t=oxsgLFKpHLjuwdms-4" TargetMode="External"/><Relationship Id="rId228" Type="http://schemas.openxmlformats.org/officeDocument/2006/relationships/hyperlink" Target="https://www.figma.com/design/AzQaoPVLY9UdbDRMcrxRKx/Tech-%EA%B3%A0%EB%8F%84%ED%99%94?node-id=4021-7312&amp;t=oxsgLFKpHLjuwdms-4" TargetMode="External"/><Relationship Id="rId106" Type="http://schemas.openxmlformats.org/officeDocument/2006/relationships/hyperlink" Target="https://www.figma.com/design/AzQaoPVLY9UdbDRMcrxRKx/Tech-%EA%B3%A0%EB%8F%84%ED%99%94?node-id=4021-7025&amp;t=oxsgLFKpHLjuwdms-4" TargetMode="External"/><Relationship Id="rId227" Type="http://schemas.openxmlformats.org/officeDocument/2006/relationships/hyperlink" Target="https://www.figma.com/design/AzQaoPVLY9UdbDRMcrxRKx/Tech-%EA%B3%A0%EB%8F%84%ED%99%94?node-id=4021-7312&amp;t=oxsgLFKpHLjuwdms-4" TargetMode="External"/><Relationship Id="rId105" Type="http://schemas.openxmlformats.org/officeDocument/2006/relationships/hyperlink" Target="https://www.figma.com/design/AzQaoPVLY9UdbDRMcrxRKx/Tech-%EA%B3%A0%EB%8F%84%ED%99%94?node-id=4021-7025&amp;t=oxsgLFKpHLjuwdms-4" TargetMode="External"/><Relationship Id="rId226" Type="http://schemas.openxmlformats.org/officeDocument/2006/relationships/hyperlink" Target="https://www.figma.com/design/AzQaoPVLY9UdbDRMcrxRKx/Tech-%EA%B3%A0%EB%8F%84%ED%99%94?node-id=4021-7312&amp;t=oxsgLFKpHLjuwdms-4" TargetMode="External"/><Relationship Id="rId104" Type="http://schemas.openxmlformats.org/officeDocument/2006/relationships/hyperlink" Target="https://www.figma.com/design/AzQaoPVLY9UdbDRMcrxRKx/Tech-%EA%B3%A0%EB%8F%84%ED%99%94?node-id=4021-7025&amp;t=oxsgLFKpHLjuwdms-4" TargetMode="External"/><Relationship Id="rId225" Type="http://schemas.openxmlformats.org/officeDocument/2006/relationships/hyperlink" Target="https://www.figma.com/design/AzQaoPVLY9UdbDRMcrxRKx/Tech-%EA%B3%A0%EB%8F%84%ED%99%94?node-id=4021-7312&amp;t=oxsgLFKpHLjuwdms-4" TargetMode="External"/><Relationship Id="rId109" Type="http://schemas.openxmlformats.org/officeDocument/2006/relationships/hyperlink" Target="https://www.figma.com/design/AzQaoPVLY9UdbDRMcrxRKx/Tech-%EA%B3%A0%EB%8F%84%ED%99%94?node-id=4021-7025&amp;t=oxsgLFKpHLjuwdms-4" TargetMode="External"/><Relationship Id="rId108" Type="http://schemas.openxmlformats.org/officeDocument/2006/relationships/hyperlink" Target="https://www.figma.com/design/AzQaoPVLY9UdbDRMcrxRKx/Tech-%EA%B3%A0%EB%8F%84%ED%99%94?node-id=4021-7025&amp;t=oxsgLFKpHLjuwdms-4" TargetMode="External"/><Relationship Id="rId229" Type="http://schemas.openxmlformats.org/officeDocument/2006/relationships/hyperlink" Target="https://www.figma.com/design/AzQaoPVLY9UdbDRMcrxRKx/Tech-%EA%B3%A0%EB%8F%84%ED%99%94?node-id=4021-7312&amp;t=oxsgLFKpHLjuwdms-4" TargetMode="External"/><Relationship Id="rId220" Type="http://schemas.openxmlformats.org/officeDocument/2006/relationships/hyperlink" Target="https://www.figma.com/design/AzQaoPVLY9UdbDRMcrxRKx/Tech-%EA%B3%A0%EB%8F%84%ED%99%94?node-id=4021-7312&amp;t=oxsgLFKpHLjuwdms-4" TargetMode="External"/><Relationship Id="rId103" Type="http://schemas.openxmlformats.org/officeDocument/2006/relationships/hyperlink" Target="https://www.figma.com/design/AzQaoPVLY9UdbDRMcrxRKx/Tech-%EA%B3%A0%EB%8F%84%ED%99%94?node-id=4021-7025&amp;t=oxsgLFKpHLjuwdms-4" TargetMode="External"/><Relationship Id="rId224" Type="http://schemas.openxmlformats.org/officeDocument/2006/relationships/hyperlink" Target="https://www.figma.com/design/AzQaoPVLY9UdbDRMcrxRKx/Tech-%EA%B3%A0%EB%8F%84%ED%99%94?node-id=4021-7312&amp;t=oxsgLFKpHLjuwdms-4" TargetMode="External"/><Relationship Id="rId102" Type="http://schemas.openxmlformats.org/officeDocument/2006/relationships/hyperlink" Target="https://www.figma.com/design/AzQaoPVLY9UdbDRMcrxRKx/Tech-%EA%B3%A0%EB%8F%84%ED%99%94?node-id=4021-7025&amp;t=oxsgLFKpHLjuwdms-4" TargetMode="External"/><Relationship Id="rId223" Type="http://schemas.openxmlformats.org/officeDocument/2006/relationships/hyperlink" Target="https://www.figma.com/design/AzQaoPVLY9UdbDRMcrxRKx/Tech-%EA%B3%A0%EB%8F%84%ED%99%94?node-id=4021-7312&amp;t=oxsgLFKpHLjuwdms-4" TargetMode="External"/><Relationship Id="rId101" Type="http://schemas.openxmlformats.org/officeDocument/2006/relationships/hyperlink" Target="https://www.figma.com/design/AzQaoPVLY9UdbDRMcrxRKx/Tech-%EA%B3%A0%EB%8F%84%ED%99%94?node-id=4021-7025&amp;t=oxsgLFKpHLjuwdms-4" TargetMode="External"/><Relationship Id="rId222" Type="http://schemas.openxmlformats.org/officeDocument/2006/relationships/hyperlink" Target="https://www.figma.com/design/AzQaoPVLY9UdbDRMcrxRKx/Tech-%EA%B3%A0%EB%8F%84%ED%99%94?node-id=4021-7312&amp;t=oxsgLFKpHLjuwdms-4" TargetMode="External"/><Relationship Id="rId100" Type="http://schemas.openxmlformats.org/officeDocument/2006/relationships/hyperlink" Target="https://www.figma.com/design/AzQaoPVLY9UdbDRMcrxRKx/Tech-%EA%B3%A0%EB%8F%84%ED%99%94?node-id=4021-7025&amp;t=oxsgLFKpHLjuwdms-4" TargetMode="External"/><Relationship Id="rId221" Type="http://schemas.openxmlformats.org/officeDocument/2006/relationships/hyperlink" Target="https://www.figma.com/design/AzQaoPVLY9UdbDRMcrxRKx/Tech-%EA%B3%A0%EB%8F%84%ED%99%94?node-id=4021-7312&amp;t=oxsgLFKpHLjuwdms-4" TargetMode="External"/><Relationship Id="rId217" Type="http://schemas.openxmlformats.org/officeDocument/2006/relationships/hyperlink" Target="https://www.figma.com/design/AzQaoPVLY9UdbDRMcrxRKx/Tech-%EA%B3%A0%EB%8F%84%ED%99%94?node-id=4021-7312&amp;t=oxsgLFKpHLjuwdms-4" TargetMode="External"/><Relationship Id="rId216" Type="http://schemas.openxmlformats.org/officeDocument/2006/relationships/hyperlink" Target="https://www.figma.com/design/AzQaoPVLY9UdbDRMcrxRKx/Tech-%EA%B3%A0%EB%8F%84%ED%99%94?node-id=4021-7312&amp;t=oxsgLFKpHLjuwdms-4" TargetMode="External"/><Relationship Id="rId215" Type="http://schemas.openxmlformats.org/officeDocument/2006/relationships/hyperlink" Target="https://www.figma.com/design/AzQaoPVLY9UdbDRMcrxRKx/Tech-%EA%B3%A0%EB%8F%84%ED%99%94?node-id=4021-7312&amp;t=oxsgLFKpHLjuwdms-4" TargetMode="External"/><Relationship Id="rId214" Type="http://schemas.openxmlformats.org/officeDocument/2006/relationships/hyperlink" Target="https://www.figma.com/design/AzQaoPVLY9UdbDRMcrxRKx/Tech-%EA%B3%A0%EB%8F%84%ED%99%94?node-id=4021-7312&amp;t=oxsgLFKpHLjuwdms-4" TargetMode="External"/><Relationship Id="rId219" Type="http://schemas.openxmlformats.org/officeDocument/2006/relationships/hyperlink" Target="https://www.figma.com/design/AzQaoPVLY9UdbDRMcrxRKx/Tech-%EA%B3%A0%EB%8F%84%ED%99%94?node-id=4021-7312&amp;t=oxsgLFKpHLjuwdms-4" TargetMode="External"/><Relationship Id="rId218" Type="http://schemas.openxmlformats.org/officeDocument/2006/relationships/hyperlink" Target="https://www.figma.com/design/AzQaoPVLY9UdbDRMcrxRKx/Tech-%EA%B3%A0%EB%8F%84%ED%99%94?node-id=4021-7312&amp;t=oxsgLFKpHLjuwdms-4" TargetMode="External"/><Relationship Id="rId213" Type="http://schemas.openxmlformats.org/officeDocument/2006/relationships/hyperlink" Target="https://www.figma.com/design/AzQaoPVLY9UdbDRMcrxRKx/Tech-%EA%B3%A0%EB%8F%84%ED%99%94?node-id=4021-7312&amp;t=oxsgLFKpHLjuwdms-4" TargetMode="External"/><Relationship Id="rId212" Type="http://schemas.openxmlformats.org/officeDocument/2006/relationships/hyperlink" Target="https://www.figma.com/design/AzQaoPVLY9UdbDRMcrxRKx/Tech-%EA%B3%A0%EB%8F%84%ED%99%94?node-id=4021-7312&amp;t=oxsgLFKpHLjuwdms-4" TargetMode="External"/><Relationship Id="rId211" Type="http://schemas.openxmlformats.org/officeDocument/2006/relationships/hyperlink" Target="https://www.figma.com/design/AzQaoPVLY9UdbDRMcrxRKx/Tech-%EA%B3%A0%EB%8F%84%ED%99%94?node-id=4021-7312&amp;t=oxsgLFKpHLjuwdms-4" TargetMode="External"/><Relationship Id="rId210" Type="http://schemas.openxmlformats.org/officeDocument/2006/relationships/hyperlink" Target="https://www.figma.com/design/AzQaoPVLY9UdbDRMcrxRKx/Tech-%EA%B3%A0%EB%8F%84%ED%99%94?node-id=4021-7312&amp;t=oxsgLFKpHLjuwdms-4" TargetMode="External"/><Relationship Id="rId129" Type="http://schemas.openxmlformats.org/officeDocument/2006/relationships/hyperlink" Target="https://www.figma.com/design/AzQaoPVLY9UdbDRMcrxRKx/Tech-%EA%B3%A0%EB%8F%84%ED%99%94?node-id=4021-7025&amp;t=oxsgLFKpHLjuwdms-4" TargetMode="External"/><Relationship Id="rId128" Type="http://schemas.openxmlformats.org/officeDocument/2006/relationships/hyperlink" Target="https://www.figma.com/design/AzQaoPVLY9UdbDRMcrxRKx/Tech-%EA%B3%A0%EB%8F%84%ED%99%94?node-id=4021-7025&amp;t=oxsgLFKpHLjuwdms-4" TargetMode="External"/><Relationship Id="rId127" Type="http://schemas.openxmlformats.org/officeDocument/2006/relationships/hyperlink" Target="https://www.figma.com/design/AzQaoPVLY9UdbDRMcrxRKx/Tech-%EA%B3%A0%EB%8F%84%ED%99%94?node-id=4021-7025&amp;t=oxsgLFKpHLjuwdms-4" TargetMode="External"/><Relationship Id="rId248" Type="http://schemas.openxmlformats.org/officeDocument/2006/relationships/drawing" Target="../drawings/drawing14.xml"/><Relationship Id="rId126" Type="http://schemas.openxmlformats.org/officeDocument/2006/relationships/hyperlink" Target="https://www.figma.com/design/AzQaoPVLY9UdbDRMcrxRKx/Tech-%EA%B3%A0%EB%8F%84%ED%99%94?node-id=4021-7025&amp;t=oxsgLFKpHLjuwdms-4" TargetMode="External"/><Relationship Id="rId247" Type="http://schemas.openxmlformats.org/officeDocument/2006/relationships/hyperlink" Target="https://smartscoretech.atlassian.net/browse/QA-13163" TargetMode="External"/><Relationship Id="rId121" Type="http://schemas.openxmlformats.org/officeDocument/2006/relationships/hyperlink" Target="https://www.figma.com/design/AzQaoPVLY9UdbDRMcrxRKx/Tech-%EA%B3%A0%EB%8F%84%ED%99%94?node-id=4021-7025&amp;t=oxsgLFKpHLjuwdms-4" TargetMode="External"/><Relationship Id="rId242" Type="http://schemas.openxmlformats.org/officeDocument/2006/relationships/hyperlink" Target="https://www.figma.com/design/AzQaoPVLY9UdbDRMcrxRKx/Tech-%EA%B3%A0%EB%8F%84%ED%99%94?node-id=4021-7312&amp;t=oxsgLFKpHLjuwdms-4" TargetMode="External"/><Relationship Id="rId120" Type="http://schemas.openxmlformats.org/officeDocument/2006/relationships/hyperlink" Target="https://www.figma.com/design/AzQaoPVLY9UdbDRMcrxRKx/Tech-%EA%B3%A0%EB%8F%84%ED%99%94?node-id=4021-7025&amp;t=oxsgLFKpHLjuwdms-4" TargetMode="External"/><Relationship Id="rId241" Type="http://schemas.openxmlformats.org/officeDocument/2006/relationships/hyperlink" Target="https://www.figma.com/design/AzQaoPVLY9UdbDRMcrxRKx/Tech-%EA%B3%A0%EB%8F%84%ED%99%94?node-id=4021-7312&amp;t=oxsgLFKpHLjuwdms-4" TargetMode="External"/><Relationship Id="rId240" Type="http://schemas.openxmlformats.org/officeDocument/2006/relationships/hyperlink" Target="https://www.figma.com/design/AzQaoPVLY9UdbDRMcrxRKx/Tech-%EA%B3%A0%EB%8F%84%ED%99%94?node-id=4021-7312&amp;t=oxsgLFKpHLjuwdms-4" TargetMode="External"/><Relationship Id="rId125" Type="http://schemas.openxmlformats.org/officeDocument/2006/relationships/hyperlink" Target="https://www.figma.com/design/AzQaoPVLY9UdbDRMcrxRKx/Tech-%EA%B3%A0%EB%8F%84%ED%99%94?node-id=4021-7025&amp;t=oxsgLFKpHLjuwdms-4" TargetMode="External"/><Relationship Id="rId246" Type="http://schemas.openxmlformats.org/officeDocument/2006/relationships/hyperlink" Target="https://www.figma.com/design/AzQaoPVLY9UdbDRMcrxRKx/Tech-%EA%B3%A0%EB%8F%84%ED%99%94?node-id=4021-7312&amp;t=oxsgLFKpHLjuwdms-4" TargetMode="External"/><Relationship Id="rId124" Type="http://schemas.openxmlformats.org/officeDocument/2006/relationships/hyperlink" Target="https://www.figma.com/design/AzQaoPVLY9UdbDRMcrxRKx/Tech-%EA%B3%A0%EB%8F%84%ED%99%94?node-id=4021-7025&amp;t=oxsgLFKpHLjuwdms-4" TargetMode="External"/><Relationship Id="rId245" Type="http://schemas.openxmlformats.org/officeDocument/2006/relationships/hyperlink" Target="https://smartscoretech.atlassian.net/browse/QA-13163" TargetMode="External"/><Relationship Id="rId123" Type="http://schemas.openxmlformats.org/officeDocument/2006/relationships/hyperlink" Target="https://www.figma.com/design/AzQaoPVLY9UdbDRMcrxRKx/Tech-%EA%B3%A0%EB%8F%84%ED%99%94?node-id=4021-7025&amp;t=oxsgLFKpHLjuwdms-4" TargetMode="External"/><Relationship Id="rId244" Type="http://schemas.openxmlformats.org/officeDocument/2006/relationships/hyperlink" Target="https://www.figma.com/design/AzQaoPVLY9UdbDRMcrxRKx/Tech-%EA%B3%A0%EB%8F%84%ED%99%94?node-id=4021-7312&amp;t=oxsgLFKpHLjuwdms-4" TargetMode="External"/><Relationship Id="rId122" Type="http://schemas.openxmlformats.org/officeDocument/2006/relationships/hyperlink" Target="https://www.figma.com/design/AzQaoPVLY9UdbDRMcrxRKx/Tech-%EA%B3%A0%EB%8F%84%ED%99%94?node-id=4021-7025&amp;t=oxsgLFKpHLjuwdms-4" TargetMode="External"/><Relationship Id="rId243" Type="http://schemas.openxmlformats.org/officeDocument/2006/relationships/hyperlink" Target="https://www.figma.com/design/AzQaoPVLY9UdbDRMcrxRKx/Tech-%EA%B3%A0%EB%8F%84%ED%99%94?node-id=4021-7312&amp;t=oxsgLFKpHLjuwdms-4" TargetMode="External"/><Relationship Id="rId95" Type="http://schemas.openxmlformats.org/officeDocument/2006/relationships/hyperlink" Target="https://www.figma.com/design/AzQaoPVLY9UdbDRMcrxRKx/Tech-%EA%B3%A0%EB%8F%84%ED%99%94?node-id=4021-7025&amp;t=oxsgLFKpHLjuwdms-4" TargetMode="External"/><Relationship Id="rId94" Type="http://schemas.openxmlformats.org/officeDocument/2006/relationships/hyperlink" Target="https://www.figma.com/design/AzQaoPVLY9UdbDRMcrxRKx/Tech-%EA%B3%A0%EB%8F%84%ED%99%94?node-id=4021-7025&amp;t=oxsgLFKpHLjuwdms-4" TargetMode="External"/><Relationship Id="rId97" Type="http://schemas.openxmlformats.org/officeDocument/2006/relationships/hyperlink" Target="https://www.figma.com/design/AzQaoPVLY9UdbDRMcrxRKx/Tech-%EA%B3%A0%EB%8F%84%ED%99%94?node-id=4021-7025&amp;t=oxsgLFKpHLjuwdms-4" TargetMode="External"/><Relationship Id="rId96" Type="http://schemas.openxmlformats.org/officeDocument/2006/relationships/hyperlink" Target="https://www.figma.com/design/AzQaoPVLY9UdbDRMcrxRKx/Tech-%EA%B3%A0%EB%8F%84%ED%99%94?node-id=4021-7025&amp;t=oxsgLFKpHLjuwdms-4" TargetMode="External"/><Relationship Id="rId99" Type="http://schemas.openxmlformats.org/officeDocument/2006/relationships/hyperlink" Target="https://www.figma.com/design/AzQaoPVLY9UdbDRMcrxRKx/Tech-%EA%B3%A0%EB%8F%84%ED%99%94?node-id=4021-7025&amp;t=oxsgLFKpHLjuwdms-4" TargetMode="External"/><Relationship Id="rId98" Type="http://schemas.openxmlformats.org/officeDocument/2006/relationships/hyperlink" Target="https://www.figma.com/design/AzQaoPVLY9UdbDRMcrxRKx/Tech-%EA%B3%A0%EB%8F%84%ED%99%94?node-id=4021-7025&amp;t=oxsgLFKpHLjuwdms-4" TargetMode="External"/><Relationship Id="rId91" Type="http://schemas.openxmlformats.org/officeDocument/2006/relationships/hyperlink" Target="https://www.figma.com/design/AzQaoPVLY9UdbDRMcrxRKx/Tech-%EA%B3%A0%EB%8F%84%ED%99%94?node-id=4021-7025&amp;t=oxsgLFKpHLjuwdms-4" TargetMode="External"/><Relationship Id="rId90" Type="http://schemas.openxmlformats.org/officeDocument/2006/relationships/hyperlink" Target="https://www.figma.com/design/AzQaoPVLY9UdbDRMcrxRKx/Tech-%EA%B3%A0%EB%8F%84%ED%99%94?node-id=4021-7025&amp;t=oxsgLFKpHLjuwdms-4" TargetMode="External"/><Relationship Id="rId93" Type="http://schemas.openxmlformats.org/officeDocument/2006/relationships/hyperlink" Target="https://www.figma.com/design/AzQaoPVLY9UdbDRMcrxRKx/Tech-%EA%B3%A0%EB%8F%84%ED%99%94?node-id=4021-7025&amp;t=oxsgLFKpHLjuwdms-4" TargetMode="External"/><Relationship Id="rId92" Type="http://schemas.openxmlformats.org/officeDocument/2006/relationships/hyperlink" Target="https://www.figma.com/design/AzQaoPVLY9UdbDRMcrxRKx/Tech-%EA%B3%A0%EB%8F%84%ED%99%94?node-id=4021-7025&amp;t=oxsgLFKpHLjuwdms-4" TargetMode="External"/><Relationship Id="rId118" Type="http://schemas.openxmlformats.org/officeDocument/2006/relationships/hyperlink" Target="https://www.figma.com/design/AzQaoPVLY9UdbDRMcrxRKx/Tech-%EA%B3%A0%EB%8F%84%ED%99%94?node-id=4021-7025&amp;t=oxsgLFKpHLjuwdms-4" TargetMode="External"/><Relationship Id="rId239" Type="http://schemas.openxmlformats.org/officeDocument/2006/relationships/hyperlink" Target="https://www.figma.com/design/AzQaoPVLY9UdbDRMcrxRKx/Tech-%EA%B3%A0%EB%8F%84%ED%99%94?node-id=4021-7312&amp;t=oxsgLFKpHLjuwdms-4" TargetMode="External"/><Relationship Id="rId117" Type="http://schemas.openxmlformats.org/officeDocument/2006/relationships/hyperlink" Target="https://www.figma.com/design/AzQaoPVLY9UdbDRMcrxRKx/Tech-%EA%B3%A0%EB%8F%84%ED%99%94?node-id=4021-7025&amp;t=oxsgLFKpHLjuwdms-4" TargetMode="External"/><Relationship Id="rId238" Type="http://schemas.openxmlformats.org/officeDocument/2006/relationships/hyperlink" Target="https://www.figma.com/design/AzQaoPVLY9UdbDRMcrxRKx/Tech-%EA%B3%A0%EB%8F%84%ED%99%94?node-id=4021-7312&amp;t=oxsgLFKpHLjuwdms-4" TargetMode="External"/><Relationship Id="rId116" Type="http://schemas.openxmlformats.org/officeDocument/2006/relationships/hyperlink" Target="https://www.figma.com/design/AzQaoPVLY9UdbDRMcrxRKx/Tech-%EA%B3%A0%EB%8F%84%ED%99%94?node-id=4021-7025&amp;t=oxsgLFKpHLjuwdms-4" TargetMode="External"/><Relationship Id="rId237" Type="http://schemas.openxmlformats.org/officeDocument/2006/relationships/hyperlink" Target="https://www.figma.com/design/AzQaoPVLY9UdbDRMcrxRKx/Tech-%EA%B3%A0%EB%8F%84%ED%99%94?node-id=4021-7312&amp;t=oxsgLFKpHLjuwdms-4" TargetMode="External"/><Relationship Id="rId115" Type="http://schemas.openxmlformats.org/officeDocument/2006/relationships/hyperlink" Target="https://www.figma.com/design/AzQaoPVLY9UdbDRMcrxRKx/Tech-%EA%B3%A0%EB%8F%84%ED%99%94?node-id=4021-7025&amp;t=oxsgLFKpHLjuwdms-4" TargetMode="External"/><Relationship Id="rId236" Type="http://schemas.openxmlformats.org/officeDocument/2006/relationships/hyperlink" Target="https://www.figma.com/design/AzQaoPVLY9UdbDRMcrxRKx/Tech-%EA%B3%A0%EB%8F%84%ED%99%94?node-id=4021-7312&amp;t=oxsgLFKpHLjuwdms-4" TargetMode="External"/><Relationship Id="rId119" Type="http://schemas.openxmlformats.org/officeDocument/2006/relationships/hyperlink" Target="https://www.figma.com/design/AzQaoPVLY9UdbDRMcrxRKx/Tech-%EA%B3%A0%EB%8F%84%ED%99%94?node-id=4021-7025&amp;t=oxsgLFKpHLjuwdms-4" TargetMode="External"/><Relationship Id="rId110" Type="http://schemas.openxmlformats.org/officeDocument/2006/relationships/hyperlink" Target="https://www.figma.com/design/AzQaoPVLY9UdbDRMcrxRKx/Tech-%EA%B3%A0%EB%8F%84%ED%99%94?node-id=4021-7025&amp;t=oxsgLFKpHLjuwdms-4" TargetMode="External"/><Relationship Id="rId231" Type="http://schemas.openxmlformats.org/officeDocument/2006/relationships/hyperlink" Target="https://www.figma.com/design/AzQaoPVLY9UdbDRMcrxRKx/Tech-%EA%B3%A0%EB%8F%84%ED%99%94?node-id=4021-7312&amp;t=oxsgLFKpHLjuwdms-4" TargetMode="External"/><Relationship Id="rId230" Type="http://schemas.openxmlformats.org/officeDocument/2006/relationships/hyperlink" Target="https://www.figma.com/design/AzQaoPVLY9UdbDRMcrxRKx/Tech-%EA%B3%A0%EB%8F%84%ED%99%94?node-id=4021-7312&amp;t=oxsgLFKpHLjuwdms-4" TargetMode="External"/><Relationship Id="rId114" Type="http://schemas.openxmlformats.org/officeDocument/2006/relationships/hyperlink" Target="https://www.figma.com/design/AzQaoPVLY9UdbDRMcrxRKx/Tech-%EA%B3%A0%EB%8F%84%ED%99%94?node-id=4021-7025&amp;t=oxsgLFKpHLjuwdms-4" TargetMode="External"/><Relationship Id="rId235" Type="http://schemas.openxmlformats.org/officeDocument/2006/relationships/hyperlink" Target="https://www.figma.com/design/AzQaoPVLY9UdbDRMcrxRKx/Tech-%EA%B3%A0%EB%8F%84%ED%99%94?node-id=4021-7312&amp;t=oxsgLFKpHLjuwdms-4" TargetMode="External"/><Relationship Id="rId113" Type="http://schemas.openxmlformats.org/officeDocument/2006/relationships/hyperlink" Target="https://www.figma.com/design/AzQaoPVLY9UdbDRMcrxRKx/Tech-%EA%B3%A0%EB%8F%84%ED%99%94?node-id=4021-7025&amp;t=oxsgLFKpHLjuwdms-4" TargetMode="External"/><Relationship Id="rId234" Type="http://schemas.openxmlformats.org/officeDocument/2006/relationships/hyperlink" Target="https://www.figma.com/design/AzQaoPVLY9UdbDRMcrxRKx/Tech-%EA%B3%A0%EB%8F%84%ED%99%94?node-id=4021-7312&amp;t=oxsgLFKpHLjuwdms-4" TargetMode="External"/><Relationship Id="rId112" Type="http://schemas.openxmlformats.org/officeDocument/2006/relationships/hyperlink" Target="https://www.figma.com/design/AzQaoPVLY9UdbDRMcrxRKx/Tech-%EA%B3%A0%EB%8F%84%ED%99%94?node-id=4021-7025&amp;t=oxsgLFKpHLjuwdms-4" TargetMode="External"/><Relationship Id="rId233" Type="http://schemas.openxmlformats.org/officeDocument/2006/relationships/hyperlink" Target="https://www.figma.com/design/AzQaoPVLY9UdbDRMcrxRKx/Tech-%EA%B3%A0%EB%8F%84%ED%99%94?node-id=4021-7312&amp;t=oxsgLFKpHLjuwdms-4" TargetMode="External"/><Relationship Id="rId111" Type="http://schemas.openxmlformats.org/officeDocument/2006/relationships/hyperlink" Target="https://www.figma.com/design/AzQaoPVLY9UdbDRMcrxRKx/Tech-%EA%B3%A0%EB%8F%84%ED%99%94?node-id=4021-7025&amp;t=oxsgLFKpHLjuwdms-4" TargetMode="External"/><Relationship Id="rId232" Type="http://schemas.openxmlformats.org/officeDocument/2006/relationships/hyperlink" Target="https://www.figma.com/design/AzQaoPVLY9UdbDRMcrxRKx/Tech-%EA%B3%A0%EB%8F%84%ED%99%94?node-id=4021-7312&amp;t=oxsgLFKpHLjuwdms-4" TargetMode="External"/><Relationship Id="rId206" Type="http://schemas.openxmlformats.org/officeDocument/2006/relationships/hyperlink" Target="https://www.figma.com/design/AzQaoPVLY9UdbDRMcrxRKx/Tech-%EA%B3%A0%EB%8F%84%ED%99%94?node-id=4021-7312&amp;t=oxsgLFKpHLjuwdms-4" TargetMode="External"/><Relationship Id="rId205" Type="http://schemas.openxmlformats.org/officeDocument/2006/relationships/hyperlink" Target="https://www.figma.com/design/AzQaoPVLY9UdbDRMcrxRKx/Tech-%EA%B3%A0%EB%8F%84%ED%99%94?node-id=4021-7312&amp;t=oxsgLFKpHLjuwdms-4" TargetMode="External"/><Relationship Id="rId204" Type="http://schemas.openxmlformats.org/officeDocument/2006/relationships/hyperlink" Target="https://www.figma.com/design/AzQaoPVLY9UdbDRMcrxRKx/Tech-%EA%B3%A0%EB%8F%84%ED%99%94?node-id=4021-7312&amp;t=oxsgLFKpHLjuwdms-4" TargetMode="External"/><Relationship Id="rId203" Type="http://schemas.openxmlformats.org/officeDocument/2006/relationships/hyperlink" Target="https://www.figma.com/design/AzQaoPVLY9UdbDRMcrxRKx/Tech-%EA%B3%A0%EB%8F%84%ED%99%94?node-id=4021-7312&amp;t=oxsgLFKpHLjuwdms-4" TargetMode="External"/><Relationship Id="rId209" Type="http://schemas.openxmlformats.org/officeDocument/2006/relationships/hyperlink" Target="https://www.figma.com/design/AzQaoPVLY9UdbDRMcrxRKx/Tech-%EA%B3%A0%EB%8F%84%ED%99%94?node-id=4021-7312&amp;t=oxsgLFKpHLjuwdms-4" TargetMode="External"/><Relationship Id="rId208" Type="http://schemas.openxmlformats.org/officeDocument/2006/relationships/hyperlink" Target="https://www.figma.com/design/AzQaoPVLY9UdbDRMcrxRKx/Tech-%EA%B3%A0%EB%8F%84%ED%99%94?node-id=4021-7312&amp;t=oxsgLFKpHLjuwdms-4" TargetMode="External"/><Relationship Id="rId207" Type="http://schemas.openxmlformats.org/officeDocument/2006/relationships/hyperlink" Target="https://www.figma.com/design/AzQaoPVLY9UdbDRMcrxRKx/Tech-%EA%B3%A0%EB%8F%84%ED%99%94?node-id=4021-7312&amp;t=oxsgLFKpHLjuwdms-4" TargetMode="External"/><Relationship Id="rId202" Type="http://schemas.openxmlformats.org/officeDocument/2006/relationships/hyperlink" Target="https://www.figma.com/design/AzQaoPVLY9UdbDRMcrxRKx/Tech-%EA%B3%A0%EB%8F%84%ED%99%94?node-id=4021-7312&amp;t=oxsgLFKpHLjuwdms-4" TargetMode="External"/><Relationship Id="rId201" Type="http://schemas.openxmlformats.org/officeDocument/2006/relationships/hyperlink" Target="https://www.figma.com/design/AzQaoPVLY9UdbDRMcrxRKx/Tech-%EA%B3%A0%EB%8F%84%ED%99%94?node-id=4021-7312&amp;t=oxsgLFKpHLjuwdms-4" TargetMode="External"/><Relationship Id="rId200" Type="http://schemas.openxmlformats.org/officeDocument/2006/relationships/hyperlink" Target="https://www.figma.com/design/AzQaoPVLY9UdbDRMcrxRKx/Tech-%EA%B3%A0%EB%8F%84%ED%99%94?node-id=4021-7312&amp;t=oxsgLFKpHLjuwdms-4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AzQaoPVLY9UdbDRMcrxRKx/Tech-%EA%B3%A0%EB%8F%84%ED%99%94?node-id=1499-3082&amp;t=jS09qAEawWQHylKj-4" TargetMode="External"/><Relationship Id="rId41" Type="http://schemas.openxmlformats.org/officeDocument/2006/relationships/drawing" Target="../drawings/drawing15.xml"/><Relationship Id="rId31" Type="http://schemas.openxmlformats.org/officeDocument/2006/relationships/hyperlink" Target="https://www.figma.com/design/AzQaoPVLY9UdbDRMcrxRKx/Tech-%EA%B3%A0%EB%8F%84%ED%99%94?node-id=1499-3082&amp;t=jS09qAEawWQHylKj-4" TargetMode="External"/><Relationship Id="rId30" Type="http://schemas.openxmlformats.org/officeDocument/2006/relationships/hyperlink" Target="https://www.figma.com/design/AzQaoPVLY9UdbDRMcrxRKx/Tech-%EA%B3%A0%EB%8F%84%ED%99%94?node-id=1499-3082&amp;t=jS09qAEawWQHylKj-4" TargetMode="External"/><Relationship Id="rId33" Type="http://schemas.openxmlformats.org/officeDocument/2006/relationships/hyperlink" Target="https://www.figma.com/design/AzQaoPVLY9UdbDRMcrxRKx/Tech-%EA%B3%A0%EB%8F%84%ED%99%94?node-id=1499-3082&amp;t=jS09qAEawWQHylKj-4" TargetMode="External"/><Relationship Id="rId32" Type="http://schemas.openxmlformats.org/officeDocument/2006/relationships/hyperlink" Target="https://www.figma.com/design/AzQaoPVLY9UdbDRMcrxRKx/Tech-%EA%B3%A0%EB%8F%84%ED%99%94?node-id=1499-3082&amp;t=jS09qAEawWQHylKj-4" TargetMode="External"/><Relationship Id="rId35" Type="http://schemas.openxmlformats.org/officeDocument/2006/relationships/hyperlink" Target="https://www.figma.com/design/AzQaoPVLY9UdbDRMcrxRKx/Tech-%EA%B3%A0%EB%8F%84%ED%99%94?node-id=1499-3082&amp;t=jS09qAEawWQHylKj-4" TargetMode="External"/><Relationship Id="rId34" Type="http://schemas.openxmlformats.org/officeDocument/2006/relationships/hyperlink" Target="https://www.figma.com/design/AzQaoPVLY9UdbDRMcrxRKx/Tech-%EA%B3%A0%EB%8F%84%ED%99%94?node-id=1499-3082&amp;t=jS09qAEawWQHylKj-4" TargetMode="External"/><Relationship Id="rId37" Type="http://schemas.openxmlformats.org/officeDocument/2006/relationships/hyperlink" Target="https://www.figma.com/design/AzQaoPVLY9UdbDRMcrxRKx/Tech-%EA%B3%A0%EB%8F%84%ED%99%94?node-id=1499-3082&amp;t=jS09qAEawWQHylKj-4" TargetMode="External"/><Relationship Id="rId36" Type="http://schemas.openxmlformats.org/officeDocument/2006/relationships/hyperlink" Target="https://www.figma.com/design/AzQaoPVLY9UdbDRMcrxRKx/Tech-%EA%B3%A0%EB%8F%84%ED%99%94?node-id=1499-3082&amp;t=jS09qAEawWQHylKj-4" TargetMode="External"/><Relationship Id="rId39" Type="http://schemas.openxmlformats.org/officeDocument/2006/relationships/hyperlink" Target="https://www.figma.com/design/AzQaoPVLY9UdbDRMcrxRKx/Tech-%EA%B3%A0%EB%8F%84%ED%99%94?node-id=1499-3082&amp;t=jS09qAEawWQHylKj-4" TargetMode="External"/><Relationship Id="rId38" Type="http://schemas.openxmlformats.org/officeDocument/2006/relationships/hyperlink" Target="https://www.figma.com/design/AzQaoPVLY9UdbDRMcrxRKx/Tech-%EA%B3%A0%EB%8F%84%ED%99%94?node-id=1499-3082&amp;t=jS09qAEawWQHylKj-4" TargetMode="External"/><Relationship Id="rId20" Type="http://schemas.openxmlformats.org/officeDocument/2006/relationships/hyperlink" Target="https://www.figma.com/design/AzQaoPVLY9UdbDRMcrxRKx/Tech-%EA%B3%A0%EB%8F%84%ED%99%94?node-id=1499-3082&amp;t=jS09qAEawWQHylKj-4" TargetMode="External"/><Relationship Id="rId22" Type="http://schemas.openxmlformats.org/officeDocument/2006/relationships/hyperlink" Target="https://www.figma.com/design/AzQaoPVLY9UdbDRMcrxRKx/Tech-%EA%B3%A0%EB%8F%84%ED%99%94?node-id=1499-3082&amp;t=jS09qAEawWQHylKj-4" TargetMode="External"/><Relationship Id="rId21" Type="http://schemas.openxmlformats.org/officeDocument/2006/relationships/hyperlink" Target="https://www.figma.com/design/AzQaoPVLY9UdbDRMcrxRKx/Tech-%EA%B3%A0%EB%8F%84%ED%99%94?node-id=1499-3082&amp;t=jS09qAEawWQHylKj-4" TargetMode="External"/><Relationship Id="rId24" Type="http://schemas.openxmlformats.org/officeDocument/2006/relationships/hyperlink" Target="https://www.figma.com/design/AzQaoPVLY9UdbDRMcrxRKx/Tech-%EA%B3%A0%EB%8F%84%ED%99%94?node-id=1499-3082&amp;t=jS09qAEawWQHylKj-4" TargetMode="External"/><Relationship Id="rId23" Type="http://schemas.openxmlformats.org/officeDocument/2006/relationships/hyperlink" Target="https://www.figma.com/design/AzQaoPVLY9UdbDRMcrxRKx/Tech-%EA%B3%A0%EB%8F%84%ED%99%94?node-id=1499-3082&amp;t=jS09qAEawWQHylKj-4" TargetMode="External"/><Relationship Id="rId26" Type="http://schemas.openxmlformats.org/officeDocument/2006/relationships/hyperlink" Target="https://www.figma.com/design/AzQaoPVLY9UdbDRMcrxRKx/Tech-%EA%B3%A0%EB%8F%84%ED%99%94?node-id=1499-3082&amp;t=jS09qAEawWQHylKj-4" TargetMode="External"/><Relationship Id="rId25" Type="http://schemas.openxmlformats.org/officeDocument/2006/relationships/hyperlink" Target="https://www.figma.com/design/AzQaoPVLY9UdbDRMcrxRKx/Tech-%EA%B3%A0%EB%8F%84%ED%99%94?node-id=1499-3082&amp;t=jS09qAEawWQHylKj-4" TargetMode="External"/><Relationship Id="rId28" Type="http://schemas.openxmlformats.org/officeDocument/2006/relationships/hyperlink" Target="https://www.figma.com/design/AzQaoPVLY9UdbDRMcrxRKx/Tech-%EA%B3%A0%EB%8F%84%ED%99%94?node-id=1499-3082&amp;t=jS09qAEawWQHylKj-4" TargetMode="External"/><Relationship Id="rId27" Type="http://schemas.openxmlformats.org/officeDocument/2006/relationships/hyperlink" Target="https://www.figma.com/design/AzQaoPVLY9UdbDRMcrxRKx/Tech-%EA%B3%A0%EB%8F%84%ED%99%94?node-id=1499-3082&amp;t=jS09qAEawWQHylKj-4" TargetMode="External"/><Relationship Id="rId29" Type="http://schemas.openxmlformats.org/officeDocument/2006/relationships/hyperlink" Target="https://www.figma.com/design/AzQaoPVLY9UdbDRMcrxRKx/Tech-%EA%B3%A0%EB%8F%84%ED%99%94?node-id=1499-3082&amp;t=jS09qAEawWQHylKj-4" TargetMode="External"/><Relationship Id="rId11" Type="http://schemas.openxmlformats.org/officeDocument/2006/relationships/hyperlink" Target="https://www.figma.com/design/AzQaoPVLY9UdbDRMcrxRKx/Tech-%EA%B3%A0%EB%8F%84%ED%99%94?node-id=1463-3386&amp;t=jS09qAEawWQHylKj-4" TargetMode="External"/><Relationship Id="rId10" Type="http://schemas.openxmlformats.org/officeDocument/2006/relationships/hyperlink" Target="https://www.figma.com/design/AzQaoPVLY9UdbDRMcrxRKx/Tech-%EA%B3%A0%EB%8F%84%ED%99%94?node-id=1463-3386&amp;t=jS09qAEawWQHylKj-4" TargetMode="External"/><Relationship Id="rId13" Type="http://schemas.openxmlformats.org/officeDocument/2006/relationships/hyperlink" Target="https://www.figma.com/design/AzQaoPVLY9UdbDRMcrxRKx/Tech-%EA%B3%A0%EB%8F%84%ED%99%94?node-id=1463-3386&amp;t=jS09qAEawWQHylKj-4" TargetMode="External"/><Relationship Id="rId12" Type="http://schemas.openxmlformats.org/officeDocument/2006/relationships/hyperlink" Target="https://www.figma.com/design/AzQaoPVLY9UdbDRMcrxRKx/Tech-%EA%B3%A0%EB%8F%84%ED%99%94?node-id=1463-3386&amp;t=jS09qAEawWQHylKj-4" TargetMode="External"/><Relationship Id="rId15" Type="http://schemas.openxmlformats.org/officeDocument/2006/relationships/hyperlink" Target="https://www.figma.com/design/AzQaoPVLY9UdbDRMcrxRKx/Tech-%EA%B3%A0%EB%8F%84%ED%99%94?node-id=1463-3386&amp;t=jS09qAEawWQHylKj-4" TargetMode="External"/><Relationship Id="rId14" Type="http://schemas.openxmlformats.org/officeDocument/2006/relationships/hyperlink" Target="https://www.figma.com/design/AzQaoPVLY9UdbDRMcrxRKx/Tech-%EA%B3%A0%EB%8F%84%ED%99%94?node-id=1463-3386&amp;t=jS09qAEawWQHylKj-4" TargetMode="External"/><Relationship Id="rId17" Type="http://schemas.openxmlformats.org/officeDocument/2006/relationships/hyperlink" Target="https://www.figma.com/design/AzQaoPVLY9UdbDRMcrxRKx/Tech-%EA%B3%A0%EB%8F%84%ED%99%94?node-id=1499-3082&amp;t=jS09qAEawWQHylKj-4" TargetMode="External"/><Relationship Id="rId16" Type="http://schemas.openxmlformats.org/officeDocument/2006/relationships/hyperlink" Target="https://www.figma.com/design/AzQaoPVLY9UdbDRMcrxRKx/Tech-%EA%B3%A0%EB%8F%84%ED%99%94?node-id=1499-3082&amp;t=jS09qAEawWQHylKj-4" TargetMode="External"/><Relationship Id="rId19" Type="http://schemas.openxmlformats.org/officeDocument/2006/relationships/hyperlink" Target="https://www.figma.com/design/AzQaoPVLY9UdbDRMcrxRKx/Tech-%EA%B3%A0%EB%8F%84%ED%99%94?node-id=1499-3082&amp;t=jS09qAEawWQHylKj-4" TargetMode="External"/><Relationship Id="rId18" Type="http://schemas.openxmlformats.org/officeDocument/2006/relationships/hyperlink" Target="https://www.figma.com/design/AzQaoPVLY9UdbDRMcrxRKx/Tech-%EA%B3%A0%EB%8F%84%ED%99%94?node-id=1499-3082&amp;t=jS09qAEawWQHylKj-4" TargetMode="External"/><Relationship Id="rId1" Type="http://schemas.openxmlformats.org/officeDocument/2006/relationships/hyperlink" Target="https://www.figma.com/design/AzQaoPVLY9UdbDRMcrxRKx/Tech-%EA%B3%A0%EB%8F%84%ED%99%94?node-id=1463-3386&amp;t=jS09qAEawWQHylKj-4" TargetMode="External"/><Relationship Id="rId2" Type="http://schemas.openxmlformats.org/officeDocument/2006/relationships/hyperlink" Target="https://www.figma.com/design/AzQaoPVLY9UdbDRMcrxRKx/Tech-%EA%B3%A0%EB%8F%84%ED%99%94?node-id=1463-3386&amp;t=jS09qAEawWQHylKj-4" TargetMode="External"/><Relationship Id="rId3" Type="http://schemas.openxmlformats.org/officeDocument/2006/relationships/hyperlink" Target="https://www.figma.com/design/AzQaoPVLY9UdbDRMcrxRKx/Tech-%EA%B3%A0%EB%8F%84%ED%99%94?node-id=1463-3386&amp;t=jS09qAEawWQHylKj-4" TargetMode="External"/><Relationship Id="rId4" Type="http://schemas.openxmlformats.org/officeDocument/2006/relationships/hyperlink" Target="https://www.figma.com/design/AzQaoPVLY9UdbDRMcrxRKx/Tech-%EA%B3%A0%EB%8F%84%ED%99%94?node-id=1463-3386&amp;t=jS09qAEawWQHylKj-4" TargetMode="External"/><Relationship Id="rId9" Type="http://schemas.openxmlformats.org/officeDocument/2006/relationships/hyperlink" Target="https://www.figma.com/design/AzQaoPVLY9UdbDRMcrxRKx/Tech-%EA%B3%A0%EB%8F%84%ED%99%94?node-id=1463-3386&amp;t=jS09qAEawWQHylKj-4" TargetMode="External"/><Relationship Id="rId5" Type="http://schemas.openxmlformats.org/officeDocument/2006/relationships/hyperlink" Target="https://www.figma.com/design/AzQaoPVLY9UdbDRMcrxRKx/Tech-%EA%B3%A0%EB%8F%84%ED%99%94?node-id=1463-3386&amp;t=jS09qAEawWQHylKj-4" TargetMode="External"/><Relationship Id="rId6" Type="http://schemas.openxmlformats.org/officeDocument/2006/relationships/hyperlink" Target="https://www.figma.com/design/AzQaoPVLY9UdbDRMcrxRKx/Tech-%EA%B3%A0%EB%8F%84%ED%99%94?node-id=1463-3386&amp;t=jS09qAEawWQHylKj-4" TargetMode="External"/><Relationship Id="rId7" Type="http://schemas.openxmlformats.org/officeDocument/2006/relationships/hyperlink" Target="https://www.figma.com/design/AzQaoPVLY9UdbDRMcrxRKx/Tech-%EA%B3%A0%EB%8F%84%ED%99%94?node-id=1463-3386&amp;t=jS09qAEawWQHylKj-4" TargetMode="External"/><Relationship Id="rId8" Type="http://schemas.openxmlformats.org/officeDocument/2006/relationships/hyperlink" Target="https://www.figma.com/design/AzQaoPVLY9UdbDRMcrxRKx/Tech-%EA%B3%A0%EB%8F%84%ED%99%94?node-id=1463-3386&amp;t=jS09qAEawWQHylKj-4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AzQaoPVLY9UdbDRMcrxRKx/Tech-%EA%B3%A0%EB%8F%84%ED%99%94?node-id=1645-13353&amp;t=jS09qAEawWQHylKj-4" TargetMode="External"/><Relationship Id="rId42" Type="http://schemas.openxmlformats.org/officeDocument/2006/relationships/hyperlink" Target="https://www.figma.com/design/AzQaoPVLY9UdbDRMcrxRKx/Tech-%EA%B3%A0%EB%8F%84%ED%99%94?node-id=1645-13353&amp;t=jS09qAEawWQHylKj-4" TargetMode="External"/><Relationship Id="rId41" Type="http://schemas.openxmlformats.org/officeDocument/2006/relationships/hyperlink" Target="https://www.figma.com/design/AzQaoPVLY9UdbDRMcrxRKx/Tech-%EA%B3%A0%EB%8F%84%ED%99%94?node-id=1645-13353&amp;t=jS09qAEawWQHylKj-4" TargetMode="External"/><Relationship Id="rId44" Type="http://schemas.openxmlformats.org/officeDocument/2006/relationships/hyperlink" Target="https://www.figma.com/design/AzQaoPVLY9UdbDRMcrxRKx/Tech-%EA%B3%A0%EB%8F%84%ED%99%94?node-id=1645-13353&amp;t=jS09qAEawWQHylKj-4" TargetMode="External"/><Relationship Id="rId43" Type="http://schemas.openxmlformats.org/officeDocument/2006/relationships/hyperlink" Target="https://www.figma.com/design/AzQaoPVLY9UdbDRMcrxRKx/Tech-%EA%B3%A0%EB%8F%84%ED%99%94?node-id=1645-13353&amp;t=jS09qAEawWQHylKj-4" TargetMode="External"/><Relationship Id="rId46" Type="http://schemas.openxmlformats.org/officeDocument/2006/relationships/hyperlink" Target="https://www.figma.com/design/AzQaoPVLY9UdbDRMcrxRKx/Tech-%EA%B3%A0%EB%8F%84%ED%99%94?node-id=1645-13353&amp;t=jS09qAEawWQHylKj-4" TargetMode="External"/><Relationship Id="rId45" Type="http://schemas.openxmlformats.org/officeDocument/2006/relationships/hyperlink" Target="https://www.figma.com/design/AzQaoPVLY9UdbDRMcrxRKx/Tech-%EA%B3%A0%EB%8F%84%ED%99%94?node-id=1645-13353&amp;t=jS09qAEawWQHylKj-4" TargetMode="External"/><Relationship Id="rId48" Type="http://schemas.openxmlformats.org/officeDocument/2006/relationships/hyperlink" Target="https://www.figma.com/design/AzQaoPVLY9UdbDRMcrxRKx/Tech-%EA%B3%A0%EB%8F%84%ED%99%94?node-id=1645-13353&amp;t=jS09qAEawWQHylKj-4" TargetMode="External"/><Relationship Id="rId47" Type="http://schemas.openxmlformats.org/officeDocument/2006/relationships/hyperlink" Target="https://www.figma.com/design/AzQaoPVLY9UdbDRMcrxRKx/Tech-%EA%B3%A0%EB%8F%84%ED%99%94?node-id=1645-13353&amp;t=jS09qAEawWQHylKj-4" TargetMode="External"/><Relationship Id="rId49" Type="http://schemas.openxmlformats.org/officeDocument/2006/relationships/hyperlink" Target="https://www.figma.com/design/AzQaoPVLY9UdbDRMcrxRKx/Tech-%EA%B3%A0%EB%8F%84%ED%99%94?node-id=1645-13353&amp;t=jS09qAEawWQHylKj-4" TargetMode="External"/><Relationship Id="rId31" Type="http://schemas.openxmlformats.org/officeDocument/2006/relationships/hyperlink" Target="https://www.figma.com/design/AzQaoPVLY9UdbDRMcrxRKx/Tech-%EA%B3%A0%EB%8F%84%ED%99%94?node-id=1505-3458&amp;t=jS09qAEawWQHylKj-4" TargetMode="External"/><Relationship Id="rId30" Type="http://schemas.openxmlformats.org/officeDocument/2006/relationships/hyperlink" Target="https://www.figma.com/design/AzQaoPVLY9UdbDRMcrxRKx/Tech-%EA%B3%A0%EB%8F%84%ED%99%94?node-id=1505-3458&amp;t=jS09qAEawWQHylKj-4" TargetMode="External"/><Relationship Id="rId33" Type="http://schemas.openxmlformats.org/officeDocument/2006/relationships/hyperlink" Target="https://www.figma.com/design/AzQaoPVLY9UdbDRMcrxRKx/Tech-%EA%B3%A0%EB%8F%84%ED%99%94?node-id=1645-13353&amp;t=jS09qAEawWQHylKj-4" TargetMode="External"/><Relationship Id="rId32" Type="http://schemas.openxmlformats.org/officeDocument/2006/relationships/hyperlink" Target="https://smartscoretech.atlassian.net/browse/QA-14904" TargetMode="External"/><Relationship Id="rId35" Type="http://schemas.openxmlformats.org/officeDocument/2006/relationships/hyperlink" Target="https://www.figma.com/design/AzQaoPVLY9UdbDRMcrxRKx/Tech-%EA%B3%A0%EB%8F%84%ED%99%94?node-id=1645-13353&amp;t=jS09qAEawWQHylKj-4" TargetMode="External"/><Relationship Id="rId34" Type="http://schemas.openxmlformats.org/officeDocument/2006/relationships/hyperlink" Target="https://www.figma.com/design/AzQaoPVLY9UdbDRMcrxRKx/Tech-%EA%B3%A0%EB%8F%84%ED%99%94?node-id=1645-13353&amp;t=jS09qAEawWQHylKj-4" TargetMode="External"/><Relationship Id="rId37" Type="http://schemas.openxmlformats.org/officeDocument/2006/relationships/hyperlink" Target="https://www.figma.com/design/AzQaoPVLY9UdbDRMcrxRKx/Tech-%EA%B3%A0%EB%8F%84%ED%99%94?node-id=1645-13353&amp;t=jS09qAEawWQHylKj-4" TargetMode="External"/><Relationship Id="rId36" Type="http://schemas.openxmlformats.org/officeDocument/2006/relationships/hyperlink" Target="https://www.figma.com/design/AzQaoPVLY9UdbDRMcrxRKx/Tech-%EA%B3%A0%EB%8F%84%ED%99%94?node-id=1645-13353&amp;t=jS09qAEawWQHylKj-4" TargetMode="External"/><Relationship Id="rId39" Type="http://schemas.openxmlformats.org/officeDocument/2006/relationships/hyperlink" Target="https://www.figma.com/design/AzQaoPVLY9UdbDRMcrxRKx/Tech-%EA%B3%A0%EB%8F%84%ED%99%94?node-id=1645-13353&amp;t=jS09qAEawWQHylKj-4" TargetMode="External"/><Relationship Id="rId38" Type="http://schemas.openxmlformats.org/officeDocument/2006/relationships/hyperlink" Target="https://www.figma.com/design/AzQaoPVLY9UdbDRMcrxRKx/Tech-%EA%B3%A0%EB%8F%84%ED%99%94?node-id=1645-13353&amp;t=jS09qAEawWQHylKj-4" TargetMode="External"/><Relationship Id="rId20" Type="http://schemas.openxmlformats.org/officeDocument/2006/relationships/hyperlink" Target="https://www.figma.com/design/AzQaoPVLY9UdbDRMcrxRKx/Tech-%EA%B3%A0%EB%8F%84%ED%99%94?node-id=1500-3796&amp;t=s504WxMC2Gc9e54w-4" TargetMode="External"/><Relationship Id="rId22" Type="http://schemas.openxmlformats.org/officeDocument/2006/relationships/hyperlink" Target="https://www.figma.com/design/AzQaoPVLY9UdbDRMcrxRKx/Tech-%EA%B3%A0%EB%8F%84%ED%99%94?node-id=1500-3796&amp;t=s504WxMC2Gc9e54w-4" TargetMode="External"/><Relationship Id="rId21" Type="http://schemas.openxmlformats.org/officeDocument/2006/relationships/hyperlink" Target="https://www.figma.com/design/AzQaoPVLY9UdbDRMcrxRKx/Tech-%EA%B3%A0%EB%8F%84%ED%99%94?node-id=1500-3796&amp;t=s504WxMC2Gc9e54w-4" TargetMode="External"/><Relationship Id="rId24" Type="http://schemas.openxmlformats.org/officeDocument/2006/relationships/hyperlink" Target="https://www.figma.com/design/AzQaoPVLY9UdbDRMcrxRKx/Tech-%EA%B3%A0%EB%8F%84%ED%99%94?node-id=1500-3796&amp;t=s504WxMC2Gc9e54w-4" TargetMode="External"/><Relationship Id="rId23" Type="http://schemas.openxmlformats.org/officeDocument/2006/relationships/hyperlink" Target="https://www.figma.com/design/AzQaoPVLY9UdbDRMcrxRKx/Tech-%EA%B3%A0%EB%8F%84%ED%99%94?node-id=1500-3796&amp;t=s504WxMC2Gc9e54w-4" TargetMode="External"/><Relationship Id="rId26" Type="http://schemas.openxmlformats.org/officeDocument/2006/relationships/hyperlink" Target="https://www.figma.com/design/AzQaoPVLY9UdbDRMcrxRKx/Tech-%EA%B3%A0%EB%8F%84%ED%99%94?node-id=1500-3796&amp;t=s504WxMC2Gc9e54w-4" TargetMode="External"/><Relationship Id="rId25" Type="http://schemas.openxmlformats.org/officeDocument/2006/relationships/hyperlink" Target="https://www.figma.com/design/AzQaoPVLY9UdbDRMcrxRKx/Tech-%EA%B3%A0%EB%8F%84%ED%99%94?node-id=1500-3796&amp;t=s504WxMC2Gc9e54w-4" TargetMode="External"/><Relationship Id="rId28" Type="http://schemas.openxmlformats.org/officeDocument/2006/relationships/hyperlink" Target="https://www.figma.com/design/AzQaoPVLY9UdbDRMcrxRKx/Tech-%EA%B3%A0%EB%8F%84%ED%99%94?node-id=1500-3796&amp;t=s504WxMC2Gc9e54w-4" TargetMode="External"/><Relationship Id="rId27" Type="http://schemas.openxmlformats.org/officeDocument/2006/relationships/hyperlink" Target="https://www.figma.com/design/AzQaoPVLY9UdbDRMcrxRKx/Tech-%EA%B3%A0%EB%8F%84%ED%99%94?node-id=1500-3796&amp;t=s504WxMC2Gc9e54w-4" TargetMode="External"/><Relationship Id="rId29" Type="http://schemas.openxmlformats.org/officeDocument/2006/relationships/hyperlink" Target="https://www.figma.com/design/AzQaoPVLY9UdbDRMcrxRKx/Tech-%EA%B3%A0%EB%8F%84%ED%99%94?node-id=1505-3458&amp;t=jS09qAEawWQHylKj-4" TargetMode="External"/><Relationship Id="rId11" Type="http://schemas.openxmlformats.org/officeDocument/2006/relationships/hyperlink" Target="https://www.figma.com/design/AzQaoPVLY9UdbDRMcrxRKx/Tech-%EA%B3%A0%EB%8F%84%ED%99%94?node-id=2653-44762&amp;t=s504WxMC2Gc9e54w-4" TargetMode="External"/><Relationship Id="rId10" Type="http://schemas.openxmlformats.org/officeDocument/2006/relationships/hyperlink" Target="https://www.figma.com/design/AzQaoPVLY9UdbDRMcrxRKx/Tech-%EA%B3%A0%EB%8F%84%ED%99%94?node-id=2652-44015&amp;t=s504WxMC2Gc9e54w-4" TargetMode="External"/><Relationship Id="rId13" Type="http://schemas.openxmlformats.org/officeDocument/2006/relationships/hyperlink" Target="https://www.figma.com/design/AzQaoPVLY9UdbDRMcrxRKx/Tech-%EA%B3%A0%EB%8F%84%ED%99%94?node-id=2653-44762&amp;t=s504WxMC2Gc9e54w-4" TargetMode="External"/><Relationship Id="rId12" Type="http://schemas.openxmlformats.org/officeDocument/2006/relationships/hyperlink" Target="https://www.figma.com/design/AzQaoPVLY9UdbDRMcrxRKx/Tech-%EA%B3%A0%EB%8F%84%ED%99%94?node-id=2653-44762&amp;t=s504WxMC2Gc9e54w-4" TargetMode="External"/><Relationship Id="rId15" Type="http://schemas.openxmlformats.org/officeDocument/2006/relationships/hyperlink" Target="https://www.figma.com/design/AzQaoPVLY9UdbDRMcrxRKx/Tech-%EA%B3%A0%EB%8F%84%ED%99%94?node-id=2653-44762&amp;t=s504WxMC2Gc9e54w-4" TargetMode="External"/><Relationship Id="rId14" Type="http://schemas.openxmlformats.org/officeDocument/2006/relationships/hyperlink" Target="https://www.figma.com/design/AzQaoPVLY9UdbDRMcrxRKx/Tech-%EA%B3%A0%EB%8F%84%ED%99%94?node-id=2653-44762&amp;t=s504WxMC2Gc9e54w-4" TargetMode="External"/><Relationship Id="rId17" Type="http://schemas.openxmlformats.org/officeDocument/2006/relationships/hyperlink" Target="https://www.figma.com/design/AzQaoPVLY9UdbDRMcrxRKx/Tech-%EA%B3%A0%EB%8F%84%ED%99%94?node-id=2653-44762&amp;t=s504WxMC2Gc9e54w-4" TargetMode="External"/><Relationship Id="rId16" Type="http://schemas.openxmlformats.org/officeDocument/2006/relationships/hyperlink" Target="https://www.figma.com/design/AzQaoPVLY9UdbDRMcrxRKx/Tech-%EA%B3%A0%EB%8F%84%ED%99%94?node-id=2653-44762&amp;t=s504WxMC2Gc9e54w-4" TargetMode="External"/><Relationship Id="rId19" Type="http://schemas.openxmlformats.org/officeDocument/2006/relationships/hyperlink" Target="https://www.figma.com/design/AzQaoPVLY9UdbDRMcrxRKx/Tech-%EA%B3%A0%EB%8F%84%ED%99%94?node-id=1500-3796&amp;t=s504WxMC2Gc9e54w-4" TargetMode="External"/><Relationship Id="rId18" Type="http://schemas.openxmlformats.org/officeDocument/2006/relationships/hyperlink" Target="https://www.figma.com/design/AzQaoPVLY9UdbDRMcrxRKx/Tech-%EA%B3%A0%EB%8F%84%ED%99%94?node-id=2653-44762&amp;t=s504WxMC2Gc9e54w-4" TargetMode="External"/><Relationship Id="rId1" Type="http://schemas.openxmlformats.org/officeDocument/2006/relationships/hyperlink" Target="https://www.figma.com/design/AzQaoPVLY9UdbDRMcrxRKx/Tech-%EA%B3%A0%EB%8F%84%ED%99%94?node-id=2652-44015&amp;t=s504WxMC2Gc9e54w-4" TargetMode="External"/><Relationship Id="rId2" Type="http://schemas.openxmlformats.org/officeDocument/2006/relationships/hyperlink" Target="https://www.figma.com/design/AzQaoPVLY9UdbDRMcrxRKx/Tech-%EA%B3%A0%EB%8F%84%ED%99%94?node-id=2652-44015&amp;t=s504WxMC2Gc9e54w-4" TargetMode="External"/><Relationship Id="rId3" Type="http://schemas.openxmlformats.org/officeDocument/2006/relationships/hyperlink" Target="https://www.figma.com/design/AzQaoPVLY9UdbDRMcrxRKx/Tech-%EA%B3%A0%EB%8F%84%ED%99%94?node-id=2652-44015&amp;t=s504WxMC2Gc9e54w-4" TargetMode="External"/><Relationship Id="rId4" Type="http://schemas.openxmlformats.org/officeDocument/2006/relationships/hyperlink" Target="https://www.figma.com/design/AzQaoPVLY9UdbDRMcrxRKx/Tech-%EA%B3%A0%EB%8F%84%ED%99%94?node-id=2652-44015&amp;t=s504WxMC2Gc9e54w-4" TargetMode="External"/><Relationship Id="rId9" Type="http://schemas.openxmlformats.org/officeDocument/2006/relationships/hyperlink" Target="https://www.figma.com/design/AzQaoPVLY9UdbDRMcrxRKx/Tech-%EA%B3%A0%EB%8F%84%ED%99%94?node-id=2652-44015&amp;t=s504WxMC2Gc9e54w-4" TargetMode="External"/><Relationship Id="rId5" Type="http://schemas.openxmlformats.org/officeDocument/2006/relationships/hyperlink" Target="https://www.figma.com/design/AzQaoPVLY9UdbDRMcrxRKx/Tech-%EA%B3%A0%EB%8F%84%ED%99%94?node-id=2652-44015&amp;t=s504WxMC2Gc9e54w-4" TargetMode="External"/><Relationship Id="rId6" Type="http://schemas.openxmlformats.org/officeDocument/2006/relationships/hyperlink" Target="https://www.figma.com/design/AzQaoPVLY9UdbDRMcrxRKx/Tech-%EA%B3%A0%EB%8F%84%ED%99%94?node-id=2652-44015&amp;t=s504WxMC2Gc9e54w-4" TargetMode="External"/><Relationship Id="rId7" Type="http://schemas.openxmlformats.org/officeDocument/2006/relationships/hyperlink" Target="https://www.figma.com/design/AzQaoPVLY9UdbDRMcrxRKx/Tech-%EA%B3%A0%EB%8F%84%ED%99%94?node-id=2652-44015&amp;t=s504WxMC2Gc9e54w-4" TargetMode="External"/><Relationship Id="rId8" Type="http://schemas.openxmlformats.org/officeDocument/2006/relationships/hyperlink" Target="https://www.figma.com/design/AzQaoPVLY9UdbDRMcrxRKx/Tech-%EA%B3%A0%EB%8F%84%ED%99%94?node-id=2652-44015&amp;t=s504WxMC2Gc9e54w-4" TargetMode="External"/><Relationship Id="rId71" Type="http://schemas.openxmlformats.org/officeDocument/2006/relationships/drawing" Target="../drawings/drawing16.xml"/><Relationship Id="rId70" Type="http://schemas.openxmlformats.org/officeDocument/2006/relationships/hyperlink" Target="https://smartscoretech.atlassian.net/browse/QA-14828" TargetMode="External"/><Relationship Id="rId62" Type="http://schemas.openxmlformats.org/officeDocument/2006/relationships/hyperlink" Target="https://www.figma.com/design/AzQaoPVLY9UdbDRMcrxRKx/Tech-%EA%B3%A0%EB%8F%84%ED%99%94?node-id=1645-13353&amp;t=jS09qAEawWQHylKj-4" TargetMode="External"/><Relationship Id="rId61" Type="http://schemas.openxmlformats.org/officeDocument/2006/relationships/hyperlink" Target="https://www.figma.com/design/AzQaoPVLY9UdbDRMcrxRKx/Tech-%EA%B3%A0%EB%8F%84%ED%99%94?node-id=1645-13353&amp;t=jS09qAEawWQHylKj-4" TargetMode="External"/><Relationship Id="rId64" Type="http://schemas.openxmlformats.org/officeDocument/2006/relationships/hyperlink" Target="https://www.figma.com/design/AzQaoPVLY9UdbDRMcrxRKx/Tech-%EA%B3%A0%EB%8F%84%ED%99%94?node-id=1645-13353&amp;t=jS09qAEawWQHylKj-4" TargetMode="External"/><Relationship Id="rId63" Type="http://schemas.openxmlformats.org/officeDocument/2006/relationships/hyperlink" Target="https://www.figma.com/design/AzQaoPVLY9UdbDRMcrxRKx/Tech-%EA%B3%A0%EB%8F%84%ED%99%94?node-id=1645-13353&amp;t=jS09qAEawWQHylKj-4" TargetMode="External"/><Relationship Id="rId66" Type="http://schemas.openxmlformats.org/officeDocument/2006/relationships/hyperlink" Target="https://www.figma.com/design/AzQaoPVLY9UdbDRMcrxRKx/Tech-%EA%B3%A0%EB%8F%84%ED%99%94?node-id=1645-13353&amp;t=jS09qAEawWQHylKj-4" TargetMode="External"/><Relationship Id="rId65" Type="http://schemas.openxmlformats.org/officeDocument/2006/relationships/hyperlink" Target="https://www.figma.com/design/AzQaoPVLY9UdbDRMcrxRKx/Tech-%EA%B3%A0%EB%8F%84%ED%99%94?node-id=1645-13353&amp;t=jS09qAEawWQHylKj-4" TargetMode="External"/><Relationship Id="rId68" Type="http://schemas.openxmlformats.org/officeDocument/2006/relationships/hyperlink" Target="https://www.figma.com/design/AzQaoPVLY9UdbDRMcrxRKx/Tech-%EA%B3%A0%EB%8F%84%ED%99%94?node-id=1645-13353&amp;t=jS09qAEawWQHylKj-4" TargetMode="External"/><Relationship Id="rId67" Type="http://schemas.openxmlformats.org/officeDocument/2006/relationships/hyperlink" Target="https://smartscoretech.atlassian.net/browse/QA-14828" TargetMode="External"/><Relationship Id="rId60" Type="http://schemas.openxmlformats.org/officeDocument/2006/relationships/hyperlink" Target="https://www.figma.com/design/AzQaoPVLY9UdbDRMcrxRKx/Tech-%EA%B3%A0%EB%8F%84%ED%99%94?node-id=1645-13353&amp;t=jS09qAEawWQHylKj-4" TargetMode="External"/><Relationship Id="rId69" Type="http://schemas.openxmlformats.org/officeDocument/2006/relationships/hyperlink" Target="https://www.figma.com/design/AzQaoPVLY9UdbDRMcrxRKx/Tech-%EA%B3%A0%EB%8F%84%ED%99%94?node-id=1645-13353&amp;t=jS09qAEawWQHylKj-4" TargetMode="External"/><Relationship Id="rId51" Type="http://schemas.openxmlformats.org/officeDocument/2006/relationships/hyperlink" Target="https://www.figma.com/design/AzQaoPVLY9UdbDRMcrxRKx/Tech-%EA%B3%A0%EB%8F%84%ED%99%94?node-id=1645-13353&amp;t=jS09qAEawWQHylKj-4" TargetMode="External"/><Relationship Id="rId50" Type="http://schemas.openxmlformats.org/officeDocument/2006/relationships/hyperlink" Target="https://www.figma.com/design/AzQaoPVLY9UdbDRMcrxRKx/Tech-%EA%B3%A0%EB%8F%84%ED%99%94?node-id=1645-13353&amp;t=jS09qAEawWQHylKj-4" TargetMode="External"/><Relationship Id="rId53" Type="http://schemas.openxmlformats.org/officeDocument/2006/relationships/hyperlink" Target="https://www.figma.com/design/AzQaoPVLY9UdbDRMcrxRKx/Tech-%EA%B3%A0%EB%8F%84%ED%99%94?node-id=1645-13353&amp;t=jS09qAEawWQHylKj-4" TargetMode="External"/><Relationship Id="rId52" Type="http://schemas.openxmlformats.org/officeDocument/2006/relationships/hyperlink" Target="https://www.figma.com/design/AzQaoPVLY9UdbDRMcrxRKx/Tech-%EA%B3%A0%EB%8F%84%ED%99%94?node-id=1645-13353&amp;t=jS09qAEawWQHylKj-4" TargetMode="External"/><Relationship Id="rId55" Type="http://schemas.openxmlformats.org/officeDocument/2006/relationships/hyperlink" Target="https://www.figma.com/design/AzQaoPVLY9UdbDRMcrxRKx/Tech-%EA%B3%A0%EB%8F%84%ED%99%94?node-id=1645-13353&amp;t=jS09qAEawWQHylKj-4" TargetMode="External"/><Relationship Id="rId54" Type="http://schemas.openxmlformats.org/officeDocument/2006/relationships/hyperlink" Target="https://www.figma.com/design/AzQaoPVLY9UdbDRMcrxRKx/Tech-%EA%B3%A0%EB%8F%84%ED%99%94?node-id=1645-13353&amp;t=jS09qAEawWQHylKj-4" TargetMode="External"/><Relationship Id="rId57" Type="http://schemas.openxmlformats.org/officeDocument/2006/relationships/hyperlink" Target="https://www.figma.com/design/AzQaoPVLY9UdbDRMcrxRKx/Tech-%EA%B3%A0%EB%8F%84%ED%99%94?node-id=1645-13353&amp;t=jS09qAEawWQHylKj-4" TargetMode="External"/><Relationship Id="rId56" Type="http://schemas.openxmlformats.org/officeDocument/2006/relationships/hyperlink" Target="https://www.figma.com/design/AzQaoPVLY9UdbDRMcrxRKx/Tech-%EA%B3%A0%EB%8F%84%ED%99%94?node-id=1645-13353&amp;t=jS09qAEawWQHylKj-4" TargetMode="External"/><Relationship Id="rId59" Type="http://schemas.openxmlformats.org/officeDocument/2006/relationships/hyperlink" Target="https://www.figma.com/design/AzQaoPVLY9UdbDRMcrxRKx/Tech-%EA%B3%A0%EB%8F%84%ED%99%94?node-id=1645-13353&amp;t=jS09qAEawWQHylKj-4" TargetMode="External"/><Relationship Id="rId58" Type="http://schemas.openxmlformats.org/officeDocument/2006/relationships/hyperlink" Target="https://www.figma.com/design/AzQaoPVLY9UdbDRMcrxRKx/Tech-%EA%B3%A0%EB%8F%84%ED%99%94?node-id=1645-13353&amp;t=jS09qAEawWQHylKj-4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igma.com/design/AzQaoPVLY9UdbDRMcrxRKx/Tech-%EA%B3%A0%EB%8F%84%ED%99%94?node-id=1659-8719&amp;t=ORq3V99frsQCOorY-4" TargetMode="External"/><Relationship Id="rId42" Type="http://schemas.openxmlformats.org/officeDocument/2006/relationships/hyperlink" Target="https://www.figma.com/design/AzQaoPVLY9UdbDRMcrxRKx/Tech-%EA%B3%A0%EB%8F%84%ED%99%94?node-id=1659-10772&amp;t=H1vNWSzm1AcMga7E-4" TargetMode="External"/><Relationship Id="rId41" Type="http://schemas.openxmlformats.org/officeDocument/2006/relationships/hyperlink" Target="https://smartscoretech.atlassian.net/browse/QA-14893" TargetMode="External"/><Relationship Id="rId44" Type="http://schemas.openxmlformats.org/officeDocument/2006/relationships/hyperlink" Target="https://www.figma.com/design/AzQaoPVLY9UdbDRMcrxRKx/Tech-%EA%B3%A0%EB%8F%84%ED%99%94?node-id=1659-10772&amp;t=H1vNWSzm1AcMga7E-4" TargetMode="External"/><Relationship Id="rId43" Type="http://schemas.openxmlformats.org/officeDocument/2006/relationships/hyperlink" Target="https://www.figma.com/design/AzQaoPVLY9UdbDRMcrxRKx/Tech-%EA%B3%A0%EB%8F%84%ED%99%94?node-id=1659-10772&amp;t=H1vNWSzm1AcMga7E-4" TargetMode="External"/><Relationship Id="rId46" Type="http://schemas.openxmlformats.org/officeDocument/2006/relationships/hyperlink" Target="https://www.figma.com/design/AzQaoPVLY9UdbDRMcrxRKx/Tech-%EA%B3%A0%EB%8F%84%ED%99%94?node-id=1659-10772&amp;t=H1vNWSzm1AcMga7E-4" TargetMode="External"/><Relationship Id="rId45" Type="http://schemas.openxmlformats.org/officeDocument/2006/relationships/hyperlink" Target="https://www.figma.com/design/AzQaoPVLY9UdbDRMcrxRKx/Tech-%EA%B3%A0%EB%8F%84%ED%99%94?node-id=1659-10772&amp;t=H1vNWSzm1AcMga7E-4" TargetMode="External"/><Relationship Id="rId48" Type="http://schemas.openxmlformats.org/officeDocument/2006/relationships/hyperlink" Target="https://www.figma.com/design/AzQaoPVLY9UdbDRMcrxRKx/Tech-%EA%B3%A0%EB%8F%84%ED%99%94?node-id=1659-10772&amp;t=H1vNWSzm1AcMga7E-4" TargetMode="External"/><Relationship Id="rId47" Type="http://schemas.openxmlformats.org/officeDocument/2006/relationships/hyperlink" Target="https://www.figma.com/design/AzQaoPVLY9UdbDRMcrxRKx/Tech-%EA%B3%A0%EB%8F%84%ED%99%94?node-id=1659-10772&amp;t=H1vNWSzm1AcMga7E-4" TargetMode="External"/><Relationship Id="rId49" Type="http://schemas.openxmlformats.org/officeDocument/2006/relationships/hyperlink" Target="https://www.figma.com/design/AzQaoPVLY9UdbDRMcrxRKx/Tech-%EA%B3%A0%EB%8F%84%ED%99%94?node-id=1659-10772&amp;t=H1vNWSzm1AcMga7E-4" TargetMode="External"/><Relationship Id="rId31" Type="http://schemas.openxmlformats.org/officeDocument/2006/relationships/hyperlink" Target="https://www.figma.com/design/AzQaoPVLY9UdbDRMcrxRKx/Tech-%EA%B3%A0%EB%8F%84%ED%99%94?node-id=1659-8719&amp;t=ORq3V99frsQCOorY-4" TargetMode="External"/><Relationship Id="rId30" Type="http://schemas.openxmlformats.org/officeDocument/2006/relationships/hyperlink" Target="https://smartscoretech.atlassian.net/browse/QA-14857" TargetMode="External"/><Relationship Id="rId33" Type="http://schemas.openxmlformats.org/officeDocument/2006/relationships/hyperlink" Target="https://www.figma.com/design/AzQaoPVLY9UdbDRMcrxRKx/Tech-%EA%B3%A0%EB%8F%84%ED%99%94?node-id=1659-8719&amp;t=ORq3V99frsQCOorY-4" TargetMode="External"/><Relationship Id="rId32" Type="http://schemas.openxmlformats.org/officeDocument/2006/relationships/hyperlink" Target="https://www.figma.com/design/AzQaoPVLY9UdbDRMcrxRKx/Tech-%EA%B3%A0%EB%8F%84%ED%99%94?node-id=1659-8719&amp;t=ORq3V99frsQCOorY-4" TargetMode="External"/><Relationship Id="rId35" Type="http://schemas.openxmlformats.org/officeDocument/2006/relationships/hyperlink" Target="https://www.figma.com/design/AzQaoPVLY9UdbDRMcrxRKx/Tech-%EA%B3%A0%EB%8F%84%ED%99%94?node-id=1659-8719&amp;t=ORq3V99frsQCOorY-4" TargetMode="External"/><Relationship Id="rId34" Type="http://schemas.openxmlformats.org/officeDocument/2006/relationships/hyperlink" Target="https://smartscoretech.atlassian.net/browse/QA-14864" TargetMode="External"/><Relationship Id="rId37" Type="http://schemas.openxmlformats.org/officeDocument/2006/relationships/hyperlink" Target="https://smartscoretech.atlassian.net/browse/QA-14864" TargetMode="External"/><Relationship Id="rId36" Type="http://schemas.openxmlformats.org/officeDocument/2006/relationships/hyperlink" Target="https://www.figma.com/design/AzQaoPVLY9UdbDRMcrxRKx/Tech-%EA%B3%A0%EB%8F%84%ED%99%94?node-id=1659-8719&amp;t=ORq3V99frsQCOorY-4" TargetMode="External"/><Relationship Id="rId39" Type="http://schemas.openxmlformats.org/officeDocument/2006/relationships/hyperlink" Target="https://www.figma.com/design/AzQaoPVLY9UdbDRMcrxRKx/Tech-%EA%B3%A0%EB%8F%84%ED%99%94?node-id=1659-8719&amp;t=ORq3V99frsQCOorY-4" TargetMode="External"/><Relationship Id="rId38" Type="http://schemas.openxmlformats.org/officeDocument/2006/relationships/hyperlink" Target="https://www.figma.com/design/AzQaoPVLY9UdbDRMcrxRKx/Tech-%EA%B3%A0%EB%8F%84%ED%99%94?node-id=1659-8719&amp;t=ORq3V99frsQCOorY-4" TargetMode="External"/><Relationship Id="rId20" Type="http://schemas.openxmlformats.org/officeDocument/2006/relationships/hyperlink" Target="https://www.figma.com/design/AzQaoPVLY9UdbDRMcrxRKx/Tech-%EA%B3%A0%EB%8F%84%ED%99%94?node-id=1656-5976&amp;t=ORq3V99frsQCOorY-4" TargetMode="External"/><Relationship Id="rId22" Type="http://schemas.openxmlformats.org/officeDocument/2006/relationships/hyperlink" Target="https://www.figma.com/design/AzQaoPVLY9UdbDRMcrxRKx/Tech-%EA%B3%A0%EB%8F%84%ED%99%94?node-id=1659-8719&amp;t=ORq3V99frsQCOorY-4" TargetMode="External"/><Relationship Id="rId21" Type="http://schemas.openxmlformats.org/officeDocument/2006/relationships/hyperlink" Target="https://www.figma.com/design/AzQaoPVLY9UdbDRMcrxRKx/Tech-%EA%B3%A0%EB%8F%84%ED%99%94?node-id=1656-5976&amp;t=ORq3V99frsQCOorY-4" TargetMode="External"/><Relationship Id="rId24" Type="http://schemas.openxmlformats.org/officeDocument/2006/relationships/hyperlink" Target="https://www.figma.com/design/AzQaoPVLY9UdbDRMcrxRKx/Tech-%EA%B3%A0%EB%8F%84%ED%99%94?node-id=1659-8719&amp;t=ORq3V99frsQCOorY-4" TargetMode="External"/><Relationship Id="rId23" Type="http://schemas.openxmlformats.org/officeDocument/2006/relationships/hyperlink" Target="https://www.figma.com/design/AzQaoPVLY9UdbDRMcrxRKx/Tech-%EA%B3%A0%EB%8F%84%ED%99%94?node-id=1659-8719&amp;t=ORq3V99frsQCOorY-4" TargetMode="External"/><Relationship Id="rId26" Type="http://schemas.openxmlformats.org/officeDocument/2006/relationships/hyperlink" Target="https://www.figma.com/design/AzQaoPVLY9UdbDRMcrxRKx/Tech-%EA%B3%A0%EB%8F%84%ED%99%94?node-id=1659-8719&amp;t=ORq3V99frsQCOorY-4" TargetMode="External"/><Relationship Id="rId25" Type="http://schemas.openxmlformats.org/officeDocument/2006/relationships/hyperlink" Target="https://www.figma.com/design/AzQaoPVLY9UdbDRMcrxRKx/Tech-%EA%B3%A0%EB%8F%84%ED%99%94?node-id=1659-8719&amp;t=ORq3V99frsQCOorY-4" TargetMode="External"/><Relationship Id="rId28" Type="http://schemas.openxmlformats.org/officeDocument/2006/relationships/hyperlink" Target="https://www.figma.com/design/AzQaoPVLY9UdbDRMcrxRKx/Tech-%EA%B3%A0%EB%8F%84%ED%99%94?node-id=1659-8719&amp;t=ORq3V99frsQCOorY-4" TargetMode="External"/><Relationship Id="rId27" Type="http://schemas.openxmlformats.org/officeDocument/2006/relationships/hyperlink" Target="https://www.figma.com/design/AzQaoPVLY9UdbDRMcrxRKx/Tech-%EA%B3%A0%EB%8F%84%ED%99%94?node-id=1659-8719&amp;t=ORq3V99frsQCOorY-4" TargetMode="External"/><Relationship Id="rId29" Type="http://schemas.openxmlformats.org/officeDocument/2006/relationships/hyperlink" Target="https://www.figma.com/design/AzQaoPVLY9UdbDRMcrxRKx/Tech-%EA%B3%A0%EB%8F%84%ED%99%94?node-id=1659-8719&amp;t=ORq3V99frsQCOorY-4" TargetMode="External"/><Relationship Id="rId11" Type="http://schemas.openxmlformats.org/officeDocument/2006/relationships/hyperlink" Target="https://www.figma.com/design/AzQaoPVLY9UdbDRMcrxRKx/Tech-%EA%B3%A0%EB%8F%84%ED%99%94?node-id=1656-5976&amp;t=ORq3V99frsQCOorY-4" TargetMode="External"/><Relationship Id="rId10" Type="http://schemas.openxmlformats.org/officeDocument/2006/relationships/hyperlink" Target="https://smartscoretech.atlassian.net/browse/QA-14847" TargetMode="External"/><Relationship Id="rId13" Type="http://schemas.openxmlformats.org/officeDocument/2006/relationships/hyperlink" Target="https://www.figma.com/design/AzQaoPVLY9UdbDRMcrxRKx/Tech-%EA%B3%A0%EB%8F%84%ED%99%94?node-id=1656-5976&amp;t=ORq3V99frsQCOorY-4" TargetMode="External"/><Relationship Id="rId12" Type="http://schemas.openxmlformats.org/officeDocument/2006/relationships/hyperlink" Target="https://www.figma.com/design/AzQaoPVLY9UdbDRMcrxRKx/Tech-%EA%B3%A0%EB%8F%84%ED%99%94?node-id=1656-5976&amp;t=ORq3V99frsQCOorY-4" TargetMode="External"/><Relationship Id="rId15" Type="http://schemas.openxmlformats.org/officeDocument/2006/relationships/hyperlink" Target="https://www.figma.com/design/AzQaoPVLY9UdbDRMcrxRKx/Tech-%EA%B3%A0%EB%8F%84%ED%99%94?node-id=1656-5976&amp;t=ORq3V99frsQCOorY-4" TargetMode="External"/><Relationship Id="rId14" Type="http://schemas.openxmlformats.org/officeDocument/2006/relationships/hyperlink" Target="https://smartscoretech.atlassian.net/browse/QA-14850" TargetMode="External"/><Relationship Id="rId17" Type="http://schemas.openxmlformats.org/officeDocument/2006/relationships/hyperlink" Target="https://www.figma.com/design/AzQaoPVLY9UdbDRMcrxRKx/Tech-%EA%B3%A0%EB%8F%84%ED%99%94?node-id=1656-5976&amp;t=ORq3V99frsQCOorY-4" TargetMode="External"/><Relationship Id="rId16" Type="http://schemas.openxmlformats.org/officeDocument/2006/relationships/hyperlink" Target="https://www.figma.com/design/AzQaoPVLY9UdbDRMcrxRKx/Tech-%EA%B3%A0%EB%8F%84%ED%99%94?node-id=1656-5976&amp;t=ORq3V99frsQCOorY-4" TargetMode="External"/><Relationship Id="rId19" Type="http://schemas.openxmlformats.org/officeDocument/2006/relationships/hyperlink" Target="https://www.figma.com/design/AzQaoPVLY9UdbDRMcrxRKx/Tech-%EA%B3%A0%EB%8F%84%ED%99%94?node-id=1656-5976&amp;t=ORq3V99frsQCOorY-4" TargetMode="External"/><Relationship Id="rId18" Type="http://schemas.openxmlformats.org/officeDocument/2006/relationships/hyperlink" Target="https://smartscoretech.atlassian.net/browse/QA-14850" TargetMode="External"/><Relationship Id="rId83" Type="http://schemas.openxmlformats.org/officeDocument/2006/relationships/drawing" Target="../drawings/drawing17.xml"/><Relationship Id="rId80" Type="http://schemas.openxmlformats.org/officeDocument/2006/relationships/hyperlink" Target="https://smartscoretech.atlassian.net/browse/QA-14872" TargetMode="External"/><Relationship Id="rId82" Type="http://schemas.openxmlformats.org/officeDocument/2006/relationships/hyperlink" Target="https://smartscoretech.atlassian.net/browse/QA-14899" TargetMode="External"/><Relationship Id="rId81" Type="http://schemas.openxmlformats.org/officeDocument/2006/relationships/hyperlink" Target="https://www.figma.com/design/AzQaoPVLY9UdbDRMcrxRKx/Tech-%EA%B3%A0%EB%8F%84%ED%99%94?node-id=1666-13341&amp;t=ORq3V99frsQCOorY-4" TargetMode="External"/><Relationship Id="rId1" Type="http://schemas.openxmlformats.org/officeDocument/2006/relationships/hyperlink" Target="https://www.figma.com/design/AzQaoPVLY9UdbDRMcrxRKx/Tech-%EA%B3%A0%EB%8F%84%ED%99%94?node-id=1656-5976&amp;t=ORq3V99frsQCOorY-4" TargetMode="External"/><Relationship Id="rId2" Type="http://schemas.openxmlformats.org/officeDocument/2006/relationships/hyperlink" Target="https://www.figma.com/design/AzQaoPVLY9UdbDRMcrxRKx/Tech-%EA%B3%A0%EB%8F%84%ED%99%94?node-id=1656-5976&amp;t=ORq3V99frsQCOorY-4" TargetMode="External"/><Relationship Id="rId3" Type="http://schemas.openxmlformats.org/officeDocument/2006/relationships/hyperlink" Target="https://smartscoretech.atlassian.net/browse/QA-14850" TargetMode="External"/><Relationship Id="rId4" Type="http://schemas.openxmlformats.org/officeDocument/2006/relationships/hyperlink" Target="https://www.figma.com/design/AzQaoPVLY9UdbDRMcrxRKx/Tech-%EA%B3%A0%EB%8F%84%ED%99%94?node-id=1656-5976&amp;t=ORq3V99frsQCOorY-4" TargetMode="External"/><Relationship Id="rId9" Type="http://schemas.openxmlformats.org/officeDocument/2006/relationships/hyperlink" Target="https://www.figma.com/design/AzQaoPVLY9UdbDRMcrxRKx/Tech-%EA%B3%A0%EB%8F%84%ED%99%94?node-id=1656-5976&amp;t=ORq3V99frsQCOorY-4" TargetMode="External"/><Relationship Id="rId5" Type="http://schemas.openxmlformats.org/officeDocument/2006/relationships/hyperlink" Target="https://www.figma.com/design/AzQaoPVLY9UdbDRMcrxRKx/Tech-%EA%B3%A0%EB%8F%84%ED%99%94?node-id=1656-5976&amp;t=ORq3V99frsQCOorY-4" TargetMode="External"/><Relationship Id="rId6" Type="http://schemas.openxmlformats.org/officeDocument/2006/relationships/hyperlink" Target="https://www.figma.com/design/AzQaoPVLY9UdbDRMcrxRKx/Tech-%EA%B3%A0%EB%8F%84%ED%99%94?node-id=1656-5976&amp;t=ORq3V99frsQCOorY-4" TargetMode="External"/><Relationship Id="rId7" Type="http://schemas.openxmlformats.org/officeDocument/2006/relationships/hyperlink" Target="https://www.figma.com/design/AzQaoPVLY9UdbDRMcrxRKx/Tech-%EA%B3%A0%EB%8F%84%ED%99%94?node-id=1656-5976&amp;t=ORq3V99frsQCOorY-4" TargetMode="External"/><Relationship Id="rId8" Type="http://schemas.openxmlformats.org/officeDocument/2006/relationships/hyperlink" Target="https://www.figma.com/design/AzQaoPVLY9UdbDRMcrxRKx/Tech-%EA%B3%A0%EB%8F%84%ED%99%94?node-id=1656-5976&amp;t=ORq3V99frsQCOorY-4" TargetMode="External"/><Relationship Id="rId73" Type="http://schemas.openxmlformats.org/officeDocument/2006/relationships/hyperlink" Target="https://www.figma.com/design/AzQaoPVLY9UdbDRMcrxRKx/Tech-%EA%B3%A0%EB%8F%84%ED%99%94?node-id=1981-4617&amp;t=ORq3V99frsQCOorY-4" TargetMode="External"/><Relationship Id="rId72" Type="http://schemas.openxmlformats.org/officeDocument/2006/relationships/hyperlink" Target="https://www.figma.com/design/AzQaoPVLY9UdbDRMcrxRKx/Tech-%EA%B3%A0%EB%8F%84%ED%99%94?node-id=1981-4617&amp;t=ORq3V99frsQCOorY-4" TargetMode="External"/><Relationship Id="rId75" Type="http://schemas.openxmlformats.org/officeDocument/2006/relationships/hyperlink" Target="https://smartscoretech.atlassian.net/browse/QA-14872" TargetMode="External"/><Relationship Id="rId74" Type="http://schemas.openxmlformats.org/officeDocument/2006/relationships/hyperlink" Target="https://www.figma.com/design/AzQaoPVLY9UdbDRMcrxRKx/Tech-%EA%B3%A0%EB%8F%84%ED%99%94?node-id=1981-4617&amp;t=ORq3V99frsQCOorY-4" TargetMode="External"/><Relationship Id="rId77" Type="http://schemas.openxmlformats.org/officeDocument/2006/relationships/hyperlink" Target="https://smartscoretech.atlassian.net/browse/QA-14872" TargetMode="External"/><Relationship Id="rId76" Type="http://schemas.openxmlformats.org/officeDocument/2006/relationships/hyperlink" Target="https://www.figma.com/design/AzQaoPVLY9UdbDRMcrxRKx/Tech-%EA%B3%A0%EB%8F%84%ED%99%94?node-id=1981-4617&amp;t=ORq3V99frsQCOorY-4" TargetMode="External"/><Relationship Id="rId79" Type="http://schemas.openxmlformats.org/officeDocument/2006/relationships/hyperlink" Target="https://smartscoretech.atlassian.net/browse/QA-14889" TargetMode="External"/><Relationship Id="rId78" Type="http://schemas.openxmlformats.org/officeDocument/2006/relationships/hyperlink" Target="https://www.figma.com/design/AzQaoPVLY9UdbDRMcrxRKx/Tech-%EA%B3%A0%EB%8F%84%ED%99%94?node-id=1981-4617&amp;t=ORq3V99frsQCOorY-4" TargetMode="External"/><Relationship Id="rId71" Type="http://schemas.openxmlformats.org/officeDocument/2006/relationships/hyperlink" Target="https://smartscoretech.atlassian.net/browse/QA-14872" TargetMode="External"/><Relationship Id="rId70" Type="http://schemas.openxmlformats.org/officeDocument/2006/relationships/hyperlink" Target="https://www.figma.com/design/AzQaoPVLY9UdbDRMcrxRKx/Tech-%EA%B3%A0%EB%8F%84%ED%99%94?node-id=1981-4617&amp;t=ORq3V99frsQCOorY-4" TargetMode="External"/><Relationship Id="rId62" Type="http://schemas.openxmlformats.org/officeDocument/2006/relationships/hyperlink" Target="https://www.figma.com/design/AzQaoPVLY9UdbDRMcrxRKx/Tech-%EA%B3%A0%EB%8F%84%ED%99%94?node-id=1981-4617&amp;t=ORq3V99frsQCOorY-4" TargetMode="External"/><Relationship Id="rId61" Type="http://schemas.openxmlformats.org/officeDocument/2006/relationships/hyperlink" Target="https://www.figma.com/design/AzQaoPVLY9UdbDRMcrxRKx/Tech-%EA%B3%A0%EB%8F%84%ED%99%94?node-id=1659-10772&amp;t=H1vNWSzm1AcMga7E-4" TargetMode="External"/><Relationship Id="rId64" Type="http://schemas.openxmlformats.org/officeDocument/2006/relationships/hyperlink" Target="https://smartscoretech.atlassian.net/browse/QA-14872" TargetMode="External"/><Relationship Id="rId63" Type="http://schemas.openxmlformats.org/officeDocument/2006/relationships/hyperlink" Target="https://www.figma.com/design/AzQaoPVLY9UdbDRMcrxRKx/Tech-%EA%B3%A0%EB%8F%84%ED%99%94?node-id=1981-4617&amp;t=ORq3V99frsQCOorY-4" TargetMode="External"/><Relationship Id="rId66" Type="http://schemas.openxmlformats.org/officeDocument/2006/relationships/hyperlink" Target="https://www.figma.com/design/AzQaoPVLY9UdbDRMcrxRKx/Tech-%EA%B3%A0%EB%8F%84%ED%99%94?node-id=1981-4617&amp;t=ORq3V99frsQCOorY-4" TargetMode="External"/><Relationship Id="rId65" Type="http://schemas.openxmlformats.org/officeDocument/2006/relationships/hyperlink" Target="https://www.figma.com/design/AzQaoPVLY9UdbDRMcrxRKx/Tech-%EA%B3%A0%EB%8F%84%ED%99%94?node-id=1981-4617&amp;t=ORq3V99frsQCOorY-4" TargetMode="External"/><Relationship Id="rId68" Type="http://schemas.openxmlformats.org/officeDocument/2006/relationships/hyperlink" Target="https://smartscoretech.atlassian.net/browse/QA-14897" TargetMode="External"/><Relationship Id="rId67" Type="http://schemas.openxmlformats.org/officeDocument/2006/relationships/hyperlink" Target="https://www.figma.com/design/AzQaoPVLY9UdbDRMcrxRKx/Tech-%EA%B3%A0%EB%8F%84%ED%99%94?node-id=1981-4617&amp;t=ORq3V99frsQCOorY-4" TargetMode="External"/><Relationship Id="rId60" Type="http://schemas.openxmlformats.org/officeDocument/2006/relationships/hyperlink" Target="https://www.figma.com/design/AzQaoPVLY9UdbDRMcrxRKx/Tech-%EA%B3%A0%EB%8F%84%ED%99%94?node-id=1659-10772&amp;t=H1vNWSzm1AcMga7E-4" TargetMode="External"/><Relationship Id="rId69" Type="http://schemas.openxmlformats.org/officeDocument/2006/relationships/hyperlink" Target="https://www.figma.com/design/AzQaoPVLY9UdbDRMcrxRKx/Tech-%EA%B3%A0%EB%8F%84%ED%99%94?node-id=1981-4617&amp;t=ORq3V99frsQCOorY-4" TargetMode="External"/><Relationship Id="rId51" Type="http://schemas.openxmlformats.org/officeDocument/2006/relationships/hyperlink" Target="https://www.figma.com/design/AzQaoPVLY9UdbDRMcrxRKx/Tech-%EA%B3%A0%EB%8F%84%ED%99%94?node-id=1659-10772&amp;t=H1vNWSzm1AcMga7E-4" TargetMode="External"/><Relationship Id="rId50" Type="http://schemas.openxmlformats.org/officeDocument/2006/relationships/hyperlink" Target="https://www.figma.com/design/AzQaoPVLY9UdbDRMcrxRKx/Tech-%EA%B3%A0%EB%8F%84%ED%99%94?node-id=1659-10772&amp;t=H1vNWSzm1AcMga7E-4" TargetMode="External"/><Relationship Id="rId53" Type="http://schemas.openxmlformats.org/officeDocument/2006/relationships/hyperlink" Target="https://www.figma.com/design/AzQaoPVLY9UdbDRMcrxRKx/Tech-%EA%B3%A0%EB%8F%84%ED%99%94?node-id=1659-10772&amp;t=H1vNWSzm1AcMga7E-4" TargetMode="External"/><Relationship Id="rId52" Type="http://schemas.openxmlformats.org/officeDocument/2006/relationships/hyperlink" Target="https://www.figma.com/design/AzQaoPVLY9UdbDRMcrxRKx/Tech-%EA%B3%A0%EB%8F%84%ED%99%94?node-id=1659-10772&amp;t=H1vNWSzm1AcMga7E-4" TargetMode="External"/><Relationship Id="rId55" Type="http://schemas.openxmlformats.org/officeDocument/2006/relationships/hyperlink" Target="https://smartscoretech.atlassian.net/browse/QA-14873" TargetMode="External"/><Relationship Id="rId54" Type="http://schemas.openxmlformats.org/officeDocument/2006/relationships/hyperlink" Target="https://www.figma.com/design/AzQaoPVLY9UdbDRMcrxRKx/Tech-%EA%B3%A0%EB%8F%84%ED%99%94?node-id=1659-10772&amp;t=H1vNWSzm1AcMga7E-4" TargetMode="External"/><Relationship Id="rId57" Type="http://schemas.openxmlformats.org/officeDocument/2006/relationships/hyperlink" Target="https://smartscoretech.atlassian.net/browse/QA-14874" TargetMode="External"/><Relationship Id="rId56" Type="http://schemas.openxmlformats.org/officeDocument/2006/relationships/hyperlink" Target="https://www.figma.com/design/AzQaoPVLY9UdbDRMcrxRKx/Tech-%EA%B3%A0%EB%8F%84%ED%99%94?node-id=1659-10772&amp;t=H1vNWSzm1AcMga7E-4" TargetMode="External"/><Relationship Id="rId59" Type="http://schemas.openxmlformats.org/officeDocument/2006/relationships/hyperlink" Target="https://www.figma.com/design/AzQaoPVLY9UdbDRMcrxRKx/Tech-%EA%B3%A0%EB%8F%84%ED%99%94?node-id=1659-10772&amp;t=H1vNWSzm1AcMga7E-4" TargetMode="External"/><Relationship Id="rId58" Type="http://schemas.openxmlformats.org/officeDocument/2006/relationships/hyperlink" Target="https://www.figma.com/design/AzQaoPVLY9UdbDRMcrxRKx/Tech-%EA%B3%A0%EB%8F%84%ED%99%94?node-id=1659-10772&amp;t=H1vNWSzm1AcMga7E-4" TargetMode="External"/></Relationships>
</file>

<file path=xl/worksheets/_rels/sheet18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8.xml"/><Relationship Id="rId30" Type="http://schemas.openxmlformats.org/officeDocument/2006/relationships/hyperlink" Target="https://www.figma.com/design/AzQaoPVLY9UdbDRMcrxRKx/Tech-%EA%B3%A0%EB%8F%84%ED%99%94?node-id=1667-13886&amp;t=ORq3V99frsQCOorY-4" TargetMode="External"/><Relationship Id="rId20" Type="http://schemas.openxmlformats.org/officeDocument/2006/relationships/hyperlink" Target="https://smartscoretech.atlassian.net/browse/QA-14839" TargetMode="External"/><Relationship Id="rId22" Type="http://schemas.openxmlformats.org/officeDocument/2006/relationships/hyperlink" Target="https://smartscoretech.atlassian.net/browse/QA-14839" TargetMode="External"/><Relationship Id="rId21" Type="http://schemas.openxmlformats.org/officeDocument/2006/relationships/hyperlink" Target="https://www.figma.com/design/AzQaoPVLY9UdbDRMcrxRKx/Tech-%EA%B3%A0%EB%8F%84%ED%99%94?node-id=1667-13886&amp;t=ORq3V99frsQCOorY-4" TargetMode="External"/><Relationship Id="rId24" Type="http://schemas.openxmlformats.org/officeDocument/2006/relationships/hyperlink" Target="https://www.figma.com/design/AzQaoPVLY9UdbDRMcrxRKx/Tech-%EA%B3%A0%EB%8F%84%ED%99%94?node-id=1667-13886&amp;t=ORq3V99frsQCOorY-4" TargetMode="External"/><Relationship Id="rId23" Type="http://schemas.openxmlformats.org/officeDocument/2006/relationships/hyperlink" Target="https://www.figma.com/design/AzQaoPVLY9UdbDRMcrxRKx/Tech-%EA%B3%A0%EB%8F%84%ED%99%94?node-id=1667-13886&amp;t=ORq3V99frsQCOorY-4" TargetMode="External"/><Relationship Id="rId26" Type="http://schemas.openxmlformats.org/officeDocument/2006/relationships/hyperlink" Target="https://www.figma.com/design/AzQaoPVLY9UdbDRMcrxRKx/Tech-%EA%B3%A0%EB%8F%84%ED%99%94?node-id=1667-13886&amp;t=ORq3V99frsQCOorY-4" TargetMode="External"/><Relationship Id="rId25" Type="http://schemas.openxmlformats.org/officeDocument/2006/relationships/hyperlink" Target="https://smartscoretech.atlassian.net/browse/QA-14832" TargetMode="External"/><Relationship Id="rId28" Type="http://schemas.openxmlformats.org/officeDocument/2006/relationships/hyperlink" Target="https://smartscoretech.atlassian.net/browse/QA-14837" TargetMode="External"/><Relationship Id="rId27" Type="http://schemas.openxmlformats.org/officeDocument/2006/relationships/hyperlink" Target="https://smartscoretech.atlassian.net/browse/QA-14832" TargetMode="External"/><Relationship Id="rId29" Type="http://schemas.openxmlformats.org/officeDocument/2006/relationships/hyperlink" Target="https://www.figma.com/design/AzQaoPVLY9UdbDRMcrxRKx/Tech-%EA%B3%A0%EB%8F%84%ED%99%94?node-id=1667-13886&amp;t=ORq3V99frsQCOorY-4" TargetMode="External"/><Relationship Id="rId11" Type="http://schemas.openxmlformats.org/officeDocument/2006/relationships/hyperlink" Target="https://www.figma.com/design/AzQaoPVLY9UdbDRMcrxRKx/Tech-%EA%B3%A0%EB%8F%84%ED%99%94?node-id=1667-13886&amp;t=ORq3V99frsQCOorY-4" TargetMode="External"/><Relationship Id="rId10" Type="http://schemas.openxmlformats.org/officeDocument/2006/relationships/hyperlink" Target="https://www.figma.com/design/AzQaoPVLY9UdbDRMcrxRKx/Tech-%EA%B3%A0%EB%8F%84%ED%99%94?node-id=1667-13886&amp;t=ORq3V99frsQCOorY-4" TargetMode="External"/><Relationship Id="rId13" Type="http://schemas.openxmlformats.org/officeDocument/2006/relationships/hyperlink" Target="https://smartscoretech.atlassian.net/browse/QA-14832" TargetMode="External"/><Relationship Id="rId12" Type="http://schemas.openxmlformats.org/officeDocument/2006/relationships/hyperlink" Target="https://www.figma.com/design/AzQaoPVLY9UdbDRMcrxRKx/Tech-%EA%B3%A0%EB%8F%84%ED%99%94?node-id=1667-13886&amp;t=ORq3V99frsQCOorY-4" TargetMode="External"/><Relationship Id="rId15" Type="http://schemas.openxmlformats.org/officeDocument/2006/relationships/hyperlink" Target="https://smartscoretech.atlassian.net/browse/QA-14832" TargetMode="External"/><Relationship Id="rId14" Type="http://schemas.openxmlformats.org/officeDocument/2006/relationships/hyperlink" Target="https://www.figma.com/design/AzQaoPVLY9UdbDRMcrxRKx/Tech-%EA%B3%A0%EB%8F%84%ED%99%94?node-id=1667-13886&amp;t=ORq3V99frsQCOorY-4" TargetMode="External"/><Relationship Id="rId17" Type="http://schemas.openxmlformats.org/officeDocument/2006/relationships/hyperlink" Target="https://www.figma.com/design/AzQaoPVLY9UdbDRMcrxRKx/Tech-%EA%B3%A0%EB%8F%84%ED%99%94?node-id=1667-13886&amp;t=ORq3V99frsQCOorY-4" TargetMode="External"/><Relationship Id="rId16" Type="http://schemas.openxmlformats.org/officeDocument/2006/relationships/hyperlink" Target="https://www.figma.com/design/AzQaoPVLY9UdbDRMcrxRKx/Tech-%EA%B3%A0%EB%8F%84%ED%99%94?node-id=1667-13886&amp;t=ORq3V99frsQCOorY-4" TargetMode="External"/><Relationship Id="rId19" Type="http://schemas.openxmlformats.org/officeDocument/2006/relationships/hyperlink" Target="https://www.figma.com/design/AzQaoPVLY9UdbDRMcrxRKx/Tech-%EA%B3%A0%EB%8F%84%ED%99%94?node-id=1667-13886&amp;t=ORq3V99frsQCOorY-4" TargetMode="External"/><Relationship Id="rId18" Type="http://schemas.openxmlformats.org/officeDocument/2006/relationships/hyperlink" Target="https://smartscoretech.atlassian.net/browse/QA-14839" TargetMode="External"/><Relationship Id="rId1" Type="http://schemas.openxmlformats.org/officeDocument/2006/relationships/hyperlink" Target="https://www.figma.com/design/AzQaoPVLY9UdbDRMcrxRKx/Tech-%EA%B3%A0%EB%8F%84%ED%99%94?node-id=1667-13886&amp;t=ORq3V99frsQCOorY-4" TargetMode="External"/><Relationship Id="rId2" Type="http://schemas.openxmlformats.org/officeDocument/2006/relationships/hyperlink" Target="https://www.figma.com/design/AzQaoPVLY9UdbDRMcrxRKx/Tech-%EA%B3%A0%EB%8F%84%ED%99%94?node-id=1667-13886&amp;t=ORq3V99frsQCOorY-4" TargetMode="External"/><Relationship Id="rId3" Type="http://schemas.openxmlformats.org/officeDocument/2006/relationships/hyperlink" Target="https://smartscoretech.atlassian.net/browse/QA-14832" TargetMode="External"/><Relationship Id="rId4" Type="http://schemas.openxmlformats.org/officeDocument/2006/relationships/hyperlink" Target="https://www.figma.com/design/AzQaoPVLY9UdbDRMcrxRKx/Tech-%EA%B3%A0%EB%8F%84%ED%99%94?node-id=1667-13886&amp;t=ORq3V99frsQCOorY-4" TargetMode="External"/><Relationship Id="rId9" Type="http://schemas.openxmlformats.org/officeDocument/2006/relationships/hyperlink" Target="https://www.figma.com/design/AzQaoPVLY9UdbDRMcrxRKx/Tech-%EA%B3%A0%EB%8F%84%ED%99%94?node-id=1667-13886&amp;t=ORq3V99frsQCOorY-4" TargetMode="External"/><Relationship Id="rId5" Type="http://schemas.openxmlformats.org/officeDocument/2006/relationships/hyperlink" Target="https://www.figma.com/design/AzQaoPVLY9UdbDRMcrxRKx/Tech-%EA%B3%A0%EB%8F%84%ED%99%94?node-id=1667-13886&amp;t=ORq3V99frsQCOorY-4" TargetMode="External"/><Relationship Id="rId6" Type="http://schemas.openxmlformats.org/officeDocument/2006/relationships/hyperlink" Target="https://smartscoretech.atlassian.net/browse/QA-14832" TargetMode="External"/><Relationship Id="rId7" Type="http://schemas.openxmlformats.org/officeDocument/2006/relationships/hyperlink" Target="https://www.figma.com/design/AzQaoPVLY9UdbDRMcrxRKx/Tech-%EA%B3%A0%EB%8F%84%ED%99%94?node-id=1667-13886&amp;t=ORq3V99frsQCOorY-4" TargetMode="External"/><Relationship Id="rId8" Type="http://schemas.openxmlformats.org/officeDocument/2006/relationships/hyperlink" Target="https://smartscoretech.atlassian.net/browse/QA-14832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scoretech.atlassian.net/browse/QA-14822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88"/>
    <col customWidth="1" min="10" max="10" width="0.8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</row>
    <row r="2" ht="26.25" customHeight="1">
      <c r="A2" s="5"/>
      <c r="B2" s="6" t="s">
        <v>0</v>
      </c>
      <c r="C2" s="7"/>
      <c r="D2" s="7"/>
      <c r="E2" s="7"/>
      <c r="F2" s="8" t="s">
        <v>1</v>
      </c>
      <c r="G2" s="9" t="s">
        <v>2</v>
      </c>
      <c r="H2" s="10" t="s">
        <v>3</v>
      </c>
      <c r="I2" s="11" t="s">
        <v>4</v>
      </c>
      <c r="J2" s="12"/>
      <c r="K2" s="7"/>
      <c r="L2" s="13" t="s">
        <v>5</v>
      </c>
      <c r="M2" s="7"/>
    </row>
    <row r="3" ht="4.5" customHeight="1">
      <c r="A3" s="14"/>
      <c r="B3" s="4"/>
      <c r="C3" s="4"/>
      <c r="D3" s="4"/>
      <c r="E3" s="4"/>
      <c r="F3" s="4"/>
      <c r="G3" s="4"/>
      <c r="H3" s="4"/>
      <c r="I3" s="4"/>
      <c r="J3" s="15"/>
      <c r="K3" s="4"/>
      <c r="L3" s="4"/>
      <c r="M3" s="4"/>
    </row>
    <row r="4">
      <c r="A4" s="14"/>
      <c r="B4" s="16" t="s">
        <v>6</v>
      </c>
      <c r="D4" s="4"/>
      <c r="E4" s="4"/>
      <c r="F4" s="4"/>
      <c r="G4" s="4"/>
      <c r="H4" s="4"/>
      <c r="I4" s="4"/>
      <c r="J4" s="15"/>
      <c r="K4" s="4"/>
      <c r="L4" s="4"/>
      <c r="M4" s="4"/>
    </row>
    <row r="5" ht="24.0" customHeight="1">
      <c r="A5" s="14"/>
      <c r="B5" s="17" t="s">
        <v>7</v>
      </c>
      <c r="C5" s="18"/>
      <c r="D5" s="19" t="s">
        <v>8</v>
      </c>
      <c r="E5" s="20"/>
      <c r="F5" s="20"/>
      <c r="G5" s="20"/>
      <c r="H5" s="20"/>
      <c r="I5" s="18"/>
      <c r="J5" s="15"/>
      <c r="K5" s="4"/>
      <c r="M5" s="4"/>
    </row>
    <row r="6">
      <c r="A6" s="14"/>
      <c r="B6" s="17" t="s">
        <v>9</v>
      </c>
      <c r="C6" s="18"/>
      <c r="D6" s="21" t="s">
        <v>10</v>
      </c>
      <c r="E6" s="20"/>
      <c r="F6" s="20"/>
      <c r="G6" s="20"/>
      <c r="H6" s="20"/>
      <c r="I6" s="18"/>
      <c r="J6" s="15"/>
      <c r="K6" s="4"/>
      <c r="L6" s="4"/>
      <c r="M6" s="4"/>
    </row>
    <row r="7">
      <c r="A7" s="14"/>
      <c r="B7" s="17" t="s">
        <v>11</v>
      </c>
      <c r="C7" s="18"/>
      <c r="D7" s="21" t="s">
        <v>12</v>
      </c>
      <c r="E7" s="20"/>
      <c r="F7" s="20"/>
      <c r="G7" s="20"/>
      <c r="H7" s="20"/>
      <c r="I7" s="18"/>
      <c r="J7" s="15"/>
      <c r="K7" s="4"/>
      <c r="L7" s="4"/>
      <c r="M7" s="4"/>
    </row>
    <row r="8">
      <c r="A8" s="14"/>
      <c r="B8" s="17" t="s">
        <v>13</v>
      </c>
      <c r="C8" s="18"/>
      <c r="D8" s="22" t="s">
        <v>14</v>
      </c>
      <c r="E8" s="20"/>
      <c r="F8" s="20"/>
      <c r="G8" s="20"/>
      <c r="H8" s="20"/>
      <c r="I8" s="18"/>
      <c r="J8" s="15"/>
      <c r="K8" s="4"/>
      <c r="L8" s="4"/>
      <c r="M8" s="4"/>
    </row>
    <row r="9">
      <c r="A9" s="14"/>
      <c r="B9" s="17" t="s">
        <v>15</v>
      </c>
      <c r="C9" s="18"/>
      <c r="D9" s="21" t="s">
        <v>16</v>
      </c>
      <c r="E9" s="20"/>
      <c r="F9" s="20"/>
      <c r="G9" s="20"/>
      <c r="H9" s="20"/>
      <c r="I9" s="18"/>
      <c r="J9" s="15"/>
      <c r="K9" s="4"/>
      <c r="L9" s="4"/>
      <c r="M9" s="4"/>
    </row>
    <row r="10">
      <c r="A10" s="14"/>
      <c r="B10" s="17" t="s">
        <v>17</v>
      </c>
      <c r="C10" s="18"/>
      <c r="D10" s="23"/>
      <c r="E10" s="20"/>
      <c r="F10" s="20"/>
      <c r="G10" s="20"/>
      <c r="H10" s="20"/>
      <c r="I10" s="18"/>
      <c r="J10" s="15"/>
      <c r="K10" s="4"/>
      <c r="L10" s="4"/>
      <c r="M10" s="4"/>
    </row>
    <row r="11">
      <c r="A11" s="14"/>
      <c r="B11" s="24" t="s">
        <v>18</v>
      </c>
      <c r="C11" s="18"/>
      <c r="D11" s="25"/>
      <c r="E11" s="20"/>
      <c r="F11" s="20"/>
      <c r="G11" s="20"/>
      <c r="H11" s="20"/>
      <c r="I11" s="18"/>
      <c r="J11" s="15"/>
      <c r="K11" s="4"/>
      <c r="L11" s="4"/>
      <c r="M11" s="4"/>
    </row>
    <row r="12" ht="4.5" customHeight="1">
      <c r="A12" s="14"/>
      <c r="B12" s="4"/>
      <c r="C12" s="4"/>
      <c r="D12" s="4"/>
      <c r="E12" s="4"/>
      <c r="F12" s="4"/>
      <c r="G12" s="4"/>
      <c r="H12" s="4"/>
      <c r="I12" s="4"/>
      <c r="J12" s="15"/>
      <c r="K12" s="4"/>
      <c r="L12" s="4"/>
      <c r="M12" s="4"/>
    </row>
    <row r="13">
      <c r="A13" s="14"/>
      <c r="B13" s="7" t="s">
        <v>19</v>
      </c>
      <c r="D13" s="4"/>
      <c r="E13" s="4"/>
      <c r="F13" s="4"/>
      <c r="G13" s="4"/>
      <c r="H13" s="26" t="s">
        <v>20</v>
      </c>
      <c r="J13" s="15"/>
      <c r="K13" s="4"/>
      <c r="L13" s="4"/>
      <c r="M13" s="4"/>
    </row>
    <row r="14">
      <c r="A14" s="14"/>
      <c r="B14" s="27" t="s">
        <v>21</v>
      </c>
      <c r="C14" s="28">
        <v>12.0</v>
      </c>
      <c r="D14" s="29" t="s">
        <v>22</v>
      </c>
      <c r="E14" s="28">
        <v>4.0</v>
      </c>
      <c r="F14" s="30" t="s">
        <v>23</v>
      </c>
      <c r="G14" s="31">
        <f>(($C$31/$C$14)*$E$14)/$C$31</f>
        <v>0.3333333333</v>
      </c>
      <c r="H14" s="30" t="s">
        <v>24</v>
      </c>
      <c r="I14" s="32">
        <f>IFERROR(((G45+I45)/D45),0)</f>
        <v>0</v>
      </c>
      <c r="J14" s="15"/>
      <c r="K14" s="4"/>
      <c r="L14" s="4"/>
      <c r="M14" s="4"/>
    </row>
    <row r="15">
      <c r="A15" s="14"/>
      <c r="B15" s="17" t="s">
        <v>25</v>
      </c>
      <c r="C15" s="20"/>
      <c r="D15" s="33" t="s">
        <v>26</v>
      </c>
      <c r="E15" s="18"/>
      <c r="F15" s="34" t="s">
        <v>27</v>
      </c>
      <c r="G15" s="35">
        <f>($D31-$H31)/($C31-$H31)</f>
        <v>0.5465648855</v>
      </c>
      <c r="H15" s="34" t="s">
        <v>28</v>
      </c>
      <c r="I15" s="35">
        <f>IFERROR(F31/(C31-H31-E31),0)</f>
        <v>0.9636871508</v>
      </c>
      <c r="J15" s="15"/>
      <c r="K15" s="4"/>
      <c r="L15" s="4"/>
      <c r="M15" s="4"/>
    </row>
    <row r="16">
      <c r="A16" s="14"/>
      <c r="B16" s="36" t="s">
        <v>7</v>
      </c>
      <c r="C16" s="37" t="s">
        <v>29</v>
      </c>
      <c r="D16" s="36" t="s">
        <v>30</v>
      </c>
      <c r="E16" s="36" t="s">
        <v>31</v>
      </c>
      <c r="F16" s="38" t="s">
        <v>32</v>
      </c>
      <c r="G16" s="20"/>
      <c r="H16" s="20"/>
      <c r="I16" s="18"/>
      <c r="J16" s="15"/>
      <c r="K16" s="4"/>
      <c r="L16" s="4"/>
      <c r="M16" s="4"/>
    </row>
    <row r="17">
      <c r="A17" s="14"/>
      <c r="B17" s="39"/>
      <c r="C17" s="39"/>
      <c r="D17" s="39"/>
      <c r="E17" s="39"/>
      <c r="F17" s="40" t="s">
        <v>33</v>
      </c>
      <c r="G17" s="40" t="s">
        <v>34</v>
      </c>
      <c r="H17" s="40" t="s">
        <v>35</v>
      </c>
      <c r="I17" s="40" t="s">
        <v>36</v>
      </c>
      <c r="J17" s="15"/>
      <c r="K17" s="4"/>
      <c r="L17" s="4"/>
      <c r="M17" s="4"/>
    </row>
    <row r="18">
      <c r="A18" s="14"/>
      <c r="B18" s="41" t="s">
        <v>37</v>
      </c>
      <c r="C18" s="42">
        <f t="shared" ref="C18:C30" si="2">COUNT(INDIRECT("'" &amp; B18 &amp; "'!$A$3:$A"))</f>
        <v>12</v>
      </c>
      <c r="D18" s="42">
        <f t="shared" ref="D18:D30" si="3">sum(F18:H18)</f>
        <v>12</v>
      </c>
      <c r="E18" s="42">
        <f t="shared" ref="E18:E31" si="4">C18-D18</f>
        <v>0</v>
      </c>
      <c r="F18" s="43">
        <f t="shared" ref="F18:I18" si="1">COUNTIF(INDIRECT("'" &amp; $B18 &amp; "'!$K:$K"), F$17)</f>
        <v>11</v>
      </c>
      <c r="G18" s="43">
        <f t="shared" si="1"/>
        <v>1</v>
      </c>
      <c r="H18" s="43">
        <f t="shared" si="1"/>
        <v>0</v>
      </c>
      <c r="I18" s="43">
        <f t="shared" si="1"/>
        <v>0</v>
      </c>
      <c r="J18" s="15"/>
      <c r="K18" s="4"/>
      <c r="L18" s="4"/>
      <c r="M18" s="4"/>
    </row>
    <row r="19">
      <c r="A19" s="14"/>
      <c r="B19" s="41" t="s">
        <v>38</v>
      </c>
      <c r="C19" s="42">
        <f t="shared" si="2"/>
        <v>304</v>
      </c>
      <c r="D19" s="42">
        <f t="shared" si="3"/>
        <v>132</v>
      </c>
      <c r="E19" s="42">
        <f t="shared" si="4"/>
        <v>172</v>
      </c>
      <c r="F19" s="43">
        <f t="shared" ref="F19:I19" si="5">COUNTIF(INDIRECT("'" &amp; $B19 &amp; "'!$K:$K"), F$17)</f>
        <v>115</v>
      </c>
      <c r="G19" s="43">
        <f t="shared" si="5"/>
        <v>16</v>
      </c>
      <c r="H19" s="43">
        <f t="shared" si="5"/>
        <v>1</v>
      </c>
      <c r="I19" s="43">
        <f t="shared" si="5"/>
        <v>12</v>
      </c>
      <c r="J19" s="15"/>
      <c r="K19" s="44"/>
      <c r="L19" s="4"/>
      <c r="M19" s="4"/>
    </row>
    <row r="20">
      <c r="A20" s="14"/>
      <c r="B20" s="41" t="s">
        <v>39</v>
      </c>
      <c r="C20" s="42">
        <f t="shared" si="2"/>
        <v>58</v>
      </c>
      <c r="D20" s="42">
        <f t="shared" si="3"/>
        <v>49</v>
      </c>
      <c r="E20" s="42">
        <f t="shared" si="4"/>
        <v>9</v>
      </c>
      <c r="F20" s="43">
        <f t="shared" ref="F20:I20" si="6">COUNTIF(INDIRECT("'" &amp; $B20 &amp; "'!$K:$K"), F$17)</f>
        <v>41</v>
      </c>
      <c r="G20" s="43">
        <f t="shared" si="6"/>
        <v>1</v>
      </c>
      <c r="H20" s="43">
        <f t="shared" si="6"/>
        <v>7</v>
      </c>
      <c r="I20" s="43">
        <f t="shared" si="6"/>
        <v>0</v>
      </c>
      <c r="J20" s="15"/>
      <c r="K20" s="44"/>
      <c r="L20" s="4"/>
      <c r="M20" s="4"/>
    </row>
    <row r="21">
      <c r="A21" s="14"/>
      <c r="B21" s="41" t="s">
        <v>40</v>
      </c>
      <c r="C21" s="42">
        <f t="shared" si="2"/>
        <v>285</v>
      </c>
      <c r="D21" s="42">
        <f t="shared" si="3"/>
        <v>285</v>
      </c>
      <c r="E21" s="42">
        <f t="shared" si="4"/>
        <v>0</v>
      </c>
      <c r="F21" s="43">
        <f t="shared" ref="F21:I21" si="7">COUNTIF(INDIRECT("'" &amp; $B21 &amp; "'!$K:$K"), F$17)</f>
        <v>260</v>
      </c>
      <c r="G21" s="43">
        <f t="shared" si="7"/>
        <v>9</v>
      </c>
      <c r="H21" s="43">
        <f t="shared" si="7"/>
        <v>16</v>
      </c>
      <c r="I21" s="43">
        <f t="shared" si="7"/>
        <v>0</v>
      </c>
      <c r="J21" s="15"/>
      <c r="K21" s="44"/>
      <c r="L21" s="4"/>
      <c r="M21" s="4"/>
    </row>
    <row r="22">
      <c r="A22" s="14"/>
      <c r="B22" s="41" t="s">
        <v>41</v>
      </c>
      <c r="C22" s="42">
        <f t="shared" si="2"/>
        <v>183</v>
      </c>
      <c r="D22" s="42">
        <f t="shared" si="3"/>
        <v>183</v>
      </c>
      <c r="E22" s="42">
        <f t="shared" si="4"/>
        <v>0</v>
      </c>
      <c r="F22" s="43">
        <f t="shared" ref="F22:I22" si="8">COUNTIF(INDIRECT("'" &amp; $B22 &amp; "'!$K:$K"), F$17)</f>
        <v>181</v>
      </c>
      <c r="G22" s="43">
        <f t="shared" si="8"/>
        <v>2</v>
      </c>
      <c r="H22" s="43">
        <f t="shared" si="8"/>
        <v>0</v>
      </c>
      <c r="I22" s="43">
        <f t="shared" si="8"/>
        <v>0</v>
      </c>
      <c r="J22" s="15"/>
      <c r="K22" s="44"/>
      <c r="L22" s="4"/>
      <c r="M22" s="4"/>
    </row>
    <row r="23">
      <c r="A23" s="14"/>
      <c r="B23" s="41" t="s">
        <v>42</v>
      </c>
      <c r="C23" s="42">
        <f t="shared" si="2"/>
        <v>169</v>
      </c>
      <c r="D23" s="42">
        <f t="shared" si="3"/>
        <v>72</v>
      </c>
      <c r="E23" s="42">
        <f t="shared" si="4"/>
        <v>97</v>
      </c>
      <c r="F23" s="43">
        <f t="shared" ref="F23:I23" si="9">COUNTIF(INDIRECT("'" &amp; $B23 &amp; "'!$K:$K"), F$17)</f>
        <v>70</v>
      </c>
      <c r="G23" s="43">
        <f t="shared" si="9"/>
        <v>2</v>
      </c>
      <c r="H23" s="43">
        <f t="shared" si="9"/>
        <v>0</v>
      </c>
      <c r="I23" s="43">
        <f t="shared" si="9"/>
        <v>1</v>
      </c>
      <c r="J23" s="15"/>
      <c r="K23" s="44"/>
      <c r="L23" s="4"/>
      <c r="M23" s="4"/>
    </row>
    <row r="24">
      <c r="A24" s="14"/>
      <c r="B24" s="41" t="s">
        <v>43</v>
      </c>
      <c r="C24" s="42">
        <f t="shared" si="2"/>
        <v>178</v>
      </c>
      <c r="D24" s="42">
        <f t="shared" si="3"/>
        <v>0</v>
      </c>
      <c r="E24" s="42">
        <f t="shared" si="4"/>
        <v>178</v>
      </c>
      <c r="F24" s="43">
        <f t="shared" ref="F24:I24" si="10">COUNTIF(INDIRECT("'" &amp; $B24 &amp; "'!$K:$K"), F$17)</f>
        <v>0</v>
      </c>
      <c r="G24" s="43">
        <f t="shared" si="10"/>
        <v>0</v>
      </c>
      <c r="H24" s="43">
        <f t="shared" si="10"/>
        <v>0</v>
      </c>
      <c r="I24" s="43">
        <f t="shared" si="10"/>
        <v>0</v>
      </c>
      <c r="J24" s="15"/>
      <c r="K24" s="44"/>
      <c r="L24" s="4"/>
      <c r="M24" s="4"/>
    </row>
    <row r="25">
      <c r="A25" s="14"/>
      <c r="B25" s="41" t="s">
        <v>44</v>
      </c>
      <c r="C25" s="42">
        <f t="shared" si="2"/>
        <v>89</v>
      </c>
      <c r="D25" s="42">
        <f t="shared" si="3"/>
        <v>85</v>
      </c>
      <c r="E25" s="42">
        <f t="shared" si="4"/>
        <v>4</v>
      </c>
      <c r="F25" s="43">
        <f t="shared" ref="F25:I25" si="11">COUNTIF(INDIRECT("'" &amp; $B25 &amp; "'!$K:$K"), F$17)</f>
        <v>83</v>
      </c>
      <c r="G25" s="43">
        <f t="shared" si="11"/>
        <v>1</v>
      </c>
      <c r="H25" s="43">
        <f t="shared" si="11"/>
        <v>1</v>
      </c>
      <c r="I25" s="43">
        <f t="shared" si="11"/>
        <v>0</v>
      </c>
      <c r="J25" s="15"/>
      <c r="K25" s="44"/>
      <c r="L25" s="4"/>
      <c r="M25" s="4"/>
    </row>
    <row r="26">
      <c r="A26" s="14"/>
      <c r="B26" s="41" t="s">
        <v>45</v>
      </c>
      <c r="C26" s="42">
        <f t="shared" si="2"/>
        <v>246</v>
      </c>
      <c r="D26" s="42">
        <f t="shared" si="3"/>
        <v>11</v>
      </c>
      <c r="E26" s="42">
        <f t="shared" si="4"/>
        <v>235</v>
      </c>
      <c r="F26" s="43">
        <f t="shared" ref="F26:I26" si="12">COUNTIF(INDIRECT("'" &amp; $B26 &amp; "'!$K:$K"), F$17)</f>
        <v>10</v>
      </c>
      <c r="G26" s="43">
        <f t="shared" si="12"/>
        <v>1</v>
      </c>
      <c r="H26" s="43">
        <f t="shared" si="12"/>
        <v>0</v>
      </c>
      <c r="I26" s="43">
        <f t="shared" si="12"/>
        <v>0</v>
      </c>
      <c r="J26" s="15"/>
      <c r="K26" s="44"/>
      <c r="L26" s="4"/>
      <c r="M26" s="4"/>
    </row>
    <row r="27">
      <c r="A27" s="14"/>
      <c r="B27" s="41" t="s">
        <v>46</v>
      </c>
      <c r="C27" s="42">
        <f t="shared" si="2"/>
        <v>57</v>
      </c>
      <c r="D27" s="42">
        <f t="shared" si="3"/>
        <v>20</v>
      </c>
      <c r="E27" s="42">
        <f t="shared" si="4"/>
        <v>37</v>
      </c>
      <c r="F27" s="43">
        <f t="shared" ref="F27:I27" si="13">COUNTIF(INDIRECT("'" &amp; $B27 &amp; "'!$K:$K"), F$17)</f>
        <v>20</v>
      </c>
      <c r="G27" s="43">
        <f t="shared" si="13"/>
        <v>0</v>
      </c>
      <c r="H27" s="43">
        <f t="shared" si="13"/>
        <v>0</v>
      </c>
      <c r="I27" s="43">
        <f t="shared" si="13"/>
        <v>0</v>
      </c>
      <c r="J27" s="15"/>
      <c r="K27" s="44"/>
      <c r="L27" s="4"/>
      <c r="M27" s="4"/>
    </row>
    <row r="28">
      <c r="A28" s="14"/>
      <c r="B28" s="41" t="s">
        <v>47</v>
      </c>
      <c r="C28" s="42">
        <f t="shared" si="2"/>
        <v>230</v>
      </c>
      <c r="D28" s="42">
        <f t="shared" si="3"/>
        <v>71</v>
      </c>
      <c r="E28" s="42">
        <f t="shared" si="4"/>
        <v>159</v>
      </c>
      <c r="F28" s="43">
        <f t="shared" ref="F28:I28" si="14">COUNTIF(INDIRECT("'" &amp; $B28 &amp; "'!$K:$K"), F$17)</f>
        <v>67</v>
      </c>
      <c r="G28" s="43">
        <f t="shared" si="14"/>
        <v>3</v>
      </c>
      <c r="H28" s="43">
        <f t="shared" si="14"/>
        <v>1</v>
      </c>
      <c r="I28" s="43">
        <f t="shared" si="14"/>
        <v>1</v>
      </c>
      <c r="J28" s="15"/>
      <c r="K28" s="44"/>
      <c r="L28" s="4"/>
      <c r="M28" s="4"/>
    </row>
    <row r="29">
      <c r="A29" s="14"/>
      <c r="B29" s="41" t="s">
        <v>48</v>
      </c>
      <c r="C29" s="42">
        <f t="shared" si="2"/>
        <v>114</v>
      </c>
      <c r="D29" s="42">
        <f t="shared" si="3"/>
        <v>114</v>
      </c>
      <c r="E29" s="42">
        <f t="shared" si="4"/>
        <v>0</v>
      </c>
      <c r="F29" s="43">
        <f t="shared" ref="F29:I29" si="15">COUNTIF(INDIRECT("'" &amp; $B29 &amp; "'!$K:$K"), F$17)</f>
        <v>112</v>
      </c>
      <c r="G29" s="43">
        <f t="shared" si="15"/>
        <v>2</v>
      </c>
      <c r="H29" s="43">
        <f t="shared" si="15"/>
        <v>0</v>
      </c>
      <c r="I29" s="43">
        <f t="shared" si="15"/>
        <v>0</v>
      </c>
      <c r="J29" s="15"/>
      <c r="K29" s="44"/>
      <c r="L29" s="4"/>
      <c r="M29" s="4"/>
    </row>
    <row r="30">
      <c r="A30" s="14"/>
      <c r="B30" s="41" t="s">
        <v>49</v>
      </c>
      <c r="C30" s="42">
        <f t="shared" si="2"/>
        <v>66</v>
      </c>
      <c r="D30" s="42">
        <f t="shared" si="3"/>
        <v>66</v>
      </c>
      <c r="E30" s="42">
        <f t="shared" si="4"/>
        <v>0</v>
      </c>
      <c r="F30" s="43">
        <f t="shared" ref="F30:I30" si="16">COUNTIF(INDIRECT("'" &amp; $B30 &amp; "'!$K:$K"), F$17)</f>
        <v>65</v>
      </c>
      <c r="G30" s="43">
        <f t="shared" si="16"/>
        <v>1</v>
      </c>
      <c r="H30" s="43">
        <f t="shared" si="16"/>
        <v>0</v>
      </c>
      <c r="I30" s="43">
        <f t="shared" si="16"/>
        <v>0</v>
      </c>
      <c r="J30" s="15"/>
      <c r="K30" s="44"/>
      <c r="L30" s="4"/>
      <c r="M30" s="4"/>
    </row>
    <row r="31">
      <c r="A31" s="14"/>
      <c r="B31" s="45" t="s">
        <v>50</v>
      </c>
      <c r="C31" s="45">
        <f t="shared" ref="C31:D31" si="17">sum(C18:C30)</f>
        <v>1991</v>
      </c>
      <c r="D31" s="45">
        <f t="shared" si="17"/>
        <v>1100</v>
      </c>
      <c r="E31" s="45">
        <f t="shared" si="4"/>
        <v>891</v>
      </c>
      <c r="F31" s="43">
        <f t="shared" ref="F31:I31" si="18">sum(F18:F30)</f>
        <v>1035</v>
      </c>
      <c r="G31" s="43">
        <f t="shared" si="18"/>
        <v>39</v>
      </c>
      <c r="H31" s="43">
        <f t="shared" si="18"/>
        <v>26</v>
      </c>
      <c r="I31" s="43">
        <f t="shared" si="18"/>
        <v>14</v>
      </c>
      <c r="J31" s="15"/>
      <c r="K31" s="44"/>
      <c r="L31" s="4"/>
      <c r="M31" s="4"/>
    </row>
    <row r="32" ht="9.0" customHeight="1">
      <c r="A32" s="14"/>
      <c r="B32" s="46"/>
      <c r="C32" s="46"/>
      <c r="D32" s="46"/>
      <c r="E32" s="46"/>
      <c r="F32" s="46"/>
      <c r="G32" s="46"/>
      <c r="H32" s="46"/>
      <c r="I32" s="46"/>
      <c r="J32" s="15"/>
      <c r="K32" s="44"/>
      <c r="L32" s="4"/>
      <c r="M32" s="4"/>
    </row>
    <row r="33" ht="4.5" customHeight="1">
      <c r="A33" s="14"/>
      <c r="B33" s="4"/>
      <c r="C33" s="4"/>
      <c r="D33" s="4"/>
      <c r="E33" s="4"/>
      <c r="F33" s="4"/>
      <c r="G33" s="4"/>
      <c r="H33" s="4"/>
      <c r="I33" s="4"/>
      <c r="J33" s="15"/>
      <c r="K33" s="4"/>
      <c r="L33" s="4"/>
      <c r="M33" s="4"/>
    </row>
    <row r="34">
      <c r="A34" s="14"/>
      <c r="B34" s="7" t="s">
        <v>51</v>
      </c>
      <c r="D34" s="4"/>
      <c r="E34" s="4"/>
      <c r="F34" s="4"/>
      <c r="G34" s="4"/>
      <c r="H34" s="4"/>
      <c r="I34" s="4"/>
      <c r="J34" s="15"/>
      <c r="K34" s="4"/>
      <c r="L34" s="4"/>
      <c r="M34" s="4"/>
    </row>
    <row r="35">
      <c r="A35" s="14"/>
      <c r="B35" s="47" t="s">
        <v>52</v>
      </c>
      <c r="C35" s="47" t="s">
        <v>53</v>
      </c>
      <c r="D35" s="48" t="s">
        <v>54</v>
      </c>
      <c r="E35" s="20"/>
      <c r="F35" s="20"/>
      <c r="G35" s="20"/>
      <c r="H35" s="20"/>
      <c r="I35" s="18"/>
      <c r="J35" s="15"/>
      <c r="K35" s="4"/>
      <c r="L35" s="4"/>
      <c r="M35" s="4"/>
    </row>
    <row r="36">
      <c r="A36" s="14"/>
      <c r="B36" s="49"/>
      <c r="C36" s="49"/>
      <c r="D36" s="50" t="s">
        <v>50</v>
      </c>
      <c r="E36" s="50" t="s">
        <v>55</v>
      </c>
      <c r="F36" s="50" t="s">
        <v>56</v>
      </c>
      <c r="G36" s="50" t="s">
        <v>57</v>
      </c>
      <c r="H36" s="50" t="s">
        <v>58</v>
      </c>
      <c r="I36" s="50" t="s">
        <v>59</v>
      </c>
      <c r="J36" s="15"/>
      <c r="K36" s="4"/>
      <c r="L36" s="4"/>
      <c r="M36" s="4"/>
    </row>
    <row r="37">
      <c r="A37" s="14"/>
      <c r="B37" s="51"/>
      <c r="C37" s="51">
        <f>IFERROR(D39/D37,0)</f>
        <v>0.6931818182</v>
      </c>
      <c r="D37" s="52">
        <f t="shared" ref="D37:D39" si="20">sum(E37:I37)</f>
        <v>88</v>
      </c>
      <c r="E37" s="53">
        <f t="shared" ref="E37:I37" si="19">E39+E38</f>
        <v>0</v>
      </c>
      <c r="F37" s="53">
        <f t="shared" si="19"/>
        <v>0</v>
      </c>
      <c r="G37" s="53">
        <f t="shared" si="19"/>
        <v>13</v>
      </c>
      <c r="H37" s="53">
        <f t="shared" si="19"/>
        <v>68</v>
      </c>
      <c r="I37" s="53">
        <f t="shared" si="19"/>
        <v>7</v>
      </c>
      <c r="J37" s="15"/>
      <c r="K37" s="4"/>
      <c r="L37" s="4"/>
      <c r="M37" s="4"/>
    </row>
    <row r="38">
      <c r="A38" s="14"/>
      <c r="B38" s="54" t="s">
        <v>60</v>
      </c>
      <c r="C38" s="18"/>
      <c r="D38" s="55">
        <f t="shared" si="20"/>
        <v>27</v>
      </c>
      <c r="E38" s="56">
        <f>countifs('이슈리스트'!$C$2:$C991,E$36,'이슈리스트'!$J$2:$J991,"해야 할 일")+countifs('이슈리스트'!$C$2:$C991,E$36,'이슈리스트'!$J$2:$J991,"진행 중")</f>
        <v>0</v>
      </c>
      <c r="F38" s="56">
        <f>countifs('이슈리스트'!$C$2:$C991,F$36,'이슈리스트'!$J$2:$J991,"해야 할 일")+countifs('이슈리스트'!$C$2:$C991,F$36,'이슈리스트'!$J$2:$J991,"진행 중")</f>
        <v>0</v>
      </c>
      <c r="G38" s="56">
        <f>countifs('이슈리스트'!$C$2:$C991,G$36,'이슈리스트'!$J$2:$J991,"해야 할 일")+countifs('이슈리스트'!$C$2:$C991,G$36,'이슈리스트'!$J$2:$J991,"진행 중")</f>
        <v>3</v>
      </c>
      <c r="H38" s="56">
        <f>countifs('이슈리스트'!$C$2:$C991,H$36,'이슈리스트'!$J$2:$J991,"해야 할 일")+countifs('이슈리스트'!$C$2:$C991,H$36,'이슈리스트'!$J$2:$J991,"진행 중")</f>
        <v>21</v>
      </c>
      <c r="I38" s="56">
        <f>countifs('이슈리스트'!$C$2:$C991,I$36,'이슈리스트'!$J$2:$J991,"해야 할 일")+countifs('이슈리스트'!$C$2:$C991,I$36,'이슈리스트'!$J$2:$J991,"진행 중")</f>
        <v>3</v>
      </c>
      <c r="J38" s="15"/>
      <c r="K38" s="57" t="s">
        <v>61</v>
      </c>
      <c r="L38" s="4" t="s">
        <v>62</v>
      </c>
      <c r="M38" s="4"/>
    </row>
    <row r="39">
      <c r="A39" s="14"/>
      <c r="B39" s="54" t="s">
        <v>63</v>
      </c>
      <c r="C39" s="18"/>
      <c r="D39" s="58">
        <f t="shared" si="20"/>
        <v>61</v>
      </c>
      <c r="E39" s="59">
        <f>countifs('이슈리스트'!$C$2:$C991,E$36,'이슈리스트'!$J$2:$J991,$K$39)</f>
        <v>0</v>
      </c>
      <c r="F39" s="59">
        <f>countifs('이슈리스트'!$C$2:$C991,F$36,'이슈리스트'!$J$2:$J991,$K$39)</f>
        <v>0</v>
      </c>
      <c r="G39" s="59">
        <f>countifs('이슈리스트'!$C$2:$C991,G$36,'이슈리스트'!$J$2:$J991,$K$39)</f>
        <v>10</v>
      </c>
      <c r="H39" s="59">
        <f>countifs('이슈리스트'!$C$2:$C991,H$36,'이슈리스트'!$J$2:$J991,$K$39)</f>
        <v>47</v>
      </c>
      <c r="I39" s="59">
        <f>countifs('이슈리스트'!$C$2:$C991,I$36,'이슈리스트'!$J$2:$J991,$K$39)</f>
        <v>4</v>
      </c>
      <c r="J39" s="15"/>
      <c r="K39" s="4" t="s">
        <v>64</v>
      </c>
      <c r="L39" s="4"/>
      <c r="M39" s="4"/>
    </row>
    <row r="40">
      <c r="A40" s="60"/>
      <c r="B40" s="61"/>
      <c r="C40" s="62" t="s">
        <v>65</v>
      </c>
      <c r="D40" s="62"/>
      <c r="E40" s="63" t="str">
        <f t="shared" ref="E40:I40" si="21">E37/$E$39</f>
        <v>#DIV/0!</v>
      </c>
      <c r="F40" s="63" t="str">
        <f t="shared" si="21"/>
        <v>#DIV/0!</v>
      </c>
      <c r="G40" s="63" t="str">
        <f t="shared" si="21"/>
        <v>#DIV/0!</v>
      </c>
      <c r="H40" s="63" t="str">
        <f t="shared" si="21"/>
        <v>#DIV/0!</v>
      </c>
      <c r="I40" s="63" t="str">
        <f t="shared" si="21"/>
        <v>#DIV/0!</v>
      </c>
      <c r="J40" s="64"/>
      <c r="K40" s="4"/>
      <c r="L40" s="4"/>
      <c r="M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>
      <c r="A46" s="4"/>
      <c r="B46" s="65" t="s">
        <v>66</v>
      </c>
      <c r="C46" s="4"/>
      <c r="D46" s="4"/>
      <c r="E46" s="4"/>
      <c r="F46" s="4"/>
      <c r="G46" s="4"/>
      <c r="H46" s="4"/>
      <c r="I46" s="4"/>
      <c r="J46" s="4"/>
      <c r="K46" s="4"/>
      <c r="M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</row>
  </sheetData>
  <mergeCells count="30">
    <mergeCell ref="B4:C4"/>
    <mergeCell ref="B5:C5"/>
    <mergeCell ref="D5:I5"/>
    <mergeCell ref="B6:C6"/>
    <mergeCell ref="D6:I6"/>
    <mergeCell ref="B7:C7"/>
    <mergeCell ref="D7:I7"/>
    <mergeCell ref="H13:I13"/>
    <mergeCell ref="F16:I16"/>
    <mergeCell ref="D35:I35"/>
    <mergeCell ref="B8:C8"/>
    <mergeCell ref="D8:I8"/>
    <mergeCell ref="B9:C9"/>
    <mergeCell ref="D9:I9"/>
    <mergeCell ref="B10:C10"/>
    <mergeCell ref="D10:I10"/>
    <mergeCell ref="D11:I11"/>
    <mergeCell ref="C16:C17"/>
    <mergeCell ref="B34:C34"/>
    <mergeCell ref="B35:B36"/>
    <mergeCell ref="C35:C36"/>
    <mergeCell ref="B38:C38"/>
    <mergeCell ref="B39:C39"/>
    <mergeCell ref="B11:C11"/>
    <mergeCell ref="B13:C13"/>
    <mergeCell ref="B15:C15"/>
    <mergeCell ref="D15:E15"/>
    <mergeCell ref="B16:B17"/>
    <mergeCell ref="D16:D17"/>
    <mergeCell ref="E16:E17"/>
  </mergeCells>
  <conditionalFormatting sqref="I2">
    <cfRule type="cellIs" dxfId="0" priority="1" operator="equal">
      <formula>"배포가능"</formula>
    </cfRule>
  </conditionalFormatting>
  <conditionalFormatting sqref="I2">
    <cfRule type="cellIs" dxfId="1" priority="2" operator="equal">
      <formula>"배포불가"</formula>
    </cfRule>
  </conditionalFormatting>
  <conditionalFormatting sqref="I2">
    <cfRule type="cellIs" dxfId="2" priority="3" operator="equal">
      <formula>"검토필요"</formula>
    </cfRule>
  </conditionalFormatting>
  <conditionalFormatting sqref="I2">
    <cfRule type="cellIs" dxfId="3" priority="4" operator="equal">
      <formula>"진행중"</formula>
    </cfRule>
  </conditionalFormatting>
  <dataValidations>
    <dataValidation type="list" allowBlank="1" showErrorMessage="1" sqref="D15">
      <formula1>"RD 3,RD 1,PSN,TD #"</formula1>
    </dataValidation>
    <dataValidation type="list" allowBlank="1" sqref="I2">
      <formula1>"진행중,배포가능,배포불가,검토필요,1차 종료,2차 종료,TC 설계 중"</formula1>
    </dataValidation>
  </dataValidations>
  <hyperlinks>
    <hyperlink r:id="rId1" ref="D6"/>
    <hyperlink r:id="rId2" ref="D7"/>
    <hyperlink r:id="rId3" ref="D8"/>
    <hyperlink r:id="rId4" ref="D9"/>
    <hyperlink r:id="rId5" ref="H13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3" max="3" width="14.25"/>
    <col customWidth="1" min="10" max="10" width="3.13"/>
    <col customWidth="1" min="11" max="11" width="3.75"/>
    <col customWidth="1" min="12" max="12" width="11.0"/>
    <col customWidth="1" min="13" max="13" width="20.75"/>
    <col customWidth="1" min="14" max="14" width="12.5"/>
    <col customWidth="1" min="15" max="15" width="20.75"/>
    <col customWidth="1" min="16" max="16" width="56.38"/>
    <col customWidth="1" min="22" max="22" width="45.0"/>
    <col customWidth="1" min="23" max="23" width="25.38"/>
  </cols>
  <sheetData>
    <row r="1">
      <c r="A1" s="67" t="s">
        <v>67</v>
      </c>
      <c r="B1" s="68" t="s">
        <v>68</v>
      </c>
      <c r="C1" s="20"/>
      <c r="D1" s="18"/>
      <c r="E1" s="69" t="s">
        <v>69</v>
      </c>
      <c r="F1" s="70" t="s">
        <v>70</v>
      </c>
      <c r="G1" s="69" t="s">
        <v>71</v>
      </c>
      <c r="H1" s="70" t="s">
        <v>72</v>
      </c>
      <c r="I1" s="71" t="s">
        <v>73</v>
      </c>
      <c r="J1" s="72"/>
      <c r="Q1" s="72"/>
      <c r="R1" s="72"/>
      <c r="S1" s="72"/>
      <c r="T1" s="72"/>
      <c r="U1" s="72"/>
      <c r="V1" s="72"/>
      <c r="W1" s="72"/>
      <c r="X1" s="72"/>
    </row>
    <row r="2">
      <c r="A2" s="39"/>
      <c r="B2" s="73" t="s">
        <v>74</v>
      </c>
      <c r="C2" s="73" t="s">
        <v>75</v>
      </c>
      <c r="D2" s="67" t="s">
        <v>76</v>
      </c>
      <c r="E2" s="39"/>
      <c r="F2" s="49"/>
      <c r="G2" s="39"/>
      <c r="H2" s="49"/>
      <c r="I2" s="74"/>
      <c r="J2" s="72"/>
      <c r="K2" s="75" t="s">
        <v>67</v>
      </c>
      <c r="L2" s="75" t="s">
        <v>77</v>
      </c>
      <c r="M2" s="75" t="s">
        <v>78</v>
      </c>
      <c r="N2" s="75" t="s">
        <v>79</v>
      </c>
      <c r="O2" s="75" t="s">
        <v>80</v>
      </c>
      <c r="P2" s="75" t="s">
        <v>81</v>
      </c>
      <c r="Q2" s="75" t="s">
        <v>82</v>
      </c>
      <c r="R2" s="72"/>
      <c r="S2" s="76" t="s">
        <v>83</v>
      </c>
      <c r="T2" s="76" t="s">
        <v>84</v>
      </c>
      <c r="U2" s="76" t="s">
        <v>85</v>
      </c>
      <c r="V2" s="76" t="s">
        <v>86</v>
      </c>
      <c r="W2" s="76" t="s">
        <v>73</v>
      </c>
      <c r="X2" s="77" t="s">
        <v>87</v>
      </c>
      <c r="Y2" s="78" t="s">
        <v>88</v>
      </c>
      <c r="Z2" s="78" t="s">
        <v>89</v>
      </c>
      <c r="AA2" s="78" t="s">
        <v>90</v>
      </c>
    </row>
    <row r="3">
      <c r="A3" s="79">
        <f t="shared" ref="A3:A52" si="1">COUNTA($C$3:C3)</f>
        <v>1</v>
      </c>
      <c r="B3" s="80" t="s">
        <v>91</v>
      </c>
      <c r="C3" s="81" t="s">
        <v>92</v>
      </c>
      <c r="D3" s="82"/>
      <c r="E3" s="83" t="s">
        <v>93</v>
      </c>
      <c r="F3" s="84" t="s">
        <v>64</v>
      </c>
      <c r="G3" s="83" t="s">
        <v>93</v>
      </c>
      <c r="H3" s="85"/>
      <c r="I3" s="86"/>
      <c r="J3" s="72"/>
      <c r="K3" s="87">
        <v>1.0</v>
      </c>
      <c r="L3" s="88" t="s">
        <v>94</v>
      </c>
      <c r="M3" s="88" t="s">
        <v>92</v>
      </c>
      <c r="N3" s="89" t="s">
        <v>91</v>
      </c>
      <c r="O3" s="89" t="s">
        <v>92</v>
      </c>
      <c r="P3" s="90" t="s">
        <v>95</v>
      </c>
      <c r="Q3" s="91"/>
      <c r="R3" s="72"/>
      <c r="S3" s="92" t="s">
        <v>91</v>
      </c>
      <c r="T3" s="93"/>
      <c r="U3" s="94" t="s">
        <v>96</v>
      </c>
      <c r="V3" s="95" t="s">
        <v>97</v>
      </c>
      <c r="W3" s="92" t="s">
        <v>98</v>
      </c>
      <c r="X3" s="72"/>
    </row>
    <row r="4">
      <c r="A4" s="79">
        <f t="shared" si="1"/>
        <v>2</v>
      </c>
      <c r="B4" s="96" t="s">
        <v>99</v>
      </c>
      <c r="C4" s="97" t="s">
        <v>100</v>
      </c>
      <c r="D4" s="82"/>
      <c r="E4" s="83" t="s">
        <v>93</v>
      </c>
      <c r="F4" s="84" t="s">
        <v>64</v>
      </c>
      <c r="G4" s="83" t="s">
        <v>93</v>
      </c>
      <c r="H4" s="85"/>
      <c r="I4" s="86"/>
      <c r="J4" s="72"/>
      <c r="K4" s="98">
        <v>2.0</v>
      </c>
      <c r="L4" s="99" t="s">
        <v>99</v>
      </c>
      <c r="M4" s="99" t="s">
        <v>101</v>
      </c>
      <c r="N4" s="100" t="s">
        <v>99</v>
      </c>
      <c r="O4" s="100" t="s">
        <v>100</v>
      </c>
      <c r="P4" s="101" t="s">
        <v>102</v>
      </c>
      <c r="Q4" s="91"/>
      <c r="R4" s="72"/>
      <c r="S4" s="92" t="s">
        <v>99</v>
      </c>
      <c r="T4" s="92" t="s">
        <v>100</v>
      </c>
      <c r="U4" s="94" t="s">
        <v>96</v>
      </c>
      <c r="V4" s="95" t="s">
        <v>103</v>
      </c>
      <c r="W4" s="92" t="s">
        <v>104</v>
      </c>
      <c r="X4" s="72"/>
    </row>
    <row r="5">
      <c r="A5" s="79">
        <f t="shared" si="1"/>
        <v>3</v>
      </c>
      <c r="B5" s="102"/>
      <c r="C5" s="97" t="s">
        <v>105</v>
      </c>
      <c r="D5" s="82"/>
      <c r="E5" s="83" t="s">
        <v>93</v>
      </c>
      <c r="F5" s="84" t="s">
        <v>64</v>
      </c>
      <c r="G5" s="83" t="s">
        <v>93</v>
      </c>
      <c r="H5" s="85"/>
      <c r="I5" s="86"/>
      <c r="J5" s="72"/>
      <c r="K5" s="103">
        <v>3.0</v>
      </c>
      <c r="L5" s="104" t="s">
        <v>99</v>
      </c>
      <c r="M5" s="104" t="s">
        <v>105</v>
      </c>
      <c r="N5" s="105" t="s">
        <v>99</v>
      </c>
      <c r="O5" s="105" t="s">
        <v>105</v>
      </c>
      <c r="P5" s="106" t="s">
        <v>106</v>
      </c>
      <c r="Q5" s="91"/>
      <c r="R5" s="72"/>
      <c r="S5" s="92" t="s">
        <v>99</v>
      </c>
      <c r="T5" s="92" t="s">
        <v>105</v>
      </c>
      <c r="U5" s="94" t="s">
        <v>96</v>
      </c>
      <c r="V5" s="95" t="s">
        <v>107</v>
      </c>
      <c r="W5" s="92" t="s">
        <v>104</v>
      </c>
      <c r="X5" s="72"/>
    </row>
    <row r="6">
      <c r="A6" s="79">
        <f t="shared" si="1"/>
        <v>4</v>
      </c>
      <c r="B6" s="102"/>
      <c r="C6" s="97" t="s">
        <v>108</v>
      </c>
      <c r="D6" s="82"/>
      <c r="E6" s="83" t="s">
        <v>93</v>
      </c>
      <c r="F6" s="84" t="s">
        <v>64</v>
      </c>
      <c r="G6" s="83" t="s">
        <v>93</v>
      </c>
      <c r="H6" s="85"/>
      <c r="I6" s="86"/>
      <c r="J6" s="72"/>
      <c r="K6" s="103">
        <v>4.0</v>
      </c>
      <c r="L6" s="104" t="s">
        <v>99</v>
      </c>
      <c r="M6" s="104" t="s">
        <v>108</v>
      </c>
      <c r="N6" s="105" t="s">
        <v>99</v>
      </c>
      <c r="O6" s="105" t="s">
        <v>108</v>
      </c>
      <c r="P6" s="106" t="s">
        <v>109</v>
      </c>
      <c r="Q6" s="91"/>
      <c r="R6" s="72"/>
      <c r="S6" s="92" t="s">
        <v>99</v>
      </c>
      <c r="T6" s="92" t="s">
        <v>108</v>
      </c>
      <c r="U6" s="94" t="s">
        <v>96</v>
      </c>
      <c r="V6" s="95" t="s">
        <v>110</v>
      </c>
      <c r="W6" s="92" t="s">
        <v>104</v>
      </c>
      <c r="X6" s="77" t="s">
        <v>111</v>
      </c>
      <c r="Y6" s="78" t="s">
        <v>108</v>
      </c>
    </row>
    <row r="7">
      <c r="A7" s="79">
        <f t="shared" si="1"/>
        <v>5</v>
      </c>
      <c r="B7" s="102"/>
      <c r="C7" s="107" t="s">
        <v>112</v>
      </c>
      <c r="D7" s="108"/>
      <c r="E7" s="108"/>
      <c r="F7" s="109"/>
      <c r="G7" s="108"/>
      <c r="H7" s="110"/>
      <c r="I7" s="111" t="s">
        <v>113</v>
      </c>
      <c r="J7" s="72"/>
      <c r="K7" s="103">
        <v>5.0</v>
      </c>
      <c r="L7" s="104" t="s">
        <v>99</v>
      </c>
      <c r="M7" s="104" t="s">
        <v>112</v>
      </c>
      <c r="N7" s="105" t="s">
        <v>99</v>
      </c>
      <c r="O7" s="105" t="s">
        <v>112</v>
      </c>
      <c r="P7" s="106" t="s">
        <v>109</v>
      </c>
      <c r="Q7" s="91"/>
      <c r="R7" s="72"/>
      <c r="S7" s="92" t="s">
        <v>99</v>
      </c>
      <c r="T7" s="92" t="s">
        <v>112</v>
      </c>
      <c r="U7" s="94" t="s">
        <v>96</v>
      </c>
      <c r="V7" s="95" t="s">
        <v>114</v>
      </c>
      <c r="W7" s="92" t="s">
        <v>104</v>
      </c>
      <c r="X7" s="77" t="s">
        <v>115</v>
      </c>
      <c r="Y7" s="78" t="s">
        <v>112</v>
      </c>
    </row>
    <row r="8">
      <c r="A8" s="79">
        <f t="shared" si="1"/>
        <v>6</v>
      </c>
      <c r="B8" s="102"/>
      <c r="C8" s="97" t="s">
        <v>116</v>
      </c>
      <c r="D8" s="82"/>
      <c r="E8" s="83" t="s">
        <v>93</v>
      </c>
      <c r="F8" s="84" t="s">
        <v>64</v>
      </c>
      <c r="G8" s="83" t="s">
        <v>93</v>
      </c>
      <c r="H8" s="85"/>
      <c r="I8" s="86"/>
      <c r="J8" s="72"/>
      <c r="K8" s="87">
        <v>6.0</v>
      </c>
      <c r="L8" s="88" t="s">
        <v>99</v>
      </c>
      <c r="M8" s="88" t="s">
        <v>117</v>
      </c>
      <c r="N8" s="89" t="s">
        <v>99</v>
      </c>
      <c r="O8" s="89" t="s">
        <v>116</v>
      </c>
      <c r="P8" s="90" t="s">
        <v>118</v>
      </c>
      <c r="Q8" s="91"/>
      <c r="R8" s="72"/>
      <c r="S8" s="92" t="s">
        <v>99</v>
      </c>
      <c r="T8" s="92" t="s">
        <v>116</v>
      </c>
      <c r="U8" s="94" t="s">
        <v>96</v>
      </c>
      <c r="V8" s="95" t="s">
        <v>119</v>
      </c>
      <c r="W8" s="92" t="s">
        <v>104</v>
      </c>
      <c r="X8" s="72"/>
    </row>
    <row r="9">
      <c r="A9" s="79">
        <f t="shared" si="1"/>
        <v>7</v>
      </c>
      <c r="B9" s="102"/>
      <c r="C9" s="97" t="s">
        <v>120</v>
      </c>
      <c r="D9" s="82"/>
      <c r="E9" s="83" t="s">
        <v>93</v>
      </c>
      <c r="F9" s="84" t="s">
        <v>64</v>
      </c>
      <c r="G9" s="83" t="s">
        <v>93</v>
      </c>
      <c r="H9" s="85"/>
      <c r="I9" s="86"/>
      <c r="J9" s="72"/>
      <c r="K9" s="112">
        <v>7.0</v>
      </c>
      <c r="L9" s="113" t="s">
        <v>121</v>
      </c>
      <c r="M9" s="113" t="s">
        <v>122</v>
      </c>
      <c r="N9" s="114" t="s">
        <v>99</v>
      </c>
      <c r="O9" s="114" t="s">
        <v>120</v>
      </c>
      <c r="P9" s="115" t="s">
        <v>123</v>
      </c>
      <c r="Q9" s="91"/>
      <c r="R9" s="72"/>
      <c r="S9" s="92" t="s">
        <v>99</v>
      </c>
      <c r="T9" s="92" t="s">
        <v>120</v>
      </c>
      <c r="U9" s="94" t="s">
        <v>96</v>
      </c>
      <c r="V9" s="95" t="s">
        <v>124</v>
      </c>
      <c r="W9" s="92" t="s">
        <v>104</v>
      </c>
      <c r="X9" s="77" t="s">
        <v>125</v>
      </c>
      <c r="Y9" s="78" t="s">
        <v>120</v>
      </c>
    </row>
    <row r="10">
      <c r="A10" s="79">
        <f t="shared" si="1"/>
        <v>8</v>
      </c>
      <c r="B10" s="74"/>
      <c r="C10" s="97" t="s">
        <v>126</v>
      </c>
      <c r="D10" s="82"/>
      <c r="E10" s="83" t="s">
        <v>93</v>
      </c>
      <c r="F10" s="84" t="s">
        <v>4</v>
      </c>
      <c r="G10" s="83" t="s">
        <v>93</v>
      </c>
      <c r="H10" s="85"/>
      <c r="I10" s="86"/>
      <c r="J10" s="72"/>
      <c r="K10" s="112">
        <v>8.0</v>
      </c>
      <c r="L10" s="113" t="s">
        <v>121</v>
      </c>
      <c r="M10" s="113" t="s">
        <v>127</v>
      </c>
      <c r="N10" s="114" t="s">
        <v>99</v>
      </c>
      <c r="O10" s="114" t="s">
        <v>126</v>
      </c>
      <c r="P10" s="115" t="s">
        <v>128</v>
      </c>
      <c r="Q10" s="91"/>
      <c r="R10" s="72"/>
      <c r="S10" s="92" t="s">
        <v>99</v>
      </c>
      <c r="T10" s="92" t="s">
        <v>126</v>
      </c>
      <c r="U10" s="94" t="s">
        <v>96</v>
      </c>
      <c r="V10" s="95" t="s">
        <v>129</v>
      </c>
      <c r="W10" s="92" t="s">
        <v>104</v>
      </c>
      <c r="X10" s="77" t="s">
        <v>127</v>
      </c>
      <c r="Y10" s="78" t="s">
        <v>126</v>
      </c>
    </row>
    <row r="11">
      <c r="A11" s="79">
        <f t="shared" si="1"/>
        <v>9</v>
      </c>
      <c r="B11" s="116" t="s">
        <v>39</v>
      </c>
      <c r="C11" s="107" t="s">
        <v>130</v>
      </c>
      <c r="D11" s="108"/>
      <c r="E11" s="108"/>
      <c r="F11" s="109"/>
      <c r="G11" s="108"/>
      <c r="H11" s="110"/>
      <c r="I11" s="111" t="s">
        <v>113</v>
      </c>
      <c r="J11" s="72"/>
      <c r="K11" s="103">
        <v>9.0</v>
      </c>
      <c r="L11" s="104" t="s">
        <v>131</v>
      </c>
      <c r="M11" s="104" t="s">
        <v>130</v>
      </c>
      <c r="N11" s="105" t="s">
        <v>39</v>
      </c>
      <c r="O11" s="105" t="s">
        <v>130</v>
      </c>
      <c r="P11" s="106" t="s">
        <v>132</v>
      </c>
      <c r="Q11" s="91"/>
      <c r="R11" s="72"/>
      <c r="S11" s="92" t="s">
        <v>39</v>
      </c>
      <c r="T11" s="92" t="s">
        <v>133</v>
      </c>
      <c r="U11" s="94" t="s">
        <v>96</v>
      </c>
      <c r="V11" s="95" t="s">
        <v>129</v>
      </c>
      <c r="W11" s="92" t="s">
        <v>134</v>
      </c>
      <c r="X11" s="77" t="s">
        <v>130</v>
      </c>
      <c r="Y11" s="78" t="s">
        <v>133</v>
      </c>
    </row>
    <row r="12">
      <c r="A12" s="79">
        <f t="shared" si="1"/>
        <v>10</v>
      </c>
      <c r="B12" s="102"/>
      <c r="C12" s="81" t="s">
        <v>135</v>
      </c>
      <c r="D12" s="82"/>
      <c r="E12" s="83" t="s">
        <v>136</v>
      </c>
      <c r="F12" s="84" t="s">
        <v>64</v>
      </c>
      <c r="G12" s="83" t="s">
        <v>136</v>
      </c>
      <c r="H12" s="85"/>
      <c r="I12" s="86"/>
      <c r="J12" s="72"/>
      <c r="K12" s="87">
        <v>10.0</v>
      </c>
      <c r="L12" s="88" t="s">
        <v>131</v>
      </c>
      <c r="M12" s="88" t="s">
        <v>135</v>
      </c>
      <c r="N12" s="89" t="s">
        <v>39</v>
      </c>
      <c r="O12" s="89" t="s">
        <v>135</v>
      </c>
      <c r="P12" s="90" t="s">
        <v>137</v>
      </c>
      <c r="Q12" s="91"/>
      <c r="R12" s="72"/>
      <c r="S12" s="92" t="s">
        <v>39</v>
      </c>
      <c r="T12" s="92" t="s">
        <v>135</v>
      </c>
      <c r="U12" s="117" t="s">
        <v>138</v>
      </c>
      <c r="V12" s="93"/>
      <c r="W12" s="92" t="s">
        <v>139</v>
      </c>
      <c r="X12" s="77" t="s">
        <v>33</v>
      </c>
      <c r="Y12" s="77"/>
    </row>
    <row r="13">
      <c r="A13" s="79">
        <f t="shared" si="1"/>
        <v>11</v>
      </c>
      <c r="B13" s="102"/>
      <c r="C13" s="81" t="s">
        <v>140</v>
      </c>
      <c r="D13" s="82"/>
      <c r="E13" s="83" t="s">
        <v>136</v>
      </c>
      <c r="F13" s="84" t="s">
        <v>64</v>
      </c>
      <c r="G13" s="83" t="s">
        <v>136</v>
      </c>
      <c r="H13" s="85"/>
      <c r="I13" s="86"/>
      <c r="J13" s="72"/>
      <c r="K13" s="103">
        <v>11.0</v>
      </c>
      <c r="L13" s="104" t="s">
        <v>131</v>
      </c>
      <c r="M13" s="104" t="s">
        <v>140</v>
      </c>
      <c r="N13" s="105" t="s">
        <v>39</v>
      </c>
      <c r="O13" s="105" t="s">
        <v>140</v>
      </c>
      <c r="P13" s="106" t="s">
        <v>109</v>
      </c>
      <c r="Q13" s="91"/>
      <c r="R13" s="72"/>
      <c r="S13" s="92" t="s">
        <v>39</v>
      </c>
      <c r="T13" s="92" t="s">
        <v>140</v>
      </c>
      <c r="U13" s="94" t="s">
        <v>96</v>
      </c>
      <c r="V13" s="95" t="s">
        <v>141</v>
      </c>
      <c r="W13" s="92" t="s">
        <v>104</v>
      </c>
      <c r="X13" s="72"/>
    </row>
    <row r="14">
      <c r="A14" s="79">
        <f t="shared" si="1"/>
        <v>12</v>
      </c>
      <c r="B14" s="102"/>
      <c r="C14" s="97" t="s">
        <v>142</v>
      </c>
      <c r="D14" s="82"/>
      <c r="E14" s="83" t="s">
        <v>136</v>
      </c>
      <c r="F14" s="84" t="s">
        <v>64</v>
      </c>
      <c r="G14" s="83" t="s">
        <v>136</v>
      </c>
      <c r="H14" s="85"/>
      <c r="I14" s="86"/>
      <c r="J14" s="72"/>
      <c r="K14" s="112">
        <v>12.0</v>
      </c>
      <c r="L14" s="113" t="s">
        <v>131</v>
      </c>
      <c r="M14" s="113" t="s">
        <v>143</v>
      </c>
      <c r="N14" s="114" t="s">
        <v>39</v>
      </c>
      <c r="O14" s="114" t="s">
        <v>142</v>
      </c>
      <c r="P14" s="115" t="s">
        <v>144</v>
      </c>
      <c r="Q14" s="91"/>
      <c r="R14" s="72"/>
      <c r="S14" s="92" t="s">
        <v>39</v>
      </c>
      <c r="T14" s="92" t="s">
        <v>142</v>
      </c>
      <c r="U14" s="94" t="s">
        <v>96</v>
      </c>
      <c r="V14" s="95" t="s">
        <v>145</v>
      </c>
      <c r="W14" s="92" t="s">
        <v>104</v>
      </c>
      <c r="X14" s="72"/>
    </row>
    <row r="15">
      <c r="A15" s="79">
        <f t="shared" si="1"/>
        <v>13</v>
      </c>
      <c r="B15" s="74"/>
      <c r="C15" s="118" t="s">
        <v>146</v>
      </c>
      <c r="D15" s="119"/>
      <c r="E15" s="120" t="s">
        <v>136</v>
      </c>
      <c r="F15" s="121" t="s">
        <v>92</v>
      </c>
      <c r="G15" s="120" t="s">
        <v>136</v>
      </c>
      <c r="H15" s="122"/>
      <c r="I15" s="123" t="s">
        <v>147</v>
      </c>
      <c r="J15" s="72"/>
      <c r="K15" s="98">
        <v>13.0</v>
      </c>
      <c r="L15" s="99" t="s">
        <v>131</v>
      </c>
      <c r="M15" s="99" t="s">
        <v>122</v>
      </c>
      <c r="N15" s="100" t="s">
        <v>39</v>
      </c>
      <c r="O15" s="100" t="s">
        <v>146</v>
      </c>
      <c r="P15" s="101" t="s">
        <v>148</v>
      </c>
      <c r="Q15" s="91"/>
      <c r="R15" s="72"/>
      <c r="S15" s="92" t="s">
        <v>39</v>
      </c>
      <c r="T15" s="92" t="s">
        <v>146</v>
      </c>
      <c r="U15" s="94" t="s">
        <v>96</v>
      </c>
      <c r="V15" s="95" t="s">
        <v>149</v>
      </c>
      <c r="W15" s="92" t="s">
        <v>104</v>
      </c>
      <c r="X15" s="72"/>
    </row>
    <row r="16">
      <c r="A16" s="79">
        <f t="shared" si="1"/>
        <v>14</v>
      </c>
      <c r="B16" s="116" t="s">
        <v>40</v>
      </c>
      <c r="C16" s="81" t="s">
        <v>150</v>
      </c>
      <c r="D16" s="82"/>
      <c r="E16" s="83" t="s">
        <v>136</v>
      </c>
      <c r="F16" s="84" t="s">
        <v>64</v>
      </c>
      <c r="G16" s="83" t="s">
        <v>136</v>
      </c>
      <c r="H16" s="85"/>
      <c r="I16" s="86"/>
      <c r="J16" s="72"/>
      <c r="K16" s="112">
        <v>14.0</v>
      </c>
      <c r="L16" s="113" t="s">
        <v>121</v>
      </c>
      <c r="M16" s="113" t="s">
        <v>151</v>
      </c>
      <c r="N16" s="114" t="s">
        <v>40</v>
      </c>
      <c r="O16" s="114" t="s">
        <v>150</v>
      </c>
      <c r="P16" s="115" t="s">
        <v>152</v>
      </c>
      <c r="Q16" s="91"/>
      <c r="R16" s="72"/>
      <c r="S16" s="92" t="s">
        <v>40</v>
      </c>
      <c r="T16" s="92" t="s">
        <v>150</v>
      </c>
      <c r="U16" s="94" t="s">
        <v>96</v>
      </c>
      <c r="V16" s="95" t="s">
        <v>153</v>
      </c>
      <c r="W16" s="92" t="s">
        <v>104</v>
      </c>
      <c r="X16" s="72"/>
    </row>
    <row r="17">
      <c r="A17" s="79">
        <f t="shared" si="1"/>
        <v>15</v>
      </c>
      <c r="B17" s="102"/>
      <c r="C17" s="97" t="s">
        <v>154</v>
      </c>
      <c r="D17" s="82"/>
      <c r="E17" s="83" t="s">
        <v>136</v>
      </c>
      <c r="F17" s="84" t="s">
        <v>64</v>
      </c>
      <c r="G17" s="83" t="s">
        <v>136</v>
      </c>
      <c r="H17" s="85"/>
      <c r="I17" s="86"/>
      <c r="J17" s="72"/>
      <c r="K17" s="112">
        <v>15.0</v>
      </c>
      <c r="L17" s="113" t="s">
        <v>121</v>
      </c>
      <c r="M17" s="113" t="s">
        <v>155</v>
      </c>
      <c r="N17" s="114" t="s">
        <v>40</v>
      </c>
      <c r="O17" s="114" t="s">
        <v>154</v>
      </c>
      <c r="P17" s="115" t="s">
        <v>156</v>
      </c>
      <c r="Q17" s="91"/>
      <c r="R17" s="72"/>
      <c r="S17" s="92" t="s">
        <v>40</v>
      </c>
      <c r="T17" s="92" t="s">
        <v>154</v>
      </c>
      <c r="U17" s="94" t="s">
        <v>96</v>
      </c>
      <c r="V17" s="95" t="s">
        <v>157</v>
      </c>
      <c r="W17" s="92" t="s">
        <v>104</v>
      </c>
      <c r="X17" s="72"/>
    </row>
    <row r="18">
      <c r="A18" s="79">
        <f t="shared" si="1"/>
        <v>16</v>
      </c>
      <c r="B18" s="74"/>
      <c r="C18" s="97" t="s">
        <v>158</v>
      </c>
      <c r="D18" s="82"/>
      <c r="E18" s="83" t="s">
        <v>136</v>
      </c>
      <c r="F18" s="84" t="s">
        <v>64</v>
      </c>
      <c r="G18" s="83" t="s">
        <v>136</v>
      </c>
      <c r="H18" s="85"/>
      <c r="I18" s="86"/>
      <c r="J18" s="72"/>
      <c r="K18" s="112">
        <v>16.0</v>
      </c>
      <c r="L18" s="113" t="s">
        <v>121</v>
      </c>
      <c r="M18" s="113" t="s">
        <v>159</v>
      </c>
      <c r="N18" s="114" t="s">
        <v>40</v>
      </c>
      <c r="O18" s="114" t="s">
        <v>158</v>
      </c>
      <c r="P18" s="115" t="s">
        <v>160</v>
      </c>
      <c r="Q18" s="91"/>
      <c r="R18" s="72"/>
      <c r="S18" s="92" t="s">
        <v>40</v>
      </c>
      <c r="T18" s="92" t="s">
        <v>158</v>
      </c>
      <c r="U18" s="94" t="s">
        <v>96</v>
      </c>
      <c r="V18" s="95" t="s">
        <v>161</v>
      </c>
      <c r="W18" s="92" t="s">
        <v>104</v>
      </c>
      <c r="X18" s="72"/>
    </row>
    <row r="19">
      <c r="A19" s="79">
        <f t="shared" si="1"/>
        <v>17</v>
      </c>
      <c r="B19" s="124" t="s">
        <v>41</v>
      </c>
      <c r="C19" s="81" t="s">
        <v>162</v>
      </c>
      <c r="D19" s="82"/>
      <c r="E19" s="83" t="s">
        <v>163</v>
      </c>
      <c r="F19" s="84" t="s">
        <v>64</v>
      </c>
      <c r="G19" s="83" t="s">
        <v>163</v>
      </c>
      <c r="H19" s="85"/>
      <c r="I19" s="86"/>
      <c r="J19" s="72"/>
      <c r="K19" s="112">
        <v>17.0</v>
      </c>
      <c r="L19" s="113" t="s">
        <v>131</v>
      </c>
      <c r="M19" s="113" t="s">
        <v>164</v>
      </c>
      <c r="N19" s="114" t="s">
        <v>41</v>
      </c>
      <c r="O19" s="114" t="s">
        <v>162</v>
      </c>
      <c r="P19" s="115" t="s">
        <v>165</v>
      </c>
      <c r="Q19" s="91"/>
      <c r="R19" s="72"/>
      <c r="S19" s="92" t="s">
        <v>41</v>
      </c>
      <c r="T19" s="92" t="s">
        <v>162</v>
      </c>
      <c r="U19" s="117" t="s">
        <v>138</v>
      </c>
      <c r="V19" s="93"/>
      <c r="W19" s="92" t="s">
        <v>139</v>
      </c>
      <c r="X19" s="78" t="s">
        <v>164</v>
      </c>
      <c r="Y19" s="78" t="s">
        <v>162</v>
      </c>
    </row>
    <row r="20">
      <c r="A20" s="79">
        <f t="shared" si="1"/>
        <v>18</v>
      </c>
      <c r="B20" s="102"/>
      <c r="C20" s="81" t="s">
        <v>166</v>
      </c>
      <c r="D20" s="82"/>
      <c r="E20" s="83" t="s">
        <v>163</v>
      </c>
      <c r="F20" s="84" t="s">
        <v>64</v>
      </c>
      <c r="G20" s="83" t="s">
        <v>163</v>
      </c>
      <c r="H20" s="85"/>
      <c r="I20" s="86"/>
      <c r="J20" s="72"/>
      <c r="K20" s="98">
        <v>18.0</v>
      </c>
      <c r="L20" s="99" t="s">
        <v>122</v>
      </c>
      <c r="M20" s="99" t="s">
        <v>122</v>
      </c>
      <c r="N20" s="100" t="s">
        <v>41</v>
      </c>
      <c r="O20" s="100" t="s">
        <v>166</v>
      </c>
      <c r="P20" s="101" t="s">
        <v>148</v>
      </c>
      <c r="Q20" s="91"/>
      <c r="R20" s="72"/>
      <c r="S20" s="92" t="s">
        <v>41</v>
      </c>
      <c r="T20" s="92" t="s">
        <v>166</v>
      </c>
      <c r="U20" s="94" t="s">
        <v>96</v>
      </c>
      <c r="V20" s="95" t="s">
        <v>167</v>
      </c>
      <c r="W20" s="92" t="s">
        <v>104</v>
      </c>
      <c r="X20" s="72"/>
    </row>
    <row r="21">
      <c r="A21" s="79">
        <f t="shared" si="1"/>
        <v>19</v>
      </c>
      <c r="B21" s="102"/>
      <c r="C21" s="81" t="s">
        <v>168</v>
      </c>
      <c r="D21" s="82"/>
      <c r="E21" s="83" t="s">
        <v>163</v>
      </c>
      <c r="F21" s="84" t="s">
        <v>64</v>
      </c>
      <c r="G21" s="83" t="s">
        <v>163</v>
      </c>
      <c r="H21" s="85"/>
      <c r="I21" s="86"/>
      <c r="J21" s="72"/>
      <c r="K21" s="98">
        <v>19.0</v>
      </c>
      <c r="L21" s="99" t="s">
        <v>122</v>
      </c>
      <c r="M21" s="99" t="s">
        <v>122</v>
      </c>
      <c r="N21" s="100" t="s">
        <v>41</v>
      </c>
      <c r="O21" s="100" t="s">
        <v>168</v>
      </c>
      <c r="P21" s="101" t="s">
        <v>148</v>
      </c>
      <c r="Q21" s="91"/>
      <c r="R21" s="72"/>
      <c r="S21" s="92" t="s">
        <v>41</v>
      </c>
      <c r="T21" s="92" t="s">
        <v>168</v>
      </c>
      <c r="U21" s="94" t="s">
        <v>96</v>
      </c>
      <c r="V21" s="95" t="s">
        <v>169</v>
      </c>
      <c r="W21" s="92" t="s">
        <v>104</v>
      </c>
      <c r="X21" s="72"/>
    </row>
    <row r="22">
      <c r="A22" s="79">
        <f t="shared" si="1"/>
        <v>20</v>
      </c>
      <c r="B22" s="74"/>
      <c r="C22" s="81" t="s">
        <v>170</v>
      </c>
      <c r="D22" s="82"/>
      <c r="E22" s="83" t="s">
        <v>163</v>
      </c>
      <c r="F22" s="84" t="s">
        <v>4</v>
      </c>
      <c r="G22" s="83" t="s">
        <v>163</v>
      </c>
      <c r="H22" s="85"/>
      <c r="I22" s="86"/>
      <c r="J22" s="72"/>
      <c r="K22" s="98">
        <v>20.0</v>
      </c>
      <c r="L22" s="99" t="s">
        <v>122</v>
      </c>
      <c r="M22" s="99" t="s">
        <v>122</v>
      </c>
      <c r="N22" s="100" t="s">
        <v>41</v>
      </c>
      <c r="O22" s="100" t="s">
        <v>170</v>
      </c>
      <c r="P22" s="101" t="s">
        <v>148</v>
      </c>
      <c r="Q22" s="91"/>
      <c r="R22" s="72"/>
      <c r="S22" s="92" t="s">
        <v>41</v>
      </c>
      <c r="T22" s="92" t="s">
        <v>170</v>
      </c>
      <c r="U22" s="94" t="s">
        <v>96</v>
      </c>
      <c r="V22" s="95" t="s">
        <v>171</v>
      </c>
      <c r="W22" s="92" t="s">
        <v>104</v>
      </c>
      <c r="X22" s="72"/>
    </row>
    <row r="23">
      <c r="A23" s="79">
        <f t="shared" si="1"/>
        <v>21</v>
      </c>
      <c r="B23" s="125" t="s">
        <v>42</v>
      </c>
      <c r="C23" s="97" t="s">
        <v>172</v>
      </c>
      <c r="D23" s="82"/>
      <c r="E23" s="83" t="s">
        <v>163</v>
      </c>
      <c r="F23" s="84" t="s">
        <v>64</v>
      </c>
      <c r="G23" s="83" t="s">
        <v>163</v>
      </c>
      <c r="H23" s="85"/>
      <c r="I23" s="86"/>
      <c r="J23" s="72"/>
      <c r="K23" s="112">
        <v>21.0</v>
      </c>
      <c r="L23" s="113" t="s">
        <v>131</v>
      </c>
      <c r="M23" s="113" t="s">
        <v>173</v>
      </c>
      <c r="N23" s="114" t="s">
        <v>42</v>
      </c>
      <c r="O23" s="114" t="s">
        <v>172</v>
      </c>
      <c r="P23" s="115" t="s">
        <v>174</v>
      </c>
      <c r="Q23" s="91"/>
      <c r="R23" s="72"/>
      <c r="S23" s="92" t="s">
        <v>42</v>
      </c>
      <c r="T23" s="92" t="s">
        <v>172</v>
      </c>
      <c r="U23" s="94" t="s">
        <v>96</v>
      </c>
      <c r="V23" s="95" t="s">
        <v>175</v>
      </c>
      <c r="W23" s="92" t="s">
        <v>104</v>
      </c>
      <c r="X23" s="72"/>
    </row>
    <row r="24">
      <c r="A24" s="79">
        <f t="shared" si="1"/>
        <v>22</v>
      </c>
      <c r="B24" s="102"/>
      <c r="C24" s="97" t="s">
        <v>176</v>
      </c>
      <c r="D24" s="82"/>
      <c r="E24" s="83" t="s">
        <v>163</v>
      </c>
      <c r="F24" s="84" t="s">
        <v>64</v>
      </c>
      <c r="G24" s="83" t="s">
        <v>163</v>
      </c>
      <c r="H24" s="85"/>
      <c r="I24" s="86"/>
      <c r="J24" s="72"/>
      <c r="K24" s="112">
        <v>22.0</v>
      </c>
      <c r="L24" s="113" t="s">
        <v>177</v>
      </c>
      <c r="M24" s="113" t="s">
        <v>178</v>
      </c>
      <c r="N24" s="114" t="s">
        <v>42</v>
      </c>
      <c r="O24" s="114" t="s">
        <v>176</v>
      </c>
      <c r="P24" s="115" t="s">
        <v>179</v>
      </c>
      <c r="Q24" s="91"/>
      <c r="R24" s="72"/>
      <c r="S24" s="92" t="s">
        <v>42</v>
      </c>
      <c r="T24" s="92" t="s">
        <v>176</v>
      </c>
      <c r="U24" s="94" t="s">
        <v>96</v>
      </c>
      <c r="V24" s="95" t="s">
        <v>180</v>
      </c>
      <c r="W24" s="92" t="s">
        <v>104</v>
      </c>
      <c r="X24" s="72"/>
    </row>
    <row r="25">
      <c r="A25" s="79">
        <f t="shared" si="1"/>
        <v>23</v>
      </c>
      <c r="B25" s="102"/>
      <c r="C25" s="97" t="s">
        <v>181</v>
      </c>
      <c r="D25" s="82"/>
      <c r="E25" s="83" t="s">
        <v>163</v>
      </c>
      <c r="F25" s="84" t="s">
        <v>64</v>
      </c>
      <c r="G25" s="83" t="s">
        <v>163</v>
      </c>
      <c r="H25" s="85"/>
      <c r="I25" s="86"/>
      <c r="J25" s="72"/>
      <c r="K25" s="112">
        <v>23.0</v>
      </c>
      <c r="L25" s="113" t="s">
        <v>177</v>
      </c>
      <c r="M25" s="113" t="s">
        <v>182</v>
      </c>
      <c r="N25" s="114" t="s">
        <v>42</v>
      </c>
      <c r="O25" s="114" t="s">
        <v>181</v>
      </c>
      <c r="P25" s="115" t="s">
        <v>179</v>
      </c>
      <c r="Q25" s="91"/>
      <c r="R25" s="72"/>
      <c r="S25" s="92" t="s">
        <v>42</v>
      </c>
      <c r="T25" s="92" t="s">
        <v>181</v>
      </c>
      <c r="U25" s="94" t="s">
        <v>96</v>
      </c>
      <c r="V25" s="95" t="s">
        <v>183</v>
      </c>
      <c r="W25" s="92" t="s">
        <v>104</v>
      </c>
      <c r="X25" s="72"/>
    </row>
    <row r="26">
      <c r="A26" s="79">
        <f t="shared" si="1"/>
        <v>24</v>
      </c>
      <c r="B26" s="102"/>
      <c r="C26" s="97" t="s">
        <v>184</v>
      </c>
      <c r="D26" s="82"/>
      <c r="E26" s="83" t="s">
        <v>163</v>
      </c>
      <c r="F26" s="84" t="s">
        <v>64</v>
      </c>
      <c r="G26" s="83" t="s">
        <v>163</v>
      </c>
      <c r="H26" s="85"/>
      <c r="I26" s="86"/>
      <c r="J26" s="72"/>
      <c r="K26" s="112">
        <v>24.0</v>
      </c>
      <c r="L26" s="113" t="s">
        <v>177</v>
      </c>
      <c r="M26" s="113" t="s">
        <v>177</v>
      </c>
      <c r="N26" s="114" t="s">
        <v>42</v>
      </c>
      <c r="O26" s="114" t="s">
        <v>184</v>
      </c>
      <c r="P26" s="115" t="s">
        <v>185</v>
      </c>
      <c r="Q26" s="91"/>
      <c r="R26" s="72"/>
      <c r="S26" s="92" t="s">
        <v>42</v>
      </c>
      <c r="T26" s="92" t="s">
        <v>184</v>
      </c>
      <c r="U26" s="94" t="s">
        <v>96</v>
      </c>
      <c r="V26" s="95" t="s">
        <v>186</v>
      </c>
      <c r="W26" s="92" t="s">
        <v>104</v>
      </c>
      <c r="X26" s="72"/>
    </row>
    <row r="27">
      <c r="A27" s="79">
        <f t="shared" si="1"/>
        <v>25</v>
      </c>
      <c r="B27" s="102"/>
      <c r="C27" s="97" t="s">
        <v>187</v>
      </c>
      <c r="D27" s="82"/>
      <c r="E27" s="83" t="s">
        <v>163</v>
      </c>
      <c r="F27" s="84" t="s">
        <v>64</v>
      </c>
      <c r="G27" s="83" t="s">
        <v>163</v>
      </c>
      <c r="H27" s="85"/>
      <c r="I27" s="86"/>
      <c r="J27" s="72"/>
      <c r="K27" s="112">
        <v>25.0</v>
      </c>
      <c r="L27" s="113" t="s">
        <v>188</v>
      </c>
      <c r="M27" s="113" t="s">
        <v>189</v>
      </c>
      <c r="N27" s="114" t="s">
        <v>42</v>
      </c>
      <c r="O27" s="114" t="s">
        <v>187</v>
      </c>
      <c r="P27" s="115" t="s">
        <v>190</v>
      </c>
      <c r="Q27" s="91"/>
      <c r="R27" s="72"/>
      <c r="S27" s="92" t="s">
        <v>42</v>
      </c>
      <c r="T27" s="92" t="s">
        <v>187</v>
      </c>
      <c r="U27" s="94" t="s">
        <v>96</v>
      </c>
      <c r="V27" s="95" t="s">
        <v>191</v>
      </c>
      <c r="W27" s="92" t="s">
        <v>104</v>
      </c>
      <c r="X27" s="72"/>
    </row>
    <row r="28">
      <c r="A28" s="79">
        <f t="shared" si="1"/>
        <v>26</v>
      </c>
      <c r="B28" s="74"/>
      <c r="C28" s="97" t="s">
        <v>192</v>
      </c>
      <c r="D28" s="82"/>
      <c r="E28" s="83" t="s">
        <v>163</v>
      </c>
      <c r="F28" s="84" t="s">
        <v>64</v>
      </c>
      <c r="G28" s="83" t="s">
        <v>163</v>
      </c>
      <c r="H28" s="85"/>
      <c r="I28" s="86"/>
      <c r="J28" s="72"/>
      <c r="K28" s="112">
        <v>26.0</v>
      </c>
      <c r="L28" s="113" t="s">
        <v>188</v>
      </c>
      <c r="M28" s="113" t="s">
        <v>193</v>
      </c>
      <c r="N28" s="114" t="s">
        <v>42</v>
      </c>
      <c r="O28" s="114" t="s">
        <v>192</v>
      </c>
      <c r="P28" s="115" t="s">
        <v>190</v>
      </c>
      <c r="Q28" s="91"/>
      <c r="R28" s="72"/>
      <c r="S28" s="92" t="s">
        <v>42</v>
      </c>
      <c r="T28" s="92" t="s">
        <v>192</v>
      </c>
      <c r="U28" s="94" t="s">
        <v>96</v>
      </c>
      <c r="V28" s="95" t="s">
        <v>194</v>
      </c>
      <c r="W28" s="92" t="s">
        <v>104</v>
      </c>
      <c r="X28" s="72"/>
    </row>
    <row r="29">
      <c r="A29" s="79">
        <f t="shared" si="1"/>
        <v>27</v>
      </c>
      <c r="B29" s="125" t="s">
        <v>43</v>
      </c>
      <c r="C29" s="97" t="s">
        <v>195</v>
      </c>
      <c r="D29" s="82"/>
      <c r="E29" s="83" t="s">
        <v>163</v>
      </c>
      <c r="F29" s="84" t="s">
        <v>64</v>
      </c>
      <c r="G29" s="83" t="s">
        <v>163</v>
      </c>
      <c r="H29" s="85"/>
      <c r="I29" s="86"/>
      <c r="J29" s="72"/>
      <c r="K29" s="112">
        <v>27.0</v>
      </c>
      <c r="L29" s="113" t="s">
        <v>131</v>
      </c>
      <c r="M29" s="113" t="s">
        <v>196</v>
      </c>
      <c r="N29" s="114" t="s">
        <v>43</v>
      </c>
      <c r="O29" s="114" t="s">
        <v>195</v>
      </c>
      <c r="P29" s="115" t="s">
        <v>197</v>
      </c>
      <c r="Q29" s="91"/>
      <c r="R29" s="72"/>
      <c r="S29" s="92" t="s">
        <v>43</v>
      </c>
      <c r="T29" s="92" t="s">
        <v>195</v>
      </c>
      <c r="U29" s="94" t="s">
        <v>96</v>
      </c>
      <c r="V29" s="95" t="s">
        <v>198</v>
      </c>
      <c r="W29" s="92" t="s">
        <v>104</v>
      </c>
      <c r="X29" s="72"/>
    </row>
    <row r="30">
      <c r="A30" s="79">
        <f t="shared" si="1"/>
        <v>28</v>
      </c>
      <c r="B30" s="102"/>
      <c r="C30" s="97" t="s">
        <v>199</v>
      </c>
      <c r="D30" s="82"/>
      <c r="E30" s="83" t="s">
        <v>163</v>
      </c>
      <c r="F30" s="84" t="s">
        <v>64</v>
      </c>
      <c r="G30" s="83" t="s">
        <v>163</v>
      </c>
      <c r="H30" s="85"/>
      <c r="I30" s="86"/>
      <c r="J30" s="72"/>
      <c r="K30" s="112">
        <v>28.0</v>
      </c>
      <c r="L30" s="113" t="s">
        <v>131</v>
      </c>
      <c r="M30" s="113" t="s">
        <v>199</v>
      </c>
      <c r="N30" s="114" t="s">
        <v>43</v>
      </c>
      <c r="O30" s="114" t="s">
        <v>199</v>
      </c>
      <c r="P30" s="115" t="s">
        <v>200</v>
      </c>
      <c r="Q30" s="91"/>
      <c r="R30" s="72"/>
      <c r="S30" s="92" t="s">
        <v>43</v>
      </c>
      <c r="T30" s="92" t="s">
        <v>199</v>
      </c>
      <c r="U30" s="94" t="s">
        <v>96</v>
      </c>
      <c r="V30" s="95" t="s">
        <v>201</v>
      </c>
      <c r="W30" s="92" t="s">
        <v>104</v>
      </c>
      <c r="X30" s="72"/>
    </row>
    <row r="31">
      <c r="A31" s="79">
        <f t="shared" si="1"/>
        <v>29</v>
      </c>
      <c r="B31" s="102"/>
      <c r="C31" s="97" t="s">
        <v>202</v>
      </c>
      <c r="D31" s="82"/>
      <c r="E31" s="83" t="s">
        <v>163</v>
      </c>
      <c r="F31" s="84" t="s">
        <v>64</v>
      </c>
      <c r="G31" s="83" t="s">
        <v>163</v>
      </c>
      <c r="H31" s="85"/>
      <c r="I31" s="86"/>
      <c r="J31" s="72"/>
      <c r="K31" s="112">
        <v>29.0</v>
      </c>
      <c r="L31" s="113" t="s">
        <v>131</v>
      </c>
      <c r="M31" s="113" t="s">
        <v>202</v>
      </c>
      <c r="N31" s="114" t="s">
        <v>43</v>
      </c>
      <c r="O31" s="114" t="s">
        <v>202</v>
      </c>
      <c r="P31" s="115" t="s">
        <v>200</v>
      </c>
      <c r="Q31" s="91"/>
      <c r="R31" s="72"/>
      <c r="S31" s="92" t="s">
        <v>43</v>
      </c>
      <c r="T31" s="92" t="s">
        <v>202</v>
      </c>
      <c r="U31" s="94" t="s">
        <v>96</v>
      </c>
      <c r="V31" s="95" t="s">
        <v>203</v>
      </c>
      <c r="W31" s="92" t="s">
        <v>104</v>
      </c>
      <c r="X31" s="72"/>
    </row>
    <row r="32">
      <c r="A32" s="79">
        <f t="shared" si="1"/>
        <v>30</v>
      </c>
      <c r="B32" s="74"/>
      <c r="C32" s="97" t="s">
        <v>204</v>
      </c>
      <c r="D32" s="82"/>
      <c r="E32" s="83" t="s">
        <v>163</v>
      </c>
      <c r="F32" s="84" t="s">
        <v>64</v>
      </c>
      <c r="G32" s="83" t="s">
        <v>163</v>
      </c>
      <c r="H32" s="85"/>
      <c r="I32" s="86"/>
      <c r="J32" s="72"/>
      <c r="K32" s="112">
        <v>30.0</v>
      </c>
      <c r="L32" s="113" t="s">
        <v>131</v>
      </c>
      <c r="M32" s="113" t="s">
        <v>204</v>
      </c>
      <c r="N32" s="114" t="s">
        <v>43</v>
      </c>
      <c r="O32" s="114" t="s">
        <v>204</v>
      </c>
      <c r="P32" s="115" t="s">
        <v>200</v>
      </c>
      <c r="Q32" s="91"/>
      <c r="R32" s="72"/>
      <c r="S32" s="92" t="s">
        <v>43</v>
      </c>
      <c r="T32" s="92" t="s">
        <v>204</v>
      </c>
      <c r="U32" s="94" t="s">
        <v>96</v>
      </c>
      <c r="V32" s="95" t="s">
        <v>205</v>
      </c>
      <c r="W32" s="92" t="s">
        <v>104</v>
      </c>
      <c r="X32" s="72"/>
    </row>
    <row r="33">
      <c r="A33" s="79">
        <f t="shared" si="1"/>
        <v>31</v>
      </c>
      <c r="B33" s="116" t="s">
        <v>44</v>
      </c>
      <c r="C33" s="97" t="s">
        <v>206</v>
      </c>
      <c r="D33" s="82"/>
      <c r="E33" s="83" t="s">
        <v>136</v>
      </c>
      <c r="F33" s="84" t="s">
        <v>64</v>
      </c>
      <c r="G33" s="83" t="s">
        <v>136</v>
      </c>
      <c r="H33" s="110"/>
      <c r="I33" s="111"/>
      <c r="J33" s="72"/>
      <c r="K33" s="87">
        <v>31.0</v>
      </c>
      <c r="L33" s="88" t="s">
        <v>207</v>
      </c>
      <c r="M33" s="88" t="s">
        <v>208</v>
      </c>
      <c r="N33" s="89" t="s">
        <v>44</v>
      </c>
      <c r="O33" s="89" t="s">
        <v>206</v>
      </c>
      <c r="P33" s="90" t="s">
        <v>209</v>
      </c>
      <c r="Q33" s="91"/>
      <c r="R33" s="72"/>
      <c r="S33" s="92" t="s">
        <v>44</v>
      </c>
      <c r="T33" s="92" t="s">
        <v>206</v>
      </c>
      <c r="U33" s="117" t="s">
        <v>138</v>
      </c>
      <c r="V33" s="93"/>
      <c r="W33" s="92" t="s">
        <v>139</v>
      </c>
      <c r="X33" s="77" t="s">
        <v>207</v>
      </c>
      <c r="Y33" s="78" t="s">
        <v>44</v>
      </c>
    </row>
    <row r="34">
      <c r="A34" s="79">
        <f t="shared" si="1"/>
        <v>32</v>
      </c>
      <c r="B34" s="102"/>
      <c r="C34" s="97" t="s">
        <v>210</v>
      </c>
      <c r="D34" s="82"/>
      <c r="E34" s="83" t="s">
        <v>136</v>
      </c>
      <c r="F34" s="84" t="s">
        <v>64</v>
      </c>
      <c r="G34" s="83" t="s">
        <v>136</v>
      </c>
      <c r="H34" s="85"/>
      <c r="I34" s="86"/>
      <c r="J34" s="72"/>
      <c r="K34" s="87">
        <v>32.0</v>
      </c>
      <c r="L34" s="88" t="s">
        <v>207</v>
      </c>
      <c r="M34" s="88" t="s">
        <v>211</v>
      </c>
      <c r="N34" s="89" t="s">
        <v>44</v>
      </c>
      <c r="O34" s="89" t="s">
        <v>210</v>
      </c>
      <c r="P34" s="90" t="s">
        <v>212</v>
      </c>
      <c r="Q34" s="91"/>
      <c r="R34" s="72"/>
      <c r="S34" s="92" t="s">
        <v>44</v>
      </c>
      <c r="T34" s="92" t="s">
        <v>210</v>
      </c>
      <c r="U34" s="117" t="s">
        <v>138</v>
      </c>
      <c r="V34" s="93"/>
      <c r="W34" s="92" t="s">
        <v>139</v>
      </c>
      <c r="X34" s="77" t="s">
        <v>213</v>
      </c>
      <c r="Y34" s="78" t="s">
        <v>210</v>
      </c>
    </row>
    <row r="35">
      <c r="A35" s="79">
        <f t="shared" si="1"/>
        <v>33</v>
      </c>
      <c r="B35" s="74"/>
      <c r="C35" s="97" t="s">
        <v>214</v>
      </c>
      <c r="D35" s="82"/>
      <c r="E35" s="83" t="s">
        <v>136</v>
      </c>
      <c r="F35" s="84" t="s">
        <v>64</v>
      </c>
      <c r="G35" s="83" t="s">
        <v>136</v>
      </c>
      <c r="H35" s="85"/>
      <c r="I35" s="86"/>
      <c r="J35" s="72"/>
      <c r="K35" s="103">
        <v>33.0</v>
      </c>
      <c r="L35" s="104" t="s">
        <v>207</v>
      </c>
      <c r="M35" s="104" t="s">
        <v>215</v>
      </c>
      <c r="N35" s="105" t="s">
        <v>44</v>
      </c>
      <c r="O35" s="105" t="s">
        <v>214</v>
      </c>
      <c r="P35" s="106" t="s">
        <v>109</v>
      </c>
      <c r="Q35" s="91"/>
      <c r="R35" s="72"/>
      <c r="S35" s="92" t="s">
        <v>44</v>
      </c>
      <c r="T35" s="92" t="s">
        <v>214</v>
      </c>
      <c r="U35" s="94" t="s">
        <v>96</v>
      </c>
      <c r="V35" s="95" t="s">
        <v>216</v>
      </c>
      <c r="W35" s="92" t="s">
        <v>104</v>
      </c>
      <c r="X35" s="77" t="s">
        <v>217</v>
      </c>
      <c r="Y35" s="78" t="s">
        <v>214</v>
      </c>
    </row>
    <row r="36">
      <c r="A36" s="79">
        <f t="shared" si="1"/>
        <v>34</v>
      </c>
      <c r="B36" s="126" t="s">
        <v>45</v>
      </c>
      <c r="C36" s="81" t="s">
        <v>218</v>
      </c>
      <c r="D36" s="82"/>
      <c r="E36" s="83" t="s">
        <v>136</v>
      </c>
      <c r="F36" s="84" t="s">
        <v>64</v>
      </c>
      <c r="G36" s="83" t="s">
        <v>136</v>
      </c>
      <c r="H36" s="85"/>
      <c r="I36" s="86"/>
      <c r="J36" s="72"/>
      <c r="K36" s="103">
        <v>34.0</v>
      </c>
      <c r="L36" s="104" t="s">
        <v>45</v>
      </c>
      <c r="M36" s="104" t="s">
        <v>218</v>
      </c>
      <c r="N36" s="105" t="s">
        <v>45</v>
      </c>
      <c r="O36" s="105" t="s">
        <v>218</v>
      </c>
      <c r="P36" s="106" t="s">
        <v>219</v>
      </c>
      <c r="Q36" s="91"/>
      <c r="R36" s="72"/>
      <c r="S36" s="92" t="s">
        <v>45</v>
      </c>
      <c r="T36" s="92" t="s">
        <v>218</v>
      </c>
      <c r="U36" s="117" t="s">
        <v>138</v>
      </c>
      <c r="V36" s="93"/>
      <c r="W36" s="92" t="s">
        <v>220</v>
      </c>
      <c r="X36" s="77"/>
    </row>
    <row r="37">
      <c r="A37" s="79">
        <f t="shared" si="1"/>
        <v>35</v>
      </c>
      <c r="B37" s="102"/>
      <c r="C37" s="81" t="s">
        <v>221</v>
      </c>
      <c r="D37" s="82"/>
      <c r="E37" s="83" t="s">
        <v>136</v>
      </c>
      <c r="F37" s="84" t="s">
        <v>64</v>
      </c>
      <c r="G37" s="83" t="s">
        <v>136</v>
      </c>
      <c r="H37" s="85"/>
      <c r="I37" s="86"/>
      <c r="J37" s="72"/>
      <c r="K37" s="103">
        <v>35.0</v>
      </c>
      <c r="L37" s="104" t="s">
        <v>45</v>
      </c>
      <c r="M37" s="104" t="s">
        <v>221</v>
      </c>
      <c r="N37" s="105" t="s">
        <v>45</v>
      </c>
      <c r="O37" s="105" t="s">
        <v>221</v>
      </c>
      <c r="P37" s="106" t="s">
        <v>109</v>
      </c>
      <c r="Q37" s="91"/>
      <c r="R37" s="72"/>
      <c r="S37" s="92" t="s">
        <v>45</v>
      </c>
      <c r="T37" s="92" t="s">
        <v>221</v>
      </c>
      <c r="U37" s="117" t="s">
        <v>138</v>
      </c>
      <c r="V37" s="93"/>
      <c r="W37" s="92" t="s">
        <v>220</v>
      </c>
      <c r="X37" s="72"/>
    </row>
    <row r="38">
      <c r="A38" s="79">
        <f t="shared" si="1"/>
        <v>36</v>
      </c>
      <c r="B38" s="102"/>
      <c r="C38" s="81" t="s">
        <v>222</v>
      </c>
      <c r="D38" s="82"/>
      <c r="E38" s="83" t="s">
        <v>136</v>
      </c>
      <c r="F38" s="84" t="s">
        <v>64</v>
      </c>
      <c r="G38" s="83" t="s">
        <v>136</v>
      </c>
      <c r="H38" s="85"/>
      <c r="I38" s="86"/>
      <c r="J38" s="72"/>
      <c r="K38" s="87">
        <v>36.0</v>
      </c>
      <c r="L38" s="88" t="s">
        <v>45</v>
      </c>
      <c r="M38" s="88" t="s">
        <v>223</v>
      </c>
      <c r="N38" s="89" t="s">
        <v>45</v>
      </c>
      <c r="O38" s="89" t="s">
        <v>222</v>
      </c>
      <c r="P38" s="90" t="s">
        <v>224</v>
      </c>
      <c r="Q38" s="91"/>
      <c r="R38" s="72"/>
      <c r="S38" s="92" t="s">
        <v>45</v>
      </c>
      <c r="T38" s="92" t="s">
        <v>222</v>
      </c>
      <c r="U38" s="117" t="s">
        <v>138</v>
      </c>
      <c r="V38" s="93"/>
      <c r="W38" s="92" t="s">
        <v>220</v>
      </c>
      <c r="X38" s="72"/>
    </row>
    <row r="39">
      <c r="A39" s="79">
        <f t="shared" si="1"/>
        <v>37</v>
      </c>
      <c r="B39" s="74"/>
      <c r="C39" s="81" t="s">
        <v>225</v>
      </c>
      <c r="D39" s="82"/>
      <c r="E39" s="83" t="s">
        <v>136</v>
      </c>
      <c r="F39" s="84" t="s">
        <v>64</v>
      </c>
      <c r="G39" s="83" t="s">
        <v>136</v>
      </c>
      <c r="H39" s="85"/>
      <c r="I39" s="86"/>
      <c r="J39" s="72"/>
      <c r="K39" s="103">
        <v>37.0</v>
      </c>
      <c r="L39" s="104" t="s">
        <v>45</v>
      </c>
      <c r="M39" s="104" t="s">
        <v>226</v>
      </c>
      <c r="N39" s="105" t="s">
        <v>45</v>
      </c>
      <c r="O39" s="105" t="s">
        <v>225</v>
      </c>
      <c r="P39" s="106" t="s">
        <v>109</v>
      </c>
      <c r="Q39" s="91"/>
      <c r="R39" s="72"/>
      <c r="S39" s="92" t="s">
        <v>45</v>
      </c>
      <c r="T39" s="92" t="s">
        <v>225</v>
      </c>
      <c r="U39" s="117" t="s">
        <v>138</v>
      </c>
      <c r="V39" s="93"/>
      <c r="W39" s="92" t="s">
        <v>220</v>
      </c>
      <c r="X39" s="72"/>
    </row>
    <row r="40">
      <c r="A40" s="79">
        <f t="shared" si="1"/>
        <v>38</v>
      </c>
      <c r="B40" s="127" t="s">
        <v>46</v>
      </c>
      <c r="C40" s="81" t="s">
        <v>227</v>
      </c>
      <c r="D40" s="82"/>
      <c r="E40" s="83" t="s">
        <v>228</v>
      </c>
      <c r="F40" s="84" t="s">
        <v>64</v>
      </c>
      <c r="G40" s="83" t="s">
        <v>228</v>
      </c>
      <c r="H40" s="85"/>
      <c r="I40" s="86"/>
      <c r="J40" s="72"/>
      <c r="K40" s="112">
        <v>38.0</v>
      </c>
      <c r="L40" s="113" t="s">
        <v>99</v>
      </c>
      <c r="M40" s="113" t="s">
        <v>229</v>
      </c>
      <c r="N40" s="114" t="s">
        <v>46</v>
      </c>
      <c r="O40" s="114" t="s">
        <v>227</v>
      </c>
      <c r="P40" s="115" t="s">
        <v>230</v>
      </c>
      <c r="Q40" s="91"/>
      <c r="R40" s="72"/>
      <c r="S40" s="92" t="s">
        <v>46</v>
      </c>
      <c r="T40" s="92" t="s">
        <v>227</v>
      </c>
      <c r="U40" s="94" t="s">
        <v>96</v>
      </c>
      <c r="V40" s="95" t="s">
        <v>231</v>
      </c>
      <c r="W40" s="92" t="s">
        <v>104</v>
      </c>
      <c r="X40" s="72"/>
    </row>
    <row r="41">
      <c r="A41" s="79">
        <f t="shared" si="1"/>
        <v>39</v>
      </c>
      <c r="B41" s="74"/>
      <c r="C41" s="97" t="s">
        <v>232</v>
      </c>
      <c r="D41" s="82"/>
      <c r="E41" s="83" t="s">
        <v>228</v>
      </c>
      <c r="F41" s="84" t="s">
        <v>64</v>
      </c>
      <c r="G41" s="83" t="s">
        <v>228</v>
      </c>
      <c r="H41" s="85"/>
      <c r="I41" s="86"/>
      <c r="J41" s="72"/>
      <c r="K41" s="98">
        <v>39.0</v>
      </c>
      <c r="L41" s="99" t="s">
        <v>122</v>
      </c>
      <c r="M41" s="99" t="s">
        <v>122</v>
      </c>
      <c r="N41" s="100" t="s">
        <v>46</v>
      </c>
      <c r="O41" s="100" t="s">
        <v>232</v>
      </c>
      <c r="P41" s="101" t="s">
        <v>148</v>
      </c>
      <c r="Q41" s="91"/>
      <c r="R41" s="72"/>
      <c r="S41" s="92" t="s">
        <v>46</v>
      </c>
      <c r="T41" s="92" t="s">
        <v>232</v>
      </c>
      <c r="U41" s="94" t="s">
        <v>96</v>
      </c>
      <c r="V41" s="95" t="s">
        <v>233</v>
      </c>
      <c r="W41" s="92" t="s">
        <v>104</v>
      </c>
      <c r="X41" s="72"/>
    </row>
    <row r="42">
      <c r="A42" s="79">
        <f t="shared" si="1"/>
        <v>40</v>
      </c>
      <c r="B42" s="128" t="s">
        <v>47</v>
      </c>
      <c r="C42" s="97" t="s">
        <v>234</v>
      </c>
      <c r="D42" s="82"/>
      <c r="E42" s="83" t="s">
        <v>228</v>
      </c>
      <c r="F42" s="84" t="s">
        <v>64</v>
      </c>
      <c r="G42" s="83" t="s">
        <v>228</v>
      </c>
      <c r="H42" s="85"/>
      <c r="I42" s="86"/>
      <c r="J42" s="72"/>
      <c r="K42" s="87">
        <v>40.0</v>
      </c>
      <c r="L42" s="88" t="s">
        <v>235</v>
      </c>
      <c r="M42" s="88" t="s">
        <v>234</v>
      </c>
      <c r="N42" s="89" t="s">
        <v>47</v>
      </c>
      <c r="O42" s="89" t="s">
        <v>234</v>
      </c>
      <c r="P42" s="90" t="s">
        <v>236</v>
      </c>
      <c r="Q42" s="91"/>
      <c r="R42" s="72"/>
      <c r="S42" s="92" t="s">
        <v>47</v>
      </c>
      <c r="T42" s="92" t="s">
        <v>234</v>
      </c>
      <c r="U42" s="117" t="s">
        <v>138</v>
      </c>
      <c r="V42" s="93"/>
      <c r="W42" s="92" t="s">
        <v>220</v>
      </c>
      <c r="X42" s="77" t="s">
        <v>237</v>
      </c>
      <c r="Y42" s="78" t="s">
        <v>238</v>
      </c>
    </row>
    <row r="43">
      <c r="A43" s="79">
        <f t="shared" si="1"/>
        <v>41</v>
      </c>
      <c r="B43" s="102"/>
      <c r="C43" s="81" t="s">
        <v>239</v>
      </c>
      <c r="D43" s="82"/>
      <c r="E43" s="83" t="s">
        <v>228</v>
      </c>
      <c r="F43" s="84" t="s">
        <v>64</v>
      </c>
      <c r="G43" s="83" t="s">
        <v>228</v>
      </c>
      <c r="H43" s="85"/>
      <c r="I43" s="86"/>
      <c r="J43" s="72"/>
      <c r="K43" s="103">
        <v>41.0</v>
      </c>
      <c r="L43" s="104" t="s">
        <v>235</v>
      </c>
      <c r="M43" s="104" t="s">
        <v>240</v>
      </c>
      <c r="N43" s="105" t="s">
        <v>47</v>
      </c>
      <c r="O43" s="105" t="s">
        <v>239</v>
      </c>
      <c r="P43" s="106" t="s">
        <v>241</v>
      </c>
      <c r="Q43" s="91"/>
      <c r="R43" s="72"/>
      <c r="S43" s="92" t="s">
        <v>47</v>
      </c>
      <c r="T43" s="92" t="s">
        <v>239</v>
      </c>
      <c r="U43" s="117" t="s">
        <v>138</v>
      </c>
      <c r="V43" s="93"/>
      <c r="W43" s="92" t="s">
        <v>220</v>
      </c>
      <c r="X43" s="72"/>
    </row>
    <row r="44">
      <c r="A44" s="79">
        <f t="shared" si="1"/>
        <v>42</v>
      </c>
      <c r="B44" s="102"/>
      <c r="C44" s="129" t="s">
        <v>242</v>
      </c>
      <c r="D44" s="82"/>
      <c r="E44" s="83" t="s">
        <v>228</v>
      </c>
      <c r="F44" s="84" t="s">
        <v>64</v>
      </c>
      <c r="G44" s="83" t="s">
        <v>228</v>
      </c>
      <c r="H44" s="85"/>
      <c r="I44" s="86"/>
      <c r="J44" s="72"/>
      <c r="K44" s="98">
        <v>42.0</v>
      </c>
      <c r="L44" s="99" t="s">
        <v>235</v>
      </c>
      <c r="M44" s="99" t="s">
        <v>243</v>
      </c>
      <c r="N44" s="100" t="s">
        <v>47</v>
      </c>
      <c r="O44" s="100" t="s">
        <v>242</v>
      </c>
      <c r="P44" s="101" t="s">
        <v>244</v>
      </c>
      <c r="Q44" s="91"/>
      <c r="R44" s="72"/>
      <c r="S44" s="92" t="s">
        <v>47</v>
      </c>
      <c r="T44" s="92" t="s">
        <v>242</v>
      </c>
      <c r="U44" s="117" t="s">
        <v>138</v>
      </c>
      <c r="V44" s="93"/>
      <c r="W44" s="92" t="s">
        <v>220</v>
      </c>
      <c r="X44" s="72"/>
    </row>
    <row r="45">
      <c r="A45" s="79">
        <f t="shared" si="1"/>
        <v>43</v>
      </c>
      <c r="B45" s="102"/>
      <c r="C45" s="129" t="s">
        <v>245</v>
      </c>
      <c r="D45" s="82"/>
      <c r="E45" s="83" t="s">
        <v>228</v>
      </c>
      <c r="F45" s="84" t="s">
        <v>64</v>
      </c>
      <c r="G45" s="83" t="s">
        <v>228</v>
      </c>
      <c r="H45" s="85"/>
      <c r="I45" s="86"/>
      <c r="J45" s="72"/>
      <c r="K45" s="87">
        <v>43.0</v>
      </c>
      <c r="L45" s="88" t="s">
        <v>235</v>
      </c>
      <c r="M45" s="88" t="s">
        <v>246</v>
      </c>
      <c r="N45" s="89" t="s">
        <v>47</v>
      </c>
      <c r="O45" s="89" t="s">
        <v>245</v>
      </c>
      <c r="P45" s="90" t="s">
        <v>247</v>
      </c>
      <c r="Q45" s="91"/>
      <c r="R45" s="72"/>
      <c r="S45" s="92" t="s">
        <v>47</v>
      </c>
      <c r="T45" s="92" t="s">
        <v>245</v>
      </c>
      <c r="U45" s="117" t="s">
        <v>138</v>
      </c>
      <c r="V45" s="93"/>
      <c r="W45" s="92" t="s">
        <v>220</v>
      </c>
      <c r="X45" s="77" t="s">
        <v>245</v>
      </c>
      <c r="Y45" s="130" t="s">
        <v>248</v>
      </c>
    </row>
    <row r="46">
      <c r="A46" s="79">
        <f t="shared" si="1"/>
        <v>44</v>
      </c>
      <c r="B46" s="102"/>
      <c r="C46" s="129" t="s">
        <v>249</v>
      </c>
      <c r="D46" s="82"/>
      <c r="E46" s="83" t="s">
        <v>228</v>
      </c>
      <c r="F46" s="84" t="s">
        <v>64</v>
      </c>
      <c r="G46" s="83" t="s">
        <v>228</v>
      </c>
      <c r="H46" s="85"/>
      <c r="I46" s="86"/>
      <c r="J46" s="72"/>
      <c r="K46" s="98">
        <v>44.0</v>
      </c>
      <c r="L46" s="99" t="s">
        <v>122</v>
      </c>
      <c r="M46" s="99" t="s">
        <v>122</v>
      </c>
      <c r="N46" s="100" t="s">
        <v>47</v>
      </c>
      <c r="O46" s="100" t="s">
        <v>249</v>
      </c>
      <c r="P46" s="101" t="s">
        <v>148</v>
      </c>
      <c r="Q46" s="91"/>
      <c r="R46" s="72"/>
      <c r="S46" s="92" t="s">
        <v>47</v>
      </c>
      <c r="T46" s="131" t="s">
        <v>249</v>
      </c>
      <c r="U46" s="132" t="s">
        <v>138</v>
      </c>
      <c r="V46" s="133"/>
      <c r="W46" s="131" t="s">
        <v>220</v>
      </c>
      <c r="X46" s="72"/>
    </row>
    <row r="47">
      <c r="A47" s="79">
        <f t="shared" si="1"/>
        <v>45</v>
      </c>
      <c r="B47" s="74"/>
      <c r="C47" s="129" t="s">
        <v>250</v>
      </c>
      <c r="D47" s="82"/>
      <c r="E47" s="83" t="s">
        <v>228</v>
      </c>
      <c r="F47" s="84" t="s">
        <v>64</v>
      </c>
      <c r="G47" s="83" t="s">
        <v>228</v>
      </c>
      <c r="H47" s="85"/>
      <c r="I47" s="86"/>
      <c r="J47" s="72"/>
      <c r="K47" s="87">
        <v>45.0</v>
      </c>
      <c r="L47" s="88" t="s">
        <v>235</v>
      </c>
      <c r="M47" s="88" t="s">
        <v>251</v>
      </c>
      <c r="N47" s="89" t="s">
        <v>47</v>
      </c>
      <c r="O47" s="89" t="s">
        <v>250</v>
      </c>
      <c r="P47" s="90" t="s">
        <v>252</v>
      </c>
      <c r="Q47" s="91"/>
      <c r="R47" s="72"/>
      <c r="S47" s="92" t="s">
        <v>47</v>
      </c>
      <c r="T47" s="92" t="s">
        <v>250</v>
      </c>
      <c r="U47" s="117" t="s">
        <v>138</v>
      </c>
      <c r="V47" s="93"/>
      <c r="W47" s="92" t="s">
        <v>220</v>
      </c>
      <c r="X47" s="72"/>
    </row>
    <row r="48">
      <c r="A48" s="79">
        <f t="shared" si="1"/>
        <v>46</v>
      </c>
      <c r="B48" s="134" t="s">
        <v>48</v>
      </c>
      <c r="C48" s="129" t="s">
        <v>253</v>
      </c>
      <c r="D48" s="82"/>
      <c r="E48" s="83" t="s">
        <v>228</v>
      </c>
      <c r="F48" s="84" t="s">
        <v>64</v>
      </c>
      <c r="G48" s="83" t="s">
        <v>228</v>
      </c>
      <c r="H48" s="85"/>
      <c r="I48" s="86"/>
      <c r="J48" s="72"/>
      <c r="K48" s="112">
        <v>46.0</v>
      </c>
      <c r="L48" s="113" t="s">
        <v>207</v>
      </c>
      <c r="M48" s="113" t="s">
        <v>254</v>
      </c>
      <c r="N48" s="114" t="s">
        <v>48</v>
      </c>
      <c r="O48" s="114" t="s">
        <v>253</v>
      </c>
      <c r="P48" s="115" t="s">
        <v>255</v>
      </c>
      <c r="Q48" s="91"/>
      <c r="R48" s="72"/>
      <c r="S48" s="92" t="s">
        <v>48</v>
      </c>
      <c r="T48" s="92" t="s">
        <v>253</v>
      </c>
      <c r="U48" s="94" t="s">
        <v>96</v>
      </c>
      <c r="V48" s="95" t="s">
        <v>256</v>
      </c>
      <c r="W48" s="92" t="s">
        <v>104</v>
      </c>
      <c r="X48" s="77" t="s">
        <v>48</v>
      </c>
      <c r="Y48" s="78" t="s">
        <v>257</v>
      </c>
    </row>
    <row r="49">
      <c r="A49" s="79">
        <f t="shared" si="1"/>
        <v>47</v>
      </c>
      <c r="B49" s="102"/>
      <c r="C49" s="81" t="s">
        <v>258</v>
      </c>
      <c r="D49" s="82"/>
      <c r="E49" s="83" t="s">
        <v>228</v>
      </c>
      <c r="F49" s="84" t="s">
        <v>64</v>
      </c>
      <c r="G49" s="83" t="s">
        <v>228</v>
      </c>
      <c r="H49" s="85"/>
      <c r="I49" s="86"/>
      <c r="J49" s="72"/>
      <c r="K49" s="98">
        <v>47.0</v>
      </c>
      <c r="L49" s="99" t="s">
        <v>122</v>
      </c>
      <c r="M49" s="99" t="s">
        <v>122</v>
      </c>
      <c r="N49" s="100" t="s">
        <v>48</v>
      </c>
      <c r="O49" s="100" t="s">
        <v>258</v>
      </c>
      <c r="P49" s="101" t="s">
        <v>259</v>
      </c>
      <c r="Q49" s="91"/>
      <c r="R49" s="72"/>
      <c r="S49" s="92" t="s">
        <v>48</v>
      </c>
      <c r="T49" s="92" t="s">
        <v>258</v>
      </c>
      <c r="U49" s="94" t="s">
        <v>96</v>
      </c>
      <c r="V49" s="95" t="s">
        <v>260</v>
      </c>
      <c r="W49" s="92" t="s">
        <v>104</v>
      </c>
      <c r="X49" s="77" t="s">
        <v>261</v>
      </c>
      <c r="Y49" s="78" t="s">
        <v>257</v>
      </c>
    </row>
    <row r="50">
      <c r="A50" s="79">
        <f t="shared" si="1"/>
        <v>48</v>
      </c>
      <c r="B50" s="102"/>
      <c r="C50" s="135" t="s">
        <v>262</v>
      </c>
      <c r="D50" s="108"/>
      <c r="E50" s="136" t="s">
        <v>228</v>
      </c>
      <c r="F50" s="109"/>
      <c r="G50" s="136" t="s">
        <v>228</v>
      </c>
      <c r="H50" s="110"/>
      <c r="I50" s="111" t="s">
        <v>113</v>
      </c>
      <c r="J50" s="72"/>
      <c r="K50" s="98">
        <v>48.0</v>
      </c>
      <c r="L50" s="99" t="s">
        <v>122</v>
      </c>
      <c r="M50" s="99" t="s">
        <v>122</v>
      </c>
      <c r="N50" s="100" t="s">
        <v>48</v>
      </c>
      <c r="O50" s="100" t="s">
        <v>262</v>
      </c>
      <c r="P50" s="101" t="s">
        <v>263</v>
      </c>
      <c r="Q50" s="91"/>
      <c r="R50" s="72"/>
      <c r="S50" s="92" t="s">
        <v>48</v>
      </c>
      <c r="T50" s="92" t="s">
        <v>262</v>
      </c>
      <c r="U50" s="117" t="s">
        <v>138</v>
      </c>
      <c r="V50" s="93"/>
      <c r="W50" s="92" t="s">
        <v>139</v>
      </c>
      <c r="X50" s="77" t="s">
        <v>264</v>
      </c>
      <c r="Y50" s="78" t="s">
        <v>257</v>
      </c>
    </row>
    <row r="51">
      <c r="A51" s="79">
        <f t="shared" si="1"/>
        <v>49</v>
      </c>
      <c r="B51" s="102"/>
      <c r="C51" s="129" t="s">
        <v>265</v>
      </c>
      <c r="D51" s="82"/>
      <c r="E51" s="83" t="s">
        <v>228</v>
      </c>
      <c r="F51" s="84" t="s">
        <v>64</v>
      </c>
      <c r="G51" s="83" t="s">
        <v>228</v>
      </c>
      <c r="H51" s="85"/>
      <c r="I51" s="86"/>
      <c r="J51" s="72"/>
      <c r="K51" s="112">
        <v>49.0</v>
      </c>
      <c r="L51" s="113" t="s">
        <v>266</v>
      </c>
      <c r="M51" s="113" t="s">
        <v>265</v>
      </c>
      <c r="N51" s="114" t="s">
        <v>48</v>
      </c>
      <c r="O51" s="114" t="s">
        <v>265</v>
      </c>
      <c r="P51" s="115" t="s">
        <v>267</v>
      </c>
      <c r="Q51" s="91"/>
      <c r="R51" s="72"/>
      <c r="S51" s="92" t="s">
        <v>48</v>
      </c>
      <c r="T51" s="92" t="s">
        <v>265</v>
      </c>
      <c r="U51" s="94" t="s">
        <v>96</v>
      </c>
      <c r="V51" s="95" t="s">
        <v>268</v>
      </c>
      <c r="W51" s="92" t="s">
        <v>104</v>
      </c>
      <c r="X51" s="77" t="s">
        <v>258</v>
      </c>
      <c r="Y51" s="78" t="s">
        <v>257</v>
      </c>
    </row>
    <row r="52">
      <c r="A52" s="79">
        <f t="shared" si="1"/>
        <v>50</v>
      </c>
      <c r="B52" s="74"/>
      <c r="C52" s="129" t="s">
        <v>264</v>
      </c>
      <c r="D52" s="82"/>
      <c r="E52" s="83" t="s">
        <v>228</v>
      </c>
      <c r="F52" s="84" t="s">
        <v>64</v>
      </c>
      <c r="G52" s="83" t="s">
        <v>228</v>
      </c>
      <c r="H52" s="85"/>
      <c r="I52" s="86"/>
      <c r="J52" s="72"/>
      <c r="K52" s="112">
        <v>50.0</v>
      </c>
      <c r="L52" s="113" t="s">
        <v>266</v>
      </c>
      <c r="M52" s="113" t="s">
        <v>264</v>
      </c>
      <c r="N52" s="114" t="s">
        <v>48</v>
      </c>
      <c r="O52" s="114" t="s">
        <v>264</v>
      </c>
      <c r="P52" s="115" t="s">
        <v>267</v>
      </c>
      <c r="Q52" s="91"/>
      <c r="R52" s="72"/>
      <c r="S52" s="92" t="s">
        <v>48</v>
      </c>
      <c r="T52" s="92" t="s">
        <v>264</v>
      </c>
      <c r="U52" s="94" t="s">
        <v>96</v>
      </c>
      <c r="V52" s="95" t="s">
        <v>269</v>
      </c>
      <c r="W52" s="92" t="s">
        <v>104</v>
      </c>
      <c r="X52" s="72"/>
    </row>
    <row r="53">
      <c r="A53" s="137">
        <f>COUNTA($C$3:C55)</f>
        <v>53</v>
      </c>
      <c r="B53" s="138" t="s">
        <v>270</v>
      </c>
      <c r="C53" s="139" t="s">
        <v>271</v>
      </c>
      <c r="D53" s="140"/>
      <c r="E53" s="140"/>
      <c r="F53" s="141"/>
      <c r="G53" s="140"/>
      <c r="H53" s="110"/>
      <c r="I53" s="111" t="s">
        <v>113</v>
      </c>
      <c r="J53" s="72"/>
      <c r="K53" s="98">
        <v>51.0</v>
      </c>
      <c r="L53" s="99" t="s">
        <v>122</v>
      </c>
      <c r="M53" s="99" t="s">
        <v>122</v>
      </c>
      <c r="N53" s="100" t="s">
        <v>270</v>
      </c>
      <c r="O53" s="100" t="s">
        <v>271</v>
      </c>
      <c r="P53" s="101" t="s">
        <v>272</v>
      </c>
      <c r="Q53" s="91"/>
      <c r="R53" s="72"/>
      <c r="S53" s="92" t="s">
        <v>270</v>
      </c>
      <c r="T53" s="92" t="s">
        <v>271</v>
      </c>
      <c r="U53" s="94" t="s">
        <v>96</v>
      </c>
      <c r="V53" s="95" t="s">
        <v>273</v>
      </c>
      <c r="W53" s="92" t="s">
        <v>104</v>
      </c>
      <c r="X53" s="72"/>
    </row>
    <row r="54">
      <c r="A54" s="137">
        <f t="shared" ref="A54:A55" si="2">COUNTA($C$3:C54)</f>
        <v>52</v>
      </c>
      <c r="B54" s="134" t="s">
        <v>49</v>
      </c>
      <c r="C54" s="129" t="s">
        <v>274</v>
      </c>
      <c r="D54" s="82"/>
      <c r="E54" s="83" t="s">
        <v>228</v>
      </c>
      <c r="F54" s="84" t="s">
        <v>64</v>
      </c>
      <c r="G54" s="83" t="s">
        <v>228</v>
      </c>
      <c r="H54" s="85"/>
      <c r="I54" s="86"/>
      <c r="J54" s="72"/>
      <c r="K54" s="87">
        <v>52.0</v>
      </c>
      <c r="L54" s="88" t="s">
        <v>275</v>
      </c>
      <c r="M54" s="88" t="s">
        <v>276</v>
      </c>
      <c r="N54" s="89" t="s">
        <v>49</v>
      </c>
      <c r="O54" s="89" t="s">
        <v>274</v>
      </c>
      <c r="P54" s="90" t="s">
        <v>277</v>
      </c>
      <c r="Q54" s="91"/>
      <c r="R54" s="72"/>
      <c r="S54" s="92" t="s">
        <v>49</v>
      </c>
      <c r="T54" s="92" t="s">
        <v>274</v>
      </c>
      <c r="U54" s="94" t="s">
        <v>96</v>
      </c>
      <c r="V54" s="95" t="s">
        <v>278</v>
      </c>
      <c r="W54" s="92" t="s">
        <v>104</v>
      </c>
      <c r="X54" s="72"/>
    </row>
    <row r="55">
      <c r="A55" s="137">
        <f t="shared" si="2"/>
        <v>53</v>
      </c>
      <c r="B55" s="74"/>
      <c r="C55" s="129" t="s">
        <v>279</v>
      </c>
      <c r="D55" s="82"/>
      <c r="E55" s="83" t="s">
        <v>228</v>
      </c>
      <c r="F55" s="84" t="s">
        <v>4</v>
      </c>
      <c r="G55" s="83" t="s">
        <v>228</v>
      </c>
      <c r="H55" s="85"/>
      <c r="I55" s="86"/>
      <c r="J55" s="72"/>
      <c r="K55" s="98">
        <v>53.0</v>
      </c>
      <c r="L55" s="99" t="s">
        <v>122</v>
      </c>
      <c r="M55" s="99" t="s">
        <v>122</v>
      </c>
      <c r="N55" s="100" t="s">
        <v>49</v>
      </c>
      <c r="O55" s="100" t="s">
        <v>279</v>
      </c>
      <c r="P55" s="101" t="s">
        <v>148</v>
      </c>
      <c r="Q55" s="91"/>
      <c r="R55" s="72"/>
      <c r="S55" s="92" t="s">
        <v>49</v>
      </c>
      <c r="T55" s="92" t="s">
        <v>279</v>
      </c>
      <c r="U55" s="117" t="s">
        <v>138</v>
      </c>
      <c r="V55" s="93"/>
      <c r="W55" s="92" t="s">
        <v>139</v>
      </c>
      <c r="X55" s="72"/>
    </row>
    <row r="56">
      <c r="A56" s="72"/>
      <c r="B56" s="4"/>
      <c r="C56" s="72"/>
      <c r="D56" s="72"/>
      <c r="E56" s="72"/>
      <c r="F56" s="72"/>
      <c r="G56" s="72"/>
      <c r="H56" s="72"/>
      <c r="I56" s="72"/>
      <c r="J56" s="72"/>
      <c r="K56" s="142">
        <v>54.0</v>
      </c>
      <c r="L56" s="143" t="s">
        <v>280</v>
      </c>
      <c r="M56" s="143" t="s">
        <v>281</v>
      </c>
      <c r="N56" s="144" t="s">
        <v>282</v>
      </c>
      <c r="O56" s="143" t="s">
        <v>283</v>
      </c>
      <c r="P56" s="145" t="s">
        <v>284</v>
      </c>
      <c r="Q56" s="91"/>
      <c r="R56" s="72"/>
      <c r="S56" s="72"/>
      <c r="T56" s="72"/>
      <c r="U56" s="72"/>
      <c r="V56" s="72"/>
      <c r="W56" s="72"/>
      <c r="X56" s="72"/>
    </row>
    <row r="57">
      <c r="A57" s="72"/>
      <c r="B57" s="4"/>
      <c r="C57" s="72"/>
      <c r="D57" s="72"/>
      <c r="E57" s="72"/>
      <c r="F57" s="72"/>
      <c r="G57" s="72"/>
      <c r="H57" s="72"/>
      <c r="I57" s="72"/>
      <c r="J57" s="72"/>
      <c r="K57" s="142">
        <v>55.0</v>
      </c>
      <c r="L57" s="143" t="s">
        <v>280</v>
      </c>
      <c r="M57" s="143" t="s">
        <v>285</v>
      </c>
      <c r="N57" s="144" t="s">
        <v>282</v>
      </c>
      <c r="O57" s="143" t="s">
        <v>286</v>
      </c>
      <c r="P57" s="145" t="s">
        <v>287</v>
      </c>
      <c r="Q57" s="91"/>
      <c r="R57" s="72"/>
      <c r="S57" s="72"/>
      <c r="T57" s="72"/>
      <c r="U57" s="72"/>
      <c r="V57" s="72"/>
      <c r="W57" s="72"/>
      <c r="X57" s="72"/>
    </row>
    <row r="58">
      <c r="A58" s="72"/>
      <c r="B58" s="4"/>
      <c r="C58" s="72"/>
      <c r="D58" s="72"/>
      <c r="E58" s="72"/>
      <c r="F58" s="72"/>
      <c r="G58" s="72"/>
      <c r="H58" s="72"/>
      <c r="I58" s="72"/>
      <c r="J58" s="72"/>
      <c r="K58" s="142">
        <v>56.0</v>
      </c>
      <c r="L58" s="143" t="s">
        <v>280</v>
      </c>
      <c r="M58" s="143" t="s">
        <v>288</v>
      </c>
      <c r="N58" s="144" t="s">
        <v>282</v>
      </c>
      <c r="O58" s="143" t="s">
        <v>289</v>
      </c>
      <c r="P58" s="145" t="s">
        <v>287</v>
      </c>
      <c r="Q58" s="91"/>
      <c r="R58" s="72"/>
      <c r="S58" s="72"/>
      <c r="T58" s="72"/>
      <c r="U58" s="72"/>
      <c r="V58" s="72"/>
      <c r="W58" s="72"/>
      <c r="X58" s="72"/>
    </row>
    <row r="59">
      <c r="A59" s="72"/>
      <c r="B59" s="4"/>
      <c r="C59" s="72"/>
      <c r="D59" s="72"/>
      <c r="E59" s="72"/>
      <c r="F59" s="72"/>
      <c r="G59" s="72"/>
      <c r="H59" s="72"/>
      <c r="I59" s="72"/>
      <c r="J59" s="72"/>
      <c r="K59" s="142">
        <v>57.0</v>
      </c>
      <c r="L59" s="143" t="s">
        <v>121</v>
      </c>
      <c r="M59" s="143" t="s">
        <v>290</v>
      </c>
      <c r="N59" s="144" t="s">
        <v>282</v>
      </c>
      <c r="O59" s="143" t="s">
        <v>291</v>
      </c>
      <c r="P59" s="145" t="s">
        <v>292</v>
      </c>
      <c r="Q59" s="91"/>
      <c r="R59" s="72"/>
      <c r="S59" s="72"/>
      <c r="T59" s="72"/>
      <c r="U59" s="72"/>
      <c r="V59" s="72"/>
      <c r="W59" s="72"/>
      <c r="X59" s="72"/>
    </row>
    <row r="60">
      <c r="A60" s="72"/>
      <c r="B60" s="4"/>
      <c r="C60" s="72"/>
      <c r="D60" s="72"/>
      <c r="E60" s="72"/>
      <c r="F60" s="72"/>
      <c r="G60" s="72"/>
      <c r="H60" s="72"/>
      <c r="I60" s="72"/>
      <c r="J60" s="72"/>
      <c r="K60" s="142">
        <v>58.0</v>
      </c>
      <c r="L60" s="143" t="s">
        <v>121</v>
      </c>
      <c r="M60" s="143" t="s">
        <v>293</v>
      </c>
      <c r="N60" s="144" t="s">
        <v>282</v>
      </c>
      <c r="O60" s="143" t="s">
        <v>294</v>
      </c>
      <c r="P60" s="145" t="s">
        <v>292</v>
      </c>
      <c r="Q60" s="91"/>
      <c r="R60" s="72"/>
      <c r="S60" s="72"/>
      <c r="T60" s="72"/>
      <c r="U60" s="72"/>
      <c r="V60" s="72"/>
      <c r="W60" s="72"/>
      <c r="X60" s="72"/>
    </row>
    <row r="61">
      <c r="A61" s="72"/>
      <c r="B61" s="4"/>
      <c r="C61" s="72"/>
      <c r="D61" s="72"/>
      <c r="E61" s="72"/>
      <c r="F61" s="72"/>
      <c r="G61" s="72"/>
      <c r="H61" s="72"/>
      <c r="I61" s="72"/>
      <c r="J61" s="72"/>
      <c r="K61" s="142">
        <v>59.0</v>
      </c>
      <c r="L61" s="143" t="s">
        <v>121</v>
      </c>
      <c r="M61" s="143" t="s">
        <v>295</v>
      </c>
      <c r="N61" s="144" t="s">
        <v>282</v>
      </c>
      <c r="O61" s="143" t="s">
        <v>296</v>
      </c>
      <c r="P61" s="145" t="s">
        <v>292</v>
      </c>
      <c r="Q61" s="91"/>
      <c r="R61" s="72"/>
      <c r="S61" s="72"/>
      <c r="T61" s="72"/>
      <c r="U61" s="72"/>
      <c r="V61" s="72"/>
      <c r="W61" s="72"/>
      <c r="X61" s="72"/>
    </row>
    <row r="62">
      <c r="A62" s="72"/>
      <c r="B62" s="4"/>
      <c r="C62" s="72"/>
      <c r="D62" s="72"/>
      <c r="E62" s="72"/>
      <c r="F62" s="72"/>
      <c r="G62" s="72"/>
      <c r="H62" s="72"/>
      <c r="I62" s="72"/>
      <c r="J62" s="72"/>
      <c r="K62" s="142">
        <v>60.0</v>
      </c>
      <c r="L62" s="143" t="s">
        <v>121</v>
      </c>
      <c r="M62" s="143" t="s">
        <v>297</v>
      </c>
      <c r="N62" s="144" t="s">
        <v>282</v>
      </c>
      <c r="O62" s="143" t="s">
        <v>298</v>
      </c>
      <c r="P62" s="145" t="s">
        <v>292</v>
      </c>
      <c r="Q62" s="91"/>
      <c r="R62" s="72"/>
      <c r="S62" s="72"/>
      <c r="T62" s="72"/>
      <c r="U62" s="72"/>
      <c r="V62" s="72"/>
      <c r="W62" s="72"/>
      <c r="X62" s="72"/>
    </row>
    <row r="63">
      <c r="A63" s="72"/>
      <c r="B63" s="4"/>
      <c r="C63" s="72"/>
      <c r="D63" s="72"/>
      <c r="E63" s="72"/>
      <c r="F63" s="72"/>
      <c r="G63" s="72"/>
      <c r="H63" s="72"/>
      <c r="I63" s="72"/>
      <c r="J63" s="72"/>
      <c r="K63" s="142">
        <v>61.0</v>
      </c>
      <c r="L63" s="143" t="s">
        <v>131</v>
      </c>
      <c r="M63" s="143" t="s">
        <v>299</v>
      </c>
      <c r="N63" s="144" t="s">
        <v>282</v>
      </c>
      <c r="O63" s="143" t="s">
        <v>300</v>
      </c>
      <c r="P63" s="145" t="s">
        <v>301</v>
      </c>
      <c r="Q63" s="91"/>
      <c r="R63" s="72"/>
      <c r="S63" s="72"/>
      <c r="T63" s="72"/>
      <c r="U63" s="72"/>
      <c r="V63" s="72"/>
      <c r="W63" s="72"/>
      <c r="X63" s="72"/>
    </row>
    <row r="64">
      <c r="A64" s="72"/>
      <c r="B64" s="4"/>
      <c r="C64" s="72"/>
      <c r="D64" s="72"/>
      <c r="E64" s="72"/>
      <c r="F64" s="72"/>
      <c r="G64" s="72"/>
      <c r="H64" s="72"/>
      <c r="I64" s="72"/>
      <c r="J64" s="72"/>
      <c r="K64" s="142">
        <v>62.0</v>
      </c>
      <c r="L64" s="143" t="s">
        <v>302</v>
      </c>
      <c r="M64" s="143" t="s">
        <v>303</v>
      </c>
      <c r="N64" s="144" t="s">
        <v>282</v>
      </c>
      <c r="O64" s="143" t="s">
        <v>304</v>
      </c>
      <c r="P64" s="145" t="s">
        <v>305</v>
      </c>
      <c r="Q64" s="91"/>
      <c r="R64" s="72"/>
      <c r="S64" s="72"/>
      <c r="T64" s="72"/>
      <c r="U64" s="72"/>
      <c r="V64" s="72"/>
      <c r="W64" s="72"/>
      <c r="X64" s="72"/>
    </row>
    <row r="65">
      <c r="A65" s="72"/>
      <c r="B65" s="4"/>
      <c r="C65" s="72"/>
      <c r="D65" s="72"/>
      <c r="E65" s="72"/>
      <c r="F65" s="72"/>
      <c r="G65" s="72"/>
      <c r="H65" s="72"/>
      <c r="I65" s="72"/>
      <c r="J65" s="72"/>
      <c r="K65" s="142">
        <v>63.0</v>
      </c>
      <c r="L65" s="143" t="s">
        <v>275</v>
      </c>
      <c r="M65" s="143" t="s">
        <v>306</v>
      </c>
      <c r="N65" s="144" t="s">
        <v>282</v>
      </c>
      <c r="O65" s="143" t="s">
        <v>307</v>
      </c>
      <c r="P65" s="145" t="s">
        <v>308</v>
      </c>
      <c r="Q65" s="91"/>
      <c r="R65" s="72"/>
      <c r="S65" s="72"/>
      <c r="T65" s="72"/>
      <c r="U65" s="72"/>
      <c r="V65" s="72"/>
      <c r="W65" s="72"/>
      <c r="X65" s="72"/>
    </row>
    <row r="66">
      <c r="A66" s="72"/>
      <c r="B66" s="4"/>
      <c r="C66" s="72"/>
      <c r="D66" s="72"/>
      <c r="E66" s="72"/>
      <c r="F66" s="72"/>
      <c r="G66" s="72"/>
      <c r="H66" s="72"/>
      <c r="I66" s="72"/>
      <c r="J66" s="72"/>
      <c r="K66" s="142">
        <v>64.0</v>
      </c>
      <c r="L66" s="143" t="s">
        <v>309</v>
      </c>
      <c r="M66" s="143" t="s">
        <v>310</v>
      </c>
      <c r="N66" s="144" t="s">
        <v>282</v>
      </c>
      <c r="O66" s="143" t="s">
        <v>311</v>
      </c>
      <c r="P66" s="145" t="s">
        <v>312</v>
      </c>
      <c r="Q66" s="91"/>
      <c r="R66" s="72"/>
      <c r="S66" s="72"/>
      <c r="T66" s="72"/>
      <c r="U66" s="72"/>
      <c r="V66" s="72"/>
      <c r="W66" s="72"/>
      <c r="X66" s="72"/>
    </row>
    <row r="67">
      <c r="A67" s="72"/>
      <c r="B67" s="4"/>
      <c r="C67" s="72"/>
      <c r="D67" s="72"/>
      <c r="E67" s="72"/>
      <c r="F67" s="72"/>
      <c r="G67" s="72"/>
      <c r="H67" s="72"/>
      <c r="I67" s="72"/>
      <c r="J67" s="72"/>
      <c r="K67" s="142">
        <v>65.0</v>
      </c>
      <c r="L67" s="143" t="s">
        <v>125</v>
      </c>
      <c r="M67" s="143" t="s">
        <v>313</v>
      </c>
      <c r="N67" s="144" t="s">
        <v>282</v>
      </c>
      <c r="O67" s="143" t="s">
        <v>314</v>
      </c>
      <c r="P67" s="145" t="s">
        <v>315</v>
      </c>
      <c r="Q67" s="91"/>
      <c r="R67" s="72"/>
      <c r="S67" s="72"/>
      <c r="T67" s="72"/>
      <c r="U67" s="72"/>
      <c r="V67" s="72"/>
      <c r="W67" s="72"/>
      <c r="X67" s="72"/>
    </row>
    <row r="68">
      <c r="A68" s="72"/>
      <c r="B68" s="4"/>
      <c r="C68" s="72"/>
      <c r="D68" s="72"/>
      <c r="E68" s="72"/>
      <c r="F68" s="72"/>
      <c r="G68" s="72"/>
      <c r="H68" s="72"/>
      <c r="I68" s="72"/>
      <c r="J68" s="72"/>
      <c r="K68" s="142">
        <v>66.0</v>
      </c>
      <c r="L68" s="143" t="s">
        <v>188</v>
      </c>
      <c r="M68" s="143" t="s">
        <v>92</v>
      </c>
      <c r="N68" s="144" t="s">
        <v>282</v>
      </c>
      <c r="O68" s="143" t="s">
        <v>316</v>
      </c>
      <c r="P68" s="145" t="s">
        <v>317</v>
      </c>
      <c r="Q68" s="91"/>
      <c r="R68" s="72"/>
      <c r="S68" s="72"/>
      <c r="T68" s="72"/>
      <c r="U68" s="72"/>
      <c r="V68" s="72"/>
      <c r="W68" s="72"/>
      <c r="X68" s="72"/>
    </row>
    <row r="69">
      <c r="A69" s="72"/>
      <c r="B69" s="4"/>
      <c r="C69" s="72"/>
      <c r="D69" s="72"/>
      <c r="E69" s="72"/>
      <c r="F69" s="72"/>
      <c r="G69" s="72"/>
      <c r="H69" s="72"/>
      <c r="I69" s="72"/>
      <c r="J69" s="72"/>
      <c r="K69" s="142">
        <v>67.0</v>
      </c>
      <c r="L69" s="143" t="s">
        <v>266</v>
      </c>
      <c r="M69" s="143" t="s">
        <v>92</v>
      </c>
      <c r="N69" s="144" t="s">
        <v>282</v>
      </c>
      <c r="O69" s="143" t="s">
        <v>318</v>
      </c>
      <c r="P69" s="145" t="s">
        <v>319</v>
      </c>
      <c r="Q69" s="91"/>
      <c r="R69" s="72"/>
      <c r="S69" s="72"/>
      <c r="T69" s="72"/>
      <c r="U69" s="72"/>
      <c r="V69" s="72"/>
      <c r="W69" s="72"/>
      <c r="X69" s="72"/>
    </row>
    <row r="70">
      <c r="A70" s="72"/>
      <c r="B70" s="4"/>
      <c r="C70" s="72"/>
      <c r="D70" s="72"/>
      <c r="E70" s="72"/>
      <c r="F70" s="72"/>
      <c r="G70" s="72"/>
      <c r="H70" s="72"/>
      <c r="I70" s="72"/>
      <c r="J70" s="72"/>
      <c r="K70" s="142">
        <v>68.0</v>
      </c>
      <c r="L70" s="143" t="s">
        <v>320</v>
      </c>
      <c r="M70" s="143" t="s">
        <v>321</v>
      </c>
      <c r="N70" s="144" t="s">
        <v>282</v>
      </c>
      <c r="O70" s="143" t="s">
        <v>322</v>
      </c>
      <c r="P70" s="145" t="s">
        <v>292</v>
      </c>
      <c r="Q70" s="91"/>
      <c r="R70" s="72"/>
      <c r="S70" s="72"/>
      <c r="T70" s="72"/>
      <c r="U70" s="72"/>
      <c r="V70" s="72"/>
      <c r="W70" s="72"/>
      <c r="X70" s="72"/>
    </row>
    <row r="71">
      <c r="A71" s="72"/>
      <c r="B71" s="4"/>
      <c r="C71" s="72"/>
      <c r="D71" s="72"/>
      <c r="E71" s="72"/>
      <c r="F71" s="72"/>
      <c r="G71" s="72"/>
      <c r="H71" s="72"/>
      <c r="I71" s="72"/>
      <c r="J71" s="72"/>
      <c r="K71" s="142">
        <v>69.0</v>
      </c>
      <c r="L71" s="143" t="s">
        <v>323</v>
      </c>
      <c r="M71" s="143" t="s">
        <v>324</v>
      </c>
      <c r="N71" s="144" t="s">
        <v>282</v>
      </c>
      <c r="O71" s="143" t="s">
        <v>325</v>
      </c>
      <c r="P71" s="145" t="s">
        <v>312</v>
      </c>
      <c r="Q71" s="91"/>
      <c r="R71" s="72"/>
      <c r="S71" s="72"/>
      <c r="T71" s="72"/>
      <c r="U71" s="72"/>
      <c r="V71" s="72"/>
      <c r="W71" s="72"/>
      <c r="X71" s="72"/>
    </row>
    <row r="72">
      <c r="A72" s="72"/>
      <c r="B72" s="4"/>
      <c r="C72" s="72"/>
      <c r="D72" s="72"/>
      <c r="E72" s="72"/>
      <c r="F72" s="72"/>
      <c r="G72" s="72"/>
      <c r="H72" s="72"/>
      <c r="I72" s="72"/>
      <c r="J72" s="72"/>
      <c r="K72" s="142">
        <v>70.0</v>
      </c>
      <c r="L72" s="143" t="s">
        <v>177</v>
      </c>
      <c r="M72" s="143" t="s">
        <v>92</v>
      </c>
      <c r="N72" s="144" t="s">
        <v>282</v>
      </c>
      <c r="O72" s="143" t="s">
        <v>326</v>
      </c>
      <c r="P72" s="145" t="s">
        <v>327</v>
      </c>
      <c r="Q72" s="91"/>
      <c r="R72" s="72"/>
      <c r="S72" s="72"/>
      <c r="T72" s="72"/>
      <c r="U72" s="72"/>
      <c r="V72" s="72"/>
      <c r="W72" s="72"/>
      <c r="X72" s="72"/>
    </row>
    <row r="73">
      <c r="A73" s="72"/>
      <c r="B73" s="4"/>
      <c r="C73" s="72"/>
      <c r="D73" s="72"/>
      <c r="E73" s="72"/>
      <c r="F73" s="72"/>
      <c r="G73" s="72"/>
      <c r="H73" s="72"/>
      <c r="I73" s="72"/>
      <c r="J73" s="72"/>
      <c r="K73" s="142">
        <v>71.0</v>
      </c>
      <c r="L73" s="143" t="s">
        <v>121</v>
      </c>
      <c r="M73" s="143" t="s">
        <v>92</v>
      </c>
      <c r="N73" s="144" t="s">
        <v>282</v>
      </c>
      <c r="O73" s="143" t="s">
        <v>328</v>
      </c>
      <c r="P73" s="145" t="s">
        <v>329</v>
      </c>
      <c r="Q73" s="91"/>
      <c r="R73" s="72"/>
      <c r="S73" s="72"/>
      <c r="T73" s="72"/>
      <c r="U73" s="72"/>
      <c r="V73" s="72"/>
      <c r="W73" s="72"/>
      <c r="X73" s="72"/>
    </row>
    <row r="74">
      <c r="A74" s="72"/>
      <c r="B74" s="4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</row>
    <row r="75">
      <c r="A75" s="72"/>
      <c r="B75" s="4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</row>
    <row r="76">
      <c r="A76" s="72"/>
      <c r="B76" s="4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</row>
    <row r="77">
      <c r="A77" s="72"/>
      <c r="B77" s="4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</row>
    <row r="78">
      <c r="A78" s="72"/>
      <c r="B78" s="4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</row>
    <row r="79">
      <c r="A79" s="72"/>
      <c r="B79" s="4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</row>
  </sheetData>
  <mergeCells count="19">
    <mergeCell ref="A1:A2"/>
    <mergeCell ref="B1:D1"/>
    <mergeCell ref="E1:E2"/>
    <mergeCell ref="F1:F2"/>
    <mergeCell ref="G1:G2"/>
    <mergeCell ref="H1:H2"/>
    <mergeCell ref="I1:I2"/>
    <mergeCell ref="B36:B39"/>
    <mergeCell ref="B40:B41"/>
    <mergeCell ref="B42:B47"/>
    <mergeCell ref="B48:B52"/>
    <mergeCell ref="B54:B55"/>
    <mergeCell ref="B4:B10"/>
    <mergeCell ref="B11:B15"/>
    <mergeCell ref="B16:B18"/>
    <mergeCell ref="B19:B22"/>
    <mergeCell ref="B23:B28"/>
    <mergeCell ref="B29:B32"/>
    <mergeCell ref="B33:B35"/>
  </mergeCells>
  <conditionalFormatting sqref="Q3:Q73">
    <cfRule type="cellIs" dxfId="4" priority="1" operator="equal">
      <formula>"PASS"</formula>
    </cfRule>
  </conditionalFormatting>
  <conditionalFormatting sqref="Q3:Q73">
    <cfRule type="cellIs" dxfId="5" priority="2" operator="equal">
      <formula>"FAIL"</formula>
    </cfRule>
  </conditionalFormatting>
  <conditionalFormatting sqref="Q3:Q73">
    <cfRule type="cellIs" dxfId="6" priority="3" operator="equal">
      <formula>"N/A"</formula>
    </cfRule>
  </conditionalFormatting>
  <conditionalFormatting sqref="Q3:Q73">
    <cfRule type="cellIs" dxfId="7" priority="4" operator="equal">
      <formula>"N/T"</formula>
    </cfRule>
  </conditionalFormatting>
  <dataValidations>
    <dataValidation type="list" allowBlank="1" sqref="Q3:Q73">
      <formula1>"PASS,FAIL,N/A,N/T"</formula1>
    </dataValidation>
  </dataValidations>
  <hyperlinks>
    <hyperlink r:id="rId1" ref="V3"/>
    <hyperlink r:id="rId2" ref="V4"/>
    <hyperlink r:id="rId3" ref="V5"/>
    <hyperlink r:id="rId4" ref="V6"/>
    <hyperlink r:id="rId5" ref="V7"/>
    <hyperlink r:id="rId6" ref="V8"/>
    <hyperlink r:id="rId7" ref="V9"/>
    <hyperlink r:id="rId8" ref="V10"/>
    <hyperlink r:id="rId9" ref="V11"/>
    <hyperlink r:id="rId10" ref="V13"/>
    <hyperlink r:id="rId11" ref="V14"/>
    <hyperlink r:id="rId12" ref="V15"/>
    <hyperlink r:id="rId13" ref="V16"/>
    <hyperlink r:id="rId14" ref="V17"/>
    <hyperlink r:id="rId15" ref="V18"/>
    <hyperlink r:id="rId16" ref="V20"/>
    <hyperlink r:id="rId17" ref="V21"/>
    <hyperlink r:id="rId18" ref="V22"/>
    <hyperlink r:id="rId19" ref="V23"/>
    <hyperlink r:id="rId20" ref="V24"/>
    <hyperlink r:id="rId21" ref="V25"/>
    <hyperlink r:id="rId22" ref="V26"/>
    <hyperlink r:id="rId23" ref="V27"/>
    <hyperlink r:id="rId24" ref="V28"/>
    <hyperlink r:id="rId25" ref="V29"/>
    <hyperlink r:id="rId26" ref="V30"/>
    <hyperlink r:id="rId27" ref="V31"/>
    <hyperlink r:id="rId28" ref="V32"/>
    <hyperlink r:id="rId29" ref="V35"/>
    <hyperlink r:id="rId30" ref="V40"/>
    <hyperlink r:id="rId31" ref="V41"/>
    <hyperlink r:id="rId32" ref="V48"/>
    <hyperlink r:id="rId33" ref="V49"/>
    <hyperlink r:id="rId34" ref="V51"/>
    <hyperlink r:id="rId35" ref="V52"/>
    <hyperlink r:id="rId36" ref="V53"/>
    <hyperlink r:id="rId37" ref="V54"/>
  </hyperlinks>
  <drawing r:id="rId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5" max="6" width="37.25"/>
    <col customWidth="1" min="8" max="8" width="27.25"/>
  </cols>
  <sheetData>
    <row r="1">
      <c r="A1" s="146" t="s">
        <v>67</v>
      </c>
      <c r="B1" s="147" t="s">
        <v>330</v>
      </c>
      <c r="C1" s="20"/>
      <c r="D1" s="18"/>
      <c r="E1" s="148" t="s">
        <v>331</v>
      </c>
      <c r="F1" s="149" t="s">
        <v>332</v>
      </c>
      <c r="G1" s="150" t="s">
        <v>333</v>
      </c>
      <c r="H1" s="149" t="s">
        <v>334</v>
      </c>
      <c r="I1" s="149" t="s">
        <v>335</v>
      </c>
      <c r="J1" s="151"/>
    </row>
    <row r="2">
      <c r="A2" s="39"/>
      <c r="B2" s="152" t="s">
        <v>75</v>
      </c>
      <c r="C2" s="153" t="s">
        <v>76</v>
      </c>
      <c r="D2" s="153" t="s">
        <v>336</v>
      </c>
      <c r="E2" s="39"/>
      <c r="F2" s="39"/>
      <c r="G2" s="39"/>
      <c r="H2" s="39"/>
      <c r="I2" s="39"/>
      <c r="J2" s="151"/>
    </row>
    <row r="3">
      <c r="A3" s="42">
        <f>COUNTA($F$3:$F3)</f>
        <v>1</v>
      </c>
      <c r="B3" s="154" t="s">
        <v>337</v>
      </c>
      <c r="C3" s="154" t="s">
        <v>91</v>
      </c>
      <c r="D3" s="155"/>
      <c r="E3" s="156" t="s">
        <v>338</v>
      </c>
      <c r="F3" s="156" t="s">
        <v>339</v>
      </c>
      <c r="G3" s="157"/>
      <c r="H3" s="157"/>
      <c r="I3" s="158"/>
      <c r="J3" s="4"/>
    </row>
    <row r="4">
      <c r="A4" s="42"/>
      <c r="B4" s="154"/>
      <c r="C4" s="154"/>
      <c r="D4" s="154" t="s">
        <v>340</v>
      </c>
      <c r="E4" s="156" t="s">
        <v>341</v>
      </c>
      <c r="F4" s="156" t="s">
        <v>342</v>
      </c>
      <c r="G4" s="157"/>
      <c r="H4" s="157"/>
      <c r="I4" s="158"/>
      <c r="J4" s="4"/>
    </row>
    <row r="5">
      <c r="A5" s="42"/>
      <c r="B5" s="154"/>
      <c r="C5" s="154"/>
      <c r="D5" s="154" t="s">
        <v>343</v>
      </c>
      <c r="E5" s="156" t="s">
        <v>344</v>
      </c>
      <c r="F5" s="156" t="s">
        <v>345</v>
      </c>
      <c r="G5" s="157"/>
      <c r="H5" s="157"/>
      <c r="I5" s="158"/>
      <c r="J5" s="4"/>
    </row>
    <row r="6">
      <c r="A6" s="42">
        <f t="shared" ref="A6:A11" si="1">COUNTA($F$3:$F6)</f>
        <v>3</v>
      </c>
      <c r="B6" s="154"/>
      <c r="C6" s="154" t="s">
        <v>346</v>
      </c>
      <c r="D6" s="155"/>
      <c r="E6" s="156" t="s">
        <v>347</v>
      </c>
      <c r="F6" s="157"/>
      <c r="G6" s="157"/>
      <c r="H6" s="157"/>
      <c r="I6" s="158"/>
      <c r="J6" s="4"/>
    </row>
    <row r="7">
      <c r="A7" s="42">
        <f t="shared" si="1"/>
        <v>3</v>
      </c>
      <c r="B7" s="155"/>
      <c r="C7" s="154" t="s">
        <v>348</v>
      </c>
      <c r="D7" s="158"/>
      <c r="E7" s="157"/>
      <c r="F7" s="157"/>
      <c r="G7" s="157"/>
      <c r="H7" s="157"/>
      <c r="I7" s="158"/>
      <c r="J7" s="4"/>
    </row>
    <row r="8">
      <c r="A8" s="42">
        <f t="shared" si="1"/>
        <v>3</v>
      </c>
      <c r="B8" s="155"/>
      <c r="C8" s="154" t="s">
        <v>349</v>
      </c>
      <c r="D8" s="158"/>
      <c r="E8" s="157"/>
      <c r="F8" s="157"/>
      <c r="G8" s="157"/>
      <c r="H8" s="157"/>
      <c r="I8" s="158"/>
      <c r="J8" s="4"/>
    </row>
    <row r="9">
      <c r="A9" s="42">
        <f t="shared" si="1"/>
        <v>3</v>
      </c>
      <c r="B9" s="155"/>
      <c r="C9" s="159" t="s">
        <v>350</v>
      </c>
      <c r="D9" s="158"/>
      <c r="E9" s="157"/>
      <c r="F9" s="157"/>
      <c r="G9" s="157"/>
      <c r="H9" s="157"/>
      <c r="I9" s="158"/>
      <c r="J9" s="4"/>
    </row>
    <row r="10">
      <c r="A10" s="42">
        <f t="shared" si="1"/>
        <v>3</v>
      </c>
      <c r="B10" s="155"/>
      <c r="C10" s="159" t="s">
        <v>351</v>
      </c>
      <c r="D10" s="158"/>
      <c r="E10" s="157"/>
      <c r="F10" s="157"/>
      <c r="G10" s="157"/>
      <c r="H10" s="157"/>
      <c r="I10" s="158"/>
      <c r="J10" s="4"/>
    </row>
    <row r="11">
      <c r="A11" s="42">
        <f t="shared" si="1"/>
        <v>3</v>
      </c>
      <c r="B11" s="154" t="s">
        <v>91</v>
      </c>
      <c r="C11" s="159" t="s">
        <v>352</v>
      </c>
      <c r="D11" s="158"/>
      <c r="E11" s="157"/>
      <c r="F11" s="157"/>
      <c r="G11" s="157"/>
      <c r="H11" s="157"/>
      <c r="I11" s="158"/>
      <c r="J11" s="4"/>
    </row>
    <row r="12">
      <c r="A12" s="42"/>
      <c r="B12" s="154"/>
      <c r="C12" s="159" t="s">
        <v>353</v>
      </c>
      <c r="D12" s="158"/>
      <c r="E12" s="157"/>
      <c r="F12" s="157"/>
      <c r="G12" s="157"/>
      <c r="H12" s="157"/>
      <c r="I12" s="158"/>
      <c r="J12" s="4"/>
    </row>
    <row r="13">
      <c r="A13" s="42"/>
      <c r="B13" s="154"/>
      <c r="C13" s="159" t="s">
        <v>354</v>
      </c>
      <c r="D13" s="158"/>
      <c r="E13" s="157"/>
      <c r="F13" s="157"/>
      <c r="G13" s="157"/>
      <c r="H13" s="157"/>
      <c r="I13" s="158"/>
      <c r="J13" s="4"/>
    </row>
    <row r="14">
      <c r="A14" s="42">
        <f t="shared" ref="A14:A24" si="2">COUNTA($F$3:$F14)</f>
        <v>3</v>
      </c>
      <c r="B14" s="154" t="s">
        <v>91</v>
      </c>
      <c r="C14" s="159" t="s">
        <v>355</v>
      </c>
      <c r="D14" s="158"/>
      <c r="E14" s="157"/>
      <c r="F14" s="157"/>
      <c r="G14" s="157"/>
      <c r="H14" s="157"/>
      <c r="I14" s="158"/>
      <c r="J14" s="4"/>
    </row>
    <row r="15">
      <c r="A15" s="42">
        <f t="shared" si="2"/>
        <v>3</v>
      </c>
      <c r="B15" s="154" t="s">
        <v>91</v>
      </c>
      <c r="C15" s="159" t="s">
        <v>356</v>
      </c>
      <c r="D15" s="158"/>
      <c r="E15" s="157"/>
      <c r="F15" s="157"/>
      <c r="G15" s="157"/>
      <c r="H15" s="157"/>
      <c r="I15" s="158"/>
      <c r="J15" s="4"/>
    </row>
    <row r="16">
      <c r="A16" s="42">
        <f t="shared" si="2"/>
        <v>3</v>
      </c>
      <c r="B16" s="155"/>
      <c r="C16" s="159" t="s">
        <v>357</v>
      </c>
      <c r="D16" s="158"/>
      <c r="E16" s="157"/>
      <c r="F16" s="157"/>
      <c r="G16" s="157"/>
      <c r="H16" s="157"/>
      <c r="I16" s="158"/>
      <c r="J16" s="4"/>
    </row>
    <row r="17">
      <c r="A17" s="42">
        <f t="shared" si="2"/>
        <v>3</v>
      </c>
      <c r="B17" s="155"/>
      <c r="C17" s="158"/>
      <c r="D17" s="158"/>
      <c r="E17" s="157"/>
      <c r="F17" s="157"/>
      <c r="G17" s="157"/>
      <c r="H17" s="157"/>
      <c r="I17" s="158"/>
      <c r="J17" s="4"/>
    </row>
    <row r="18">
      <c r="A18" s="42">
        <f t="shared" si="2"/>
        <v>3</v>
      </c>
      <c r="B18" s="155"/>
      <c r="C18" s="158"/>
      <c r="D18" s="158"/>
      <c r="E18" s="157"/>
      <c r="F18" s="157"/>
      <c r="G18" s="157"/>
      <c r="H18" s="157"/>
      <c r="I18" s="158"/>
      <c r="J18" s="4"/>
    </row>
    <row r="19">
      <c r="A19" s="42">
        <f t="shared" si="2"/>
        <v>3</v>
      </c>
      <c r="B19" s="155"/>
      <c r="C19" s="158"/>
      <c r="D19" s="158"/>
      <c r="E19" s="157"/>
      <c r="F19" s="157"/>
      <c r="G19" s="157"/>
      <c r="H19" s="157"/>
      <c r="I19" s="158"/>
      <c r="J19" s="4"/>
    </row>
    <row r="20">
      <c r="A20" s="42">
        <f t="shared" si="2"/>
        <v>3</v>
      </c>
      <c r="B20" s="155"/>
      <c r="C20" s="158"/>
      <c r="D20" s="158"/>
      <c r="E20" s="157"/>
      <c r="F20" s="157"/>
      <c r="G20" s="157"/>
      <c r="H20" s="157"/>
      <c r="I20" s="158"/>
      <c r="J20" s="4"/>
    </row>
    <row r="21">
      <c r="A21" s="42">
        <f t="shared" si="2"/>
        <v>3</v>
      </c>
      <c r="B21" s="155"/>
      <c r="C21" s="155"/>
      <c r="D21" s="158"/>
      <c r="E21" s="157"/>
      <c r="F21" s="157"/>
      <c r="G21" s="157"/>
      <c r="H21" s="157"/>
      <c r="I21" s="158"/>
      <c r="J21" s="4"/>
    </row>
    <row r="22">
      <c r="A22" s="42">
        <f t="shared" si="2"/>
        <v>3</v>
      </c>
      <c r="B22" s="155"/>
      <c r="C22" s="155"/>
      <c r="D22" s="158"/>
      <c r="E22" s="157"/>
      <c r="F22" s="157"/>
      <c r="G22" s="157"/>
      <c r="H22" s="157"/>
      <c r="I22" s="158"/>
      <c r="J22" s="4"/>
    </row>
    <row r="23">
      <c r="A23" s="42">
        <f t="shared" si="2"/>
        <v>3</v>
      </c>
      <c r="B23" s="155"/>
      <c r="C23" s="155"/>
      <c r="D23" s="158"/>
      <c r="E23" s="157"/>
      <c r="F23" s="157"/>
      <c r="G23" s="157"/>
      <c r="H23" s="157"/>
      <c r="I23" s="158"/>
      <c r="J23" s="4"/>
    </row>
    <row r="24">
      <c r="A24" s="42">
        <f t="shared" si="2"/>
        <v>3</v>
      </c>
      <c r="B24" s="155"/>
      <c r="C24" s="155"/>
      <c r="D24" s="158"/>
      <c r="E24" s="157"/>
      <c r="F24" s="157"/>
      <c r="G24" s="157"/>
      <c r="H24" s="157"/>
      <c r="I24" s="158"/>
      <c r="J24" s="4"/>
    </row>
    <row r="25">
      <c r="A25" s="4"/>
      <c r="B25" s="151"/>
      <c r="C25" s="151"/>
      <c r="D25" s="151"/>
      <c r="E25" s="4"/>
      <c r="F25" s="4"/>
      <c r="G25" s="4"/>
      <c r="H25" s="4"/>
      <c r="I25" s="4"/>
      <c r="J25" s="4"/>
    </row>
    <row r="26">
      <c r="A26" s="4"/>
      <c r="B26" s="151"/>
      <c r="C26" s="151"/>
      <c r="D26" s="151"/>
      <c r="E26" s="4"/>
      <c r="F26" s="4"/>
      <c r="G26" s="4"/>
      <c r="H26" s="4"/>
      <c r="I26" s="4"/>
      <c r="J26" s="4"/>
    </row>
    <row r="27">
      <c r="A27" s="4"/>
      <c r="B27" s="151"/>
      <c r="C27" s="151"/>
      <c r="D27" s="151"/>
      <c r="E27" s="4"/>
      <c r="F27" s="4"/>
      <c r="G27" s="4"/>
      <c r="H27" s="4"/>
      <c r="I27" s="4"/>
      <c r="J27" s="4"/>
    </row>
    <row r="28">
      <c r="A28" s="4"/>
      <c r="B28" s="151"/>
      <c r="C28" s="151"/>
      <c r="D28" s="151"/>
      <c r="E28" s="4"/>
      <c r="F28" s="4"/>
      <c r="G28" s="4"/>
      <c r="H28" s="4"/>
      <c r="I28" s="4"/>
      <c r="J28" s="4"/>
    </row>
    <row r="29">
      <c r="A29" s="4"/>
      <c r="B29" s="151"/>
      <c r="C29" s="151"/>
      <c r="D29" s="151"/>
      <c r="E29" s="4"/>
      <c r="F29" s="4"/>
      <c r="G29" s="4"/>
      <c r="H29" s="4"/>
      <c r="I29" s="4"/>
      <c r="J29" s="4"/>
    </row>
    <row r="30">
      <c r="A30" s="4"/>
      <c r="B30" s="151"/>
      <c r="C30" s="151"/>
      <c r="D30" s="151"/>
      <c r="E30" s="4"/>
      <c r="F30" s="4"/>
      <c r="G30" s="4"/>
      <c r="H30" s="4"/>
      <c r="I30" s="4"/>
      <c r="J30" s="4"/>
    </row>
    <row r="31">
      <c r="A31" s="4"/>
      <c r="B31" s="151"/>
      <c r="C31" s="151"/>
      <c r="D31" s="151"/>
      <c r="E31" s="4"/>
      <c r="F31" s="4"/>
      <c r="G31" s="4"/>
      <c r="H31" s="4"/>
      <c r="I31" s="4"/>
      <c r="J31" s="4"/>
    </row>
    <row r="32">
      <c r="A32" s="4"/>
      <c r="B32" s="151"/>
      <c r="C32" s="151"/>
      <c r="D32" s="151"/>
      <c r="E32" s="4"/>
      <c r="F32" s="4"/>
      <c r="G32" s="4"/>
      <c r="H32" s="4"/>
      <c r="I32" s="4"/>
      <c r="J32" s="4"/>
    </row>
    <row r="33">
      <c r="A33" s="4"/>
      <c r="B33" s="151"/>
      <c r="C33" s="151"/>
      <c r="D33" s="151"/>
      <c r="E33" s="4"/>
      <c r="F33" s="4"/>
      <c r="G33" s="4"/>
      <c r="H33" s="4"/>
      <c r="I33" s="4"/>
      <c r="J33" s="4"/>
    </row>
    <row r="34">
      <c r="A34" s="4"/>
      <c r="B34" s="151"/>
      <c r="C34" s="151"/>
      <c r="D34" s="151"/>
      <c r="E34" s="4"/>
      <c r="F34" s="4"/>
      <c r="G34" s="4"/>
      <c r="H34" s="4"/>
      <c r="I34" s="4"/>
      <c r="J34" s="4"/>
    </row>
    <row r="35">
      <c r="A35" s="4"/>
      <c r="B35" s="151"/>
      <c r="C35" s="151"/>
      <c r="D35" s="151"/>
      <c r="E35" s="4"/>
      <c r="F35" s="4"/>
      <c r="G35" s="4"/>
      <c r="H35" s="4"/>
      <c r="I35" s="4"/>
      <c r="J35" s="4"/>
    </row>
    <row r="36">
      <c r="A36" s="4"/>
      <c r="B36" s="151"/>
      <c r="C36" s="151"/>
      <c r="D36" s="151"/>
      <c r="E36" s="4"/>
      <c r="F36" s="4"/>
      <c r="G36" s="4"/>
      <c r="H36" s="4"/>
      <c r="I36" s="4"/>
      <c r="J36" s="4"/>
    </row>
    <row r="37">
      <c r="A37" s="4"/>
      <c r="B37" s="151"/>
      <c r="C37" s="151"/>
      <c r="D37" s="151"/>
      <c r="E37" s="4"/>
      <c r="F37" s="4"/>
      <c r="G37" s="4"/>
      <c r="H37" s="4"/>
      <c r="I37" s="4"/>
      <c r="J37" s="4"/>
    </row>
    <row r="38">
      <c r="A38" s="4"/>
      <c r="B38" s="151"/>
      <c r="C38" s="151"/>
      <c r="D38" s="151"/>
      <c r="E38" s="4"/>
      <c r="F38" s="4"/>
      <c r="G38" s="4"/>
      <c r="H38" s="4"/>
      <c r="I38" s="4"/>
      <c r="J38" s="4"/>
    </row>
    <row r="39">
      <c r="A39" s="4"/>
      <c r="B39" s="151"/>
      <c r="C39" s="151"/>
      <c r="D39" s="151"/>
      <c r="E39" s="4"/>
      <c r="F39" s="4"/>
      <c r="G39" s="4"/>
      <c r="H39" s="4"/>
      <c r="I39" s="4"/>
      <c r="J39" s="4"/>
    </row>
    <row r="40">
      <c r="A40" s="4"/>
      <c r="B40" s="151"/>
      <c r="C40" s="151"/>
      <c r="D40" s="151"/>
      <c r="E40" s="4"/>
      <c r="F40" s="4"/>
      <c r="G40" s="4"/>
      <c r="H40" s="4"/>
      <c r="I40" s="4"/>
      <c r="J40" s="4"/>
    </row>
    <row r="41">
      <c r="A41" s="4"/>
      <c r="B41" s="151"/>
      <c r="C41" s="151"/>
      <c r="D41" s="151"/>
      <c r="E41" s="4"/>
      <c r="F41" s="4"/>
      <c r="G41" s="4"/>
      <c r="H41" s="4"/>
      <c r="I41" s="4"/>
      <c r="J41" s="4"/>
    </row>
    <row r="42">
      <c r="A42" s="4"/>
      <c r="B42" s="151"/>
      <c r="C42" s="151"/>
      <c r="D42" s="151"/>
      <c r="E42" s="4"/>
      <c r="F42" s="4"/>
      <c r="G42" s="4"/>
      <c r="H42" s="4"/>
      <c r="I42" s="4"/>
      <c r="J42" s="4"/>
    </row>
    <row r="43">
      <c r="A43" s="4"/>
      <c r="B43" s="151"/>
      <c r="C43" s="151"/>
      <c r="D43" s="151"/>
      <c r="E43" s="4"/>
      <c r="F43" s="4"/>
      <c r="G43" s="4"/>
      <c r="H43" s="4"/>
      <c r="I43" s="4"/>
      <c r="J43" s="4"/>
    </row>
    <row r="44">
      <c r="A44" s="4"/>
      <c r="B44" s="151"/>
      <c r="C44" s="151"/>
      <c r="D44" s="151"/>
      <c r="E44" s="4"/>
      <c r="F44" s="4"/>
      <c r="G44" s="4"/>
      <c r="H44" s="4"/>
      <c r="I44" s="4"/>
      <c r="J44" s="4"/>
    </row>
    <row r="45">
      <c r="A45" s="4"/>
      <c r="B45" s="151"/>
      <c r="C45" s="151"/>
      <c r="D45" s="151"/>
      <c r="E45" s="4"/>
      <c r="F45" s="4"/>
      <c r="G45" s="4"/>
      <c r="H45" s="4"/>
      <c r="I45" s="4"/>
      <c r="J45" s="4"/>
    </row>
    <row r="46">
      <c r="A46" s="4"/>
      <c r="B46" s="151"/>
      <c r="C46" s="151"/>
      <c r="D46" s="151"/>
      <c r="E46" s="4"/>
      <c r="F46" s="4"/>
      <c r="G46" s="4"/>
      <c r="H46" s="4"/>
      <c r="I46" s="4"/>
      <c r="J46" s="4"/>
    </row>
    <row r="47">
      <c r="A47" s="4"/>
      <c r="B47" s="151"/>
      <c r="C47" s="151"/>
      <c r="D47" s="151"/>
      <c r="E47" s="4"/>
      <c r="F47" s="4"/>
      <c r="G47" s="4"/>
      <c r="H47" s="4"/>
      <c r="I47" s="4"/>
      <c r="J47" s="4"/>
    </row>
    <row r="48">
      <c r="A48" s="4"/>
      <c r="B48" s="151"/>
      <c r="C48" s="151"/>
      <c r="D48" s="151"/>
      <c r="E48" s="4"/>
      <c r="F48" s="4"/>
      <c r="G48" s="4"/>
      <c r="H48" s="4"/>
      <c r="I48" s="4"/>
      <c r="J48" s="4"/>
    </row>
    <row r="49">
      <c r="A49" s="4"/>
      <c r="B49" s="151"/>
      <c r="C49" s="151"/>
      <c r="D49" s="151"/>
      <c r="E49" s="4"/>
      <c r="F49" s="4"/>
      <c r="G49" s="4"/>
      <c r="H49" s="4"/>
      <c r="I49" s="4"/>
      <c r="J49" s="4"/>
    </row>
    <row r="50">
      <c r="A50" s="4"/>
      <c r="B50" s="151"/>
      <c r="C50" s="151"/>
      <c r="D50" s="151"/>
      <c r="E50" s="4"/>
      <c r="F50" s="4"/>
      <c r="G50" s="4"/>
      <c r="H50" s="4"/>
      <c r="I50" s="4"/>
      <c r="J50" s="4"/>
    </row>
    <row r="51">
      <c r="A51" s="4"/>
      <c r="B51" s="151"/>
      <c r="C51" s="151"/>
      <c r="D51" s="151"/>
      <c r="E51" s="4"/>
      <c r="F51" s="4"/>
      <c r="G51" s="4"/>
      <c r="H51" s="4"/>
      <c r="I51" s="4"/>
      <c r="J51" s="4"/>
    </row>
    <row r="52">
      <c r="A52" s="4"/>
      <c r="B52" s="151"/>
      <c r="C52" s="151"/>
      <c r="D52" s="151"/>
      <c r="E52" s="4"/>
      <c r="F52" s="4"/>
      <c r="G52" s="4"/>
      <c r="H52" s="4"/>
      <c r="I52" s="4"/>
      <c r="J52" s="4"/>
    </row>
    <row r="53">
      <c r="A53" s="4"/>
      <c r="B53" s="151"/>
      <c r="C53" s="151"/>
      <c r="D53" s="151"/>
      <c r="E53" s="4"/>
      <c r="F53" s="4"/>
      <c r="G53" s="4"/>
      <c r="H53" s="4"/>
      <c r="I53" s="4"/>
      <c r="J53" s="4"/>
    </row>
    <row r="54">
      <c r="A54" s="4"/>
      <c r="B54" s="151"/>
      <c r="C54" s="151"/>
      <c r="D54" s="151"/>
      <c r="E54" s="4"/>
      <c r="F54" s="4"/>
      <c r="G54" s="4"/>
      <c r="H54" s="4"/>
      <c r="I54" s="4"/>
      <c r="J54" s="4"/>
    </row>
    <row r="55">
      <c r="A55" s="4"/>
      <c r="B55" s="151"/>
      <c r="C55" s="151"/>
      <c r="D55" s="151"/>
      <c r="E55" s="4"/>
      <c r="F55" s="4"/>
      <c r="G55" s="4"/>
      <c r="H55" s="4"/>
      <c r="I55" s="4"/>
      <c r="J55" s="4"/>
    </row>
    <row r="56">
      <c r="A56" s="4"/>
      <c r="B56" s="151"/>
      <c r="C56" s="151"/>
      <c r="D56" s="151"/>
      <c r="E56" s="4"/>
      <c r="F56" s="4"/>
      <c r="G56" s="4"/>
      <c r="H56" s="4"/>
      <c r="I56" s="4"/>
      <c r="J56" s="4"/>
    </row>
    <row r="57">
      <c r="A57" s="4"/>
      <c r="B57" s="151"/>
      <c r="C57" s="151"/>
      <c r="D57" s="151"/>
      <c r="E57" s="4"/>
      <c r="F57" s="4"/>
      <c r="G57" s="4"/>
      <c r="H57" s="4"/>
      <c r="I57" s="4"/>
      <c r="J57" s="4"/>
    </row>
    <row r="58">
      <c r="A58" s="4"/>
      <c r="B58" s="151"/>
      <c r="C58" s="151"/>
      <c r="D58" s="151"/>
      <c r="E58" s="4"/>
      <c r="F58" s="4"/>
      <c r="G58" s="4"/>
      <c r="H58" s="4"/>
      <c r="I58" s="4"/>
      <c r="J58" s="4"/>
    </row>
    <row r="59">
      <c r="A59" s="4"/>
      <c r="B59" s="151"/>
      <c r="C59" s="151"/>
      <c r="D59" s="151"/>
      <c r="E59" s="4"/>
      <c r="F59" s="4"/>
      <c r="G59" s="4"/>
      <c r="H59" s="4"/>
      <c r="I59" s="4"/>
      <c r="J59" s="4"/>
    </row>
    <row r="60">
      <c r="A60" s="4"/>
      <c r="B60" s="151"/>
      <c r="C60" s="151"/>
      <c r="D60" s="151"/>
      <c r="E60" s="4"/>
      <c r="F60" s="4"/>
      <c r="G60" s="4"/>
      <c r="H60" s="4"/>
      <c r="I60" s="4"/>
      <c r="J60" s="4"/>
    </row>
    <row r="61">
      <c r="A61" s="4"/>
      <c r="B61" s="151"/>
      <c r="C61" s="151"/>
      <c r="D61" s="151"/>
      <c r="E61" s="4"/>
      <c r="F61" s="4"/>
      <c r="G61" s="4"/>
      <c r="H61" s="4"/>
      <c r="I61" s="4"/>
      <c r="J61" s="4"/>
    </row>
    <row r="62">
      <c r="A62" s="4"/>
      <c r="B62" s="151"/>
      <c r="C62" s="151"/>
      <c r="D62" s="151"/>
      <c r="E62" s="4"/>
      <c r="F62" s="4"/>
      <c r="G62" s="4"/>
      <c r="H62" s="4"/>
      <c r="I62" s="4"/>
      <c r="J62" s="4"/>
    </row>
    <row r="63">
      <c r="A63" s="4"/>
      <c r="B63" s="151"/>
      <c r="C63" s="151"/>
      <c r="D63" s="151"/>
      <c r="E63" s="4"/>
      <c r="F63" s="4"/>
      <c r="G63" s="4"/>
      <c r="H63" s="4"/>
      <c r="I63" s="4"/>
      <c r="J63" s="4"/>
    </row>
    <row r="64">
      <c r="A64" s="4"/>
      <c r="B64" s="151"/>
      <c r="C64" s="151"/>
      <c r="D64" s="151"/>
      <c r="E64" s="4"/>
      <c r="F64" s="4"/>
      <c r="G64" s="4"/>
      <c r="H64" s="4"/>
      <c r="I64" s="4"/>
      <c r="J64" s="4"/>
    </row>
    <row r="65">
      <c r="A65" s="4"/>
      <c r="B65" s="151"/>
      <c r="C65" s="151"/>
      <c r="D65" s="151"/>
      <c r="E65" s="4"/>
      <c r="F65" s="4"/>
      <c r="G65" s="4"/>
      <c r="H65" s="4"/>
      <c r="I65" s="4"/>
      <c r="J65" s="4"/>
    </row>
    <row r="66">
      <c r="A66" s="4"/>
      <c r="B66" s="151"/>
      <c r="C66" s="151"/>
      <c r="D66" s="151"/>
      <c r="E66" s="4"/>
      <c r="F66" s="4"/>
      <c r="G66" s="4"/>
      <c r="H66" s="4"/>
      <c r="I66" s="4"/>
      <c r="J66" s="4"/>
    </row>
    <row r="67">
      <c r="A67" s="4"/>
      <c r="B67" s="151"/>
      <c r="C67" s="151"/>
      <c r="D67" s="151"/>
      <c r="E67" s="4"/>
      <c r="F67" s="4"/>
      <c r="G67" s="4"/>
      <c r="H67" s="4"/>
      <c r="I67" s="4"/>
      <c r="J67" s="4"/>
    </row>
    <row r="68">
      <c r="A68" s="4"/>
      <c r="B68" s="151"/>
      <c r="C68" s="151"/>
      <c r="D68" s="151"/>
      <c r="E68" s="4"/>
      <c r="F68" s="4"/>
      <c r="G68" s="4"/>
      <c r="H68" s="4"/>
      <c r="I68" s="4"/>
      <c r="J68" s="4"/>
    </row>
    <row r="69">
      <c r="A69" s="4"/>
      <c r="B69" s="151"/>
      <c r="C69" s="151"/>
      <c r="D69" s="151"/>
      <c r="E69" s="4"/>
      <c r="F69" s="4"/>
      <c r="G69" s="4"/>
      <c r="H69" s="4"/>
      <c r="I69" s="4"/>
      <c r="J69" s="4"/>
    </row>
    <row r="70">
      <c r="A70" s="4"/>
      <c r="B70" s="151"/>
      <c r="C70" s="151"/>
      <c r="D70" s="151"/>
      <c r="E70" s="4"/>
      <c r="F70" s="4"/>
      <c r="G70" s="4"/>
      <c r="H70" s="4"/>
      <c r="I70" s="4"/>
      <c r="J70" s="4"/>
    </row>
    <row r="71">
      <c r="A71" s="4"/>
      <c r="B71" s="151"/>
      <c r="C71" s="151"/>
      <c r="D71" s="151"/>
      <c r="E71" s="4"/>
      <c r="F71" s="4"/>
      <c r="G71" s="4"/>
      <c r="H71" s="4"/>
      <c r="I71" s="4"/>
      <c r="J71" s="4"/>
    </row>
    <row r="72">
      <c r="A72" s="4"/>
      <c r="B72" s="151"/>
      <c r="C72" s="151"/>
      <c r="D72" s="151"/>
      <c r="E72" s="4"/>
      <c r="F72" s="4"/>
      <c r="G72" s="4"/>
      <c r="H72" s="4"/>
      <c r="I72" s="4"/>
      <c r="J72" s="4"/>
    </row>
    <row r="73">
      <c r="A73" s="4"/>
      <c r="B73" s="151"/>
      <c r="C73" s="151"/>
      <c r="D73" s="151"/>
      <c r="E73" s="4"/>
      <c r="F73" s="4"/>
      <c r="G73" s="4"/>
      <c r="H73" s="4"/>
      <c r="I73" s="4"/>
      <c r="J73" s="4"/>
    </row>
    <row r="74">
      <c r="A74" s="4"/>
      <c r="B74" s="151"/>
      <c r="C74" s="151"/>
      <c r="D74" s="151"/>
      <c r="E74" s="4"/>
      <c r="F74" s="4"/>
      <c r="G74" s="4"/>
      <c r="H74" s="4"/>
      <c r="I74" s="4"/>
      <c r="J74" s="4"/>
    </row>
    <row r="75">
      <c r="A75" s="4"/>
      <c r="B75" s="151"/>
      <c r="C75" s="151"/>
      <c r="D75" s="151"/>
      <c r="E75" s="4"/>
      <c r="F75" s="4"/>
      <c r="G75" s="4"/>
      <c r="H75" s="4"/>
      <c r="I75" s="4"/>
      <c r="J75" s="4"/>
    </row>
    <row r="76">
      <c r="A76" s="4"/>
      <c r="B76" s="151"/>
      <c r="C76" s="151"/>
      <c r="D76" s="151"/>
      <c r="E76" s="4"/>
      <c r="F76" s="4"/>
      <c r="G76" s="4"/>
      <c r="H76" s="4"/>
      <c r="I76" s="4"/>
      <c r="J76" s="4"/>
    </row>
    <row r="77">
      <c r="A77" s="4"/>
      <c r="B77" s="151"/>
      <c r="C77" s="151"/>
      <c r="D77" s="151"/>
      <c r="E77" s="4"/>
      <c r="F77" s="4"/>
      <c r="G77" s="4"/>
      <c r="H77" s="4"/>
      <c r="I77" s="4"/>
      <c r="J77" s="4"/>
    </row>
    <row r="78">
      <c r="A78" s="4"/>
      <c r="B78" s="151"/>
      <c r="C78" s="151"/>
      <c r="D78" s="151"/>
      <c r="E78" s="4"/>
      <c r="F78" s="4"/>
      <c r="G78" s="4"/>
      <c r="H78" s="4"/>
      <c r="I78" s="4"/>
      <c r="J78" s="4"/>
    </row>
    <row r="79">
      <c r="A79" s="4"/>
      <c r="B79" s="151"/>
      <c r="C79" s="151"/>
      <c r="D79" s="151"/>
      <c r="E79" s="4"/>
      <c r="F79" s="4"/>
      <c r="G79" s="4"/>
      <c r="H79" s="4"/>
      <c r="I79" s="4"/>
      <c r="J79" s="4"/>
    </row>
    <row r="80">
      <c r="A80" s="4"/>
      <c r="B80" s="151"/>
      <c r="C80" s="151"/>
      <c r="D80" s="151"/>
      <c r="E80" s="4"/>
      <c r="F80" s="4"/>
      <c r="G80" s="4"/>
      <c r="H80" s="4"/>
      <c r="I80" s="4"/>
      <c r="J80" s="4"/>
    </row>
    <row r="81">
      <c r="A81" s="4"/>
      <c r="B81" s="151"/>
      <c r="C81" s="151"/>
      <c r="D81" s="151"/>
      <c r="E81" s="4"/>
      <c r="F81" s="4"/>
      <c r="G81" s="4"/>
      <c r="H81" s="4"/>
      <c r="I81" s="4"/>
      <c r="J81" s="4"/>
    </row>
    <row r="82">
      <c r="A82" s="4"/>
      <c r="B82" s="151"/>
      <c r="C82" s="151"/>
      <c r="D82" s="151"/>
      <c r="E82" s="4"/>
      <c r="F82" s="4"/>
      <c r="G82" s="4"/>
      <c r="H82" s="4"/>
      <c r="I82" s="4"/>
      <c r="J82" s="4"/>
    </row>
    <row r="83">
      <c r="A83" s="4"/>
      <c r="B83" s="151"/>
      <c r="C83" s="151"/>
      <c r="D83" s="151"/>
      <c r="E83" s="4"/>
      <c r="F83" s="4"/>
      <c r="G83" s="4"/>
      <c r="H83" s="4"/>
      <c r="I83" s="4"/>
      <c r="J83" s="4"/>
    </row>
    <row r="84">
      <c r="A84" s="4"/>
      <c r="B84" s="151"/>
      <c r="C84" s="151"/>
      <c r="D84" s="151"/>
      <c r="E84" s="4"/>
      <c r="F84" s="4"/>
      <c r="G84" s="4"/>
      <c r="H84" s="4"/>
      <c r="I84" s="4"/>
      <c r="J84" s="4"/>
    </row>
    <row r="85">
      <c r="A85" s="4"/>
      <c r="B85" s="151"/>
      <c r="C85" s="151"/>
      <c r="D85" s="151"/>
      <c r="E85" s="4"/>
      <c r="F85" s="4"/>
      <c r="G85" s="4"/>
      <c r="H85" s="4"/>
      <c r="I85" s="4"/>
      <c r="J85" s="4"/>
    </row>
    <row r="86">
      <c r="A86" s="4"/>
      <c r="B86" s="151"/>
      <c r="C86" s="151"/>
      <c r="D86" s="151"/>
      <c r="E86" s="4"/>
      <c r="F86" s="4"/>
      <c r="G86" s="4"/>
      <c r="H86" s="4"/>
      <c r="I86" s="4"/>
      <c r="J86" s="4"/>
    </row>
    <row r="87">
      <c r="A87" s="4"/>
      <c r="B87" s="151"/>
      <c r="C87" s="151"/>
      <c r="D87" s="151"/>
      <c r="E87" s="4"/>
      <c r="F87" s="4"/>
      <c r="G87" s="4"/>
      <c r="H87" s="4"/>
      <c r="I87" s="4"/>
      <c r="J87" s="4"/>
    </row>
    <row r="88">
      <c r="A88" s="4"/>
      <c r="B88" s="151"/>
      <c r="C88" s="151"/>
      <c r="D88" s="151"/>
      <c r="E88" s="4"/>
      <c r="F88" s="4"/>
      <c r="G88" s="4"/>
      <c r="H88" s="4"/>
      <c r="I88" s="4"/>
      <c r="J88" s="4"/>
    </row>
    <row r="89">
      <c r="A89" s="4"/>
      <c r="B89" s="151"/>
      <c r="C89" s="151"/>
      <c r="D89" s="151"/>
      <c r="E89" s="4"/>
      <c r="F89" s="4"/>
      <c r="G89" s="4"/>
      <c r="H89" s="4"/>
      <c r="I89" s="4"/>
      <c r="J89" s="4"/>
    </row>
    <row r="90">
      <c r="A90" s="4"/>
      <c r="B90" s="151"/>
      <c r="C90" s="151"/>
      <c r="D90" s="151"/>
      <c r="E90" s="4"/>
      <c r="F90" s="4"/>
      <c r="G90" s="4"/>
      <c r="H90" s="4"/>
      <c r="I90" s="4"/>
      <c r="J90" s="4"/>
    </row>
    <row r="91">
      <c r="A91" s="4"/>
      <c r="B91" s="151"/>
      <c r="C91" s="151"/>
      <c r="D91" s="151"/>
      <c r="E91" s="4"/>
      <c r="F91" s="4"/>
      <c r="G91" s="4"/>
      <c r="H91" s="4"/>
      <c r="I91" s="4"/>
      <c r="J91" s="4"/>
    </row>
    <row r="92">
      <c r="A92" s="4"/>
      <c r="B92" s="151"/>
      <c r="C92" s="151"/>
      <c r="D92" s="151"/>
      <c r="E92" s="4"/>
      <c r="F92" s="4"/>
      <c r="G92" s="4"/>
      <c r="H92" s="4"/>
      <c r="I92" s="4"/>
      <c r="J92" s="4"/>
    </row>
    <row r="93">
      <c r="A93" s="4"/>
      <c r="B93" s="151"/>
      <c r="C93" s="151"/>
      <c r="D93" s="151"/>
      <c r="E93" s="4"/>
      <c r="F93" s="4"/>
      <c r="G93" s="4"/>
      <c r="H93" s="4"/>
      <c r="I93" s="4"/>
      <c r="J93" s="4"/>
    </row>
    <row r="94">
      <c r="A94" s="4"/>
      <c r="B94" s="151"/>
      <c r="C94" s="151"/>
      <c r="D94" s="151"/>
      <c r="E94" s="4"/>
      <c r="F94" s="4"/>
      <c r="G94" s="4"/>
      <c r="H94" s="4"/>
      <c r="I94" s="4"/>
      <c r="J94" s="4"/>
    </row>
    <row r="95">
      <c r="A95" s="4"/>
      <c r="B95" s="151"/>
      <c r="C95" s="151"/>
      <c r="D95" s="151"/>
      <c r="E95" s="4"/>
      <c r="F95" s="4"/>
      <c r="G95" s="4"/>
      <c r="H95" s="4"/>
      <c r="I95" s="4"/>
      <c r="J95" s="4"/>
    </row>
    <row r="96">
      <c r="A96" s="4"/>
      <c r="B96" s="151"/>
      <c r="C96" s="151"/>
      <c r="D96" s="151"/>
      <c r="E96" s="4"/>
      <c r="F96" s="4"/>
      <c r="G96" s="4"/>
      <c r="H96" s="4"/>
      <c r="I96" s="4"/>
      <c r="J96" s="4"/>
    </row>
    <row r="97">
      <c r="A97" s="4"/>
      <c r="B97" s="151"/>
      <c r="C97" s="151"/>
      <c r="D97" s="151"/>
      <c r="E97" s="4"/>
      <c r="F97" s="4"/>
      <c r="G97" s="4"/>
      <c r="H97" s="4"/>
      <c r="I97" s="4"/>
      <c r="J97" s="4"/>
    </row>
    <row r="98">
      <c r="A98" s="4"/>
      <c r="B98" s="151"/>
      <c r="C98" s="151"/>
      <c r="D98" s="151"/>
      <c r="E98" s="4"/>
      <c r="F98" s="4"/>
      <c r="G98" s="4"/>
      <c r="H98" s="4"/>
      <c r="I98" s="4"/>
      <c r="J98" s="4"/>
    </row>
    <row r="99">
      <c r="A99" s="4"/>
      <c r="B99" s="151"/>
      <c r="C99" s="151"/>
      <c r="D99" s="151"/>
      <c r="E99" s="4"/>
      <c r="F99" s="4"/>
      <c r="G99" s="4"/>
      <c r="H99" s="4"/>
      <c r="I99" s="4"/>
      <c r="J99" s="4"/>
    </row>
    <row r="100">
      <c r="A100" s="4"/>
      <c r="B100" s="151"/>
      <c r="C100" s="151"/>
      <c r="D100" s="151"/>
      <c r="E100" s="4"/>
      <c r="F100" s="4"/>
      <c r="G100" s="4"/>
      <c r="H100" s="4"/>
      <c r="I100" s="4"/>
      <c r="J100" s="4"/>
    </row>
    <row r="101">
      <c r="A101" s="4"/>
      <c r="B101" s="151"/>
      <c r="C101" s="151"/>
      <c r="D101" s="151"/>
      <c r="E101" s="4"/>
      <c r="F101" s="4"/>
      <c r="G101" s="4"/>
      <c r="H101" s="4"/>
      <c r="I101" s="4"/>
      <c r="J101" s="4"/>
    </row>
    <row r="102">
      <c r="A102" s="4"/>
      <c r="B102" s="151"/>
      <c r="C102" s="151"/>
      <c r="D102" s="151"/>
      <c r="E102" s="4"/>
      <c r="F102" s="4"/>
      <c r="G102" s="4"/>
      <c r="H102" s="4"/>
      <c r="I102" s="4"/>
      <c r="J102" s="4"/>
    </row>
    <row r="103">
      <c r="A103" s="4"/>
      <c r="B103" s="151"/>
      <c r="C103" s="151"/>
      <c r="D103" s="151"/>
      <c r="E103" s="4"/>
      <c r="F103" s="4"/>
      <c r="G103" s="4"/>
      <c r="H103" s="4"/>
      <c r="I103" s="4"/>
      <c r="J103" s="4"/>
    </row>
    <row r="104">
      <c r="A104" s="4"/>
      <c r="B104" s="151"/>
      <c r="C104" s="151"/>
      <c r="D104" s="151"/>
      <c r="E104" s="4"/>
      <c r="F104" s="4"/>
      <c r="G104" s="4"/>
      <c r="H104" s="4"/>
      <c r="I104" s="4"/>
      <c r="J104" s="4"/>
    </row>
    <row r="105">
      <c r="A105" s="4"/>
      <c r="B105" s="151"/>
      <c r="C105" s="151"/>
      <c r="D105" s="151"/>
      <c r="E105" s="4"/>
      <c r="F105" s="4"/>
      <c r="G105" s="4"/>
      <c r="H105" s="4"/>
      <c r="I105" s="4"/>
      <c r="J105" s="4"/>
    </row>
    <row r="106">
      <c r="A106" s="4"/>
      <c r="B106" s="151"/>
      <c r="C106" s="151"/>
      <c r="D106" s="151"/>
      <c r="E106" s="4"/>
      <c r="F106" s="4"/>
      <c r="G106" s="4"/>
      <c r="H106" s="4"/>
      <c r="I106" s="4"/>
      <c r="J106" s="4"/>
    </row>
    <row r="107">
      <c r="A107" s="4"/>
      <c r="B107" s="151"/>
      <c r="C107" s="151"/>
      <c r="D107" s="151"/>
      <c r="E107" s="4"/>
      <c r="F107" s="4"/>
      <c r="G107" s="4"/>
      <c r="H107" s="4"/>
      <c r="I107" s="4"/>
      <c r="J107" s="4"/>
    </row>
    <row r="108">
      <c r="A108" s="4"/>
      <c r="B108" s="151"/>
      <c r="C108" s="151"/>
      <c r="D108" s="151"/>
      <c r="E108" s="4"/>
      <c r="F108" s="4"/>
      <c r="G108" s="4"/>
      <c r="H108" s="4"/>
      <c r="I108" s="4"/>
      <c r="J108" s="4"/>
    </row>
    <row r="109">
      <c r="A109" s="4"/>
      <c r="B109" s="151"/>
      <c r="C109" s="151"/>
      <c r="D109" s="151"/>
      <c r="E109" s="4"/>
      <c r="F109" s="4"/>
      <c r="G109" s="4"/>
      <c r="H109" s="4"/>
      <c r="I109" s="4"/>
      <c r="J109" s="4"/>
    </row>
    <row r="110">
      <c r="A110" s="4"/>
      <c r="B110" s="151"/>
      <c r="C110" s="151"/>
      <c r="D110" s="151"/>
      <c r="E110" s="4"/>
      <c r="F110" s="4"/>
      <c r="G110" s="4"/>
      <c r="H110" s="4"/>
      <c r="I110" s="4"/>
      <c r="J110" s="4"/>
    </row>
    <row r="111">
      <c r="A111" s="4"/>
      <c r="B111" s="151"/>
      <c r="C111" s="151"/>
      <c r="D111" s="151"/>
      <c r="E111" s="4"/>
      <c r="F111" s="4"/>
      <c r="G111" s="4"/>
      <c r="H111" s="4"/>
      <c r="I111" s="4"/>
      <c r="J111" s="4"/>
    </row>
    <row r="112">
      <c r="A112" s="4"/>
      <c r="B112" s="151"/>
      <c r="C112" s="151"/>
      <c r="D112" s="151"/>
      <c r="E112" s="4"/>
      <c r="F112" s="4"/>
      <c r="G112" s="4"/>
      <c r="H112" s="4"/>
      <c r="I112" s="4"/>
      <c r="J112" s="4"/>
    </row>
    <row r="113">
      <c r="A113" s="4"/>
      <c r="B113" s="151"/>
      <c r="C113" s="151"/>
      <c r="D113" s="151"/>
      <c r="E113" s="4"/>
      <c r="F113" s="4"/>
      <c r="G113" s="4"/>
      <c r="H113" s="4"/>
      <c r="I113" s="4"/>
      <c r="J113" s="4"/>
    </row>
    <row r="114">
      <c r="A114" s="4"/>
      <c r="B114" s="151"/>
      <c r="C114" s="151"/>
      <c r="D114" s="151"/>
      <c r="E114" s="4"/>
      <c r="F114" s="4"/>
      <c r="G114" s="4"/>
      <c r="H114" s="4"/>
      <c r="I114" s="4"/>
      <c r="J114" s="4"/>
    </row>
    <row r="115">
      <c r="A115" s="4"/>
      <c r="B115" s="151"/>
      <c r="C115" s="151"/>
      <c r="D115" s="151"/>
      <c r="E115" s="4"/>
      <c r="F115" s="4"/>
      <c r="G115" s="4"/>
      <c r="H115" s="4"/>
      <c r="I115" s="4"/>
      <c r="J115" s="4"/>
    </row>
    <row r="116">
      <c r="A116" s="4"/>
      <c r="B116" s="151"/>
      <c r="C116" s="151"/>
      <c r="D116" s="151"/>
      <c r="E116" s="4"/>
      <c r="F116" s="4"/>
      <c r="G116" s="4"/>
      <c r="H116" s="4"/>
      <c r="I116" s="4"/>
      <c r="J116" s="4"/>
    </row>
    <row r="117">
      <c r="A117" s="4"/>
      <c r="B117" s="151"/>
      <c r="C117" s="151"/>
      <c r="D117" s="151"/>
      <c r="E117" s="4"/>
      <c r="F117" s="4"/>
      <c r="G117" s="4"/>
      <c r="H117" s="4"/>
      <c r="I117" s="4"/>
      <c r="J117" s="4"/>
    </row>
    <row r="118">
      <c r="A118" s="4"/>
      <c r="B118" s="151"/>
      <c r="C118" s="151"/>
      <c r="D118" s="151"/>
      <c r="E118" s="4"/>
      <c r="F118" s="4"/>
      <c r="G118" s="4"/>
      <c r="H118" s="4"/>
      <c r="I118" s="4"/>
      <c r="J118" s="4"/>
    </row>
    <row r="119">
      <c r="A119" s="4"/>
      <c r="B119" s="151"/>
      <c r="C119" s="151"/>
      <c r="D119" s="151"/>
      <c r="E119" s="4"/>
      <c r="F119" s="4"/>
      <c r="G119" s="4"/>
      <c r="H119" s="4"/>
      <c r="I119" s="4"/>
      <c r="J119" s="4"/>
    </row>
    <row r="120">
      <c r="A120" s="4"/>
      <c r="B120" s="151"/>
      <c r="C120" s="151"/>
      <c r="D120" s="151"/>
      <c r="E120" s="4"/>
      <c r="F120" s="4"/>
      <c r="G120" s="4"/>
      <c r="H120" s="4"/>
      <c r="I120" s="4"/>
      <c r="J120" s="4"/>
    </row>
    <row r="121">
      <c r="A121" s="4"/>
      <c r="B121" s="151"/>
      <c r="C121" s="151"/>
      <c r="D121" s="151"/>
      <c r="E121" s="4"/>
      <c r="F121" s="4"/>
      <c r="G121" s="4"/>
      <c r="H121" s="4"/>
      <c r="I121" s="4"/>
      <c r="J121" s="4"/>
    </row>
    <row r="122">
      <c r="A122" s="4"/>
      <c r="B122" s="151"/>
      <c r="C122" s="151"/>
      <c r="D122" s="151"/>
      <c r="E122" s="4"/>
      <c r="F122" s="4"/>
      <c r="G122" s="4"/>
      <c r="H122" s="4"/>
      <c r="I122" s="4"/>
      <c r="J122" s="4"/>
    </row>
    <row r="123">
      <c r="A123" s="4"/>
      <c r="B123" s="151"/>
      <c r="C123" s="151"/>
      <c r="D123" s="151"/>
      <c r="E123" s="4"/>
      <c r="F123" s="4"/>
      <c r="G123" s="4"/>
      <c r="H123" s="4"/>
      <c r="I123" s="4"/>
      <c r="J123" s="4"/>
    </row>
    <row r="124">
      <c r="A124" s="4"/>
      <c r="B124" s="151"/>
      <c r="C124" s="151"/>
      <c r="D124" s="151"/>
      <c r="E124" s="4"/>
      <c r="F124" s="4"/>
      <c r="G124" s="4"/>
      <c r="H124" s="4"/>
      <c r="I124" s="4"/>
      <c r="J124" s="4"/>
    </row>
    <row r="125">
      <c r="A125" s="4"/>
      <c r="B125" s="151"/>
      <c r="C125" s="151"/>
      <c r="D125" s="151"/>
      <c r="E125" s="4"/>
      <c r="F125" s="4"/>
      <c r="G125" s="4"/>
      <c r="H125" s="4"/>
      <c r="I125" s="4"/>
      <c r="J125" s="4"/>
    </row>
    <row r="126">
      <c r="A126" s="4"/>
      <c r="B126" s="151"/>
      <c r="C126" s="151"/>
      <c r="D126" s="151"/>
      <c r="E126" s="4"/>
      <c r="F126" s="4"/>
      <c r="G126" s="4"/>
      <c r="H126" s="4"/>
      <c r="I126" s="4"/>
      <c r="J126" s="4"/>
    </row>
    <row r="127">
      <c r="A127" s="4"/>
      <c r="B127" s="151"/>
      <c r="C127" s="151"/>
      <c r="D127" s="151"/>
      <c r="E127" s="4"/>
      <c r="F127" s="4"/>
      <c r="G127" s="4"/>
      <c r="H127" s="4"/>
      <c r="I127" s="4"/>
      <c r="J127" s="4"/>
    </row>
    <row r="128">
      <c r="A128" s="4"/>
      <c r="B128" s="151"/>
      <c r="C128" s="151"/>
      <c r="D128" s="151"/>
      <c r="E128" s="4"/>
      <c r="F128" s="4"/>
      <c r="G128" s="4"/>
      <c r="H128" s="4"/>
      <c r="I128" s="4"/>
      <c r="J128" s="4"/>
    </row>
    <row r="129">
      <c r="A129" s="4"/>
      <c r="B129" s="151"/>
      <c r="C129" s="151"/>
      <c r="D129" s="151"/>
      <c r="E129" s="4"/>
      <c r="F129" s="4"/>
      <c r="G129" s="4"/>
      <c r="H129" s="4"/>
      <c r="I129" s="4"/>
      <c r="J129" s="4"/>
    </row>
    <row r="130">
      <c r="A130" s="4"/>
      <c r="B130" s="151"/>
      <c r="C130" s="151"/>
      <c r="D130" s="151"/>
      <c r="E130" s="4"/>
      <c r="F130" s="4"/>
      <c r="G130" s="4"/>
      <c r="H130" s="4"/>
      <c r="I130" s="4"/>
      <c r="J130" s="4"/>
    </row>
    <row r="131">
      <c r="A131" s="4"/>
      <c r="B131" s="151"/>
      <c r="C131" s="151"/>
      <c r="D131" s="151"/>
      <c r="E131" s="4"/>
      <c r="F131" s="4"/>
      <c r="G131" s="4"/>
      <c r="H131" s="4"/>
      <c r="I131" s="4"/>
      <c r="J131" s="4"/>
    </row>
    <row r="132">
      <c r="A132" s="4"/>
      <c r="B132" s="151"/>
      <c r="C132" s="151"/>
      <c r="D132" s="151"/>
      <c r="E132" s="4"/>
      <c r="F132" s="4"/>
      <c r="G132" s="4"/>
      <c r="H132" s="4"/>
      <c r="I132" s="4"/>
      <c r="J132" s="4"/>
    </row>
    <row r="133">
      <c r="A133" s="4"/>
      <c r="B133" s="151"/>
      <c r="C133" s="151"/>
      <c r="D133" s="151"/>
      <c r="E133" s="4"/>
      <c r="F133" s="4"/>
      <c r="G133" s="4"/>
      <c r="H133" s="4"/>
      <c r="I133" s="4"/>
      <c r="J133" s="4"/>
    </row>
    <row r="134">
      <c r="A134" s="4"/>
      <c r="B134" s="151"/>
      <c r="C134" s="151"/>
      <c r="D134" s="151"/>
      <c r="E134" s="4"/>
      <c r="F134" s="4"/>
      <c r="G134" s="4"/>
      <c r="H134" s="4"/>
      <c r="I134" s="4"/>
      <c r="J134" s="4"/>
    </row>
    <row r="135">
      <c r="A135" s="4"/>
      <c r="B135" s="151"/>
      <c r="C135" s="151"/>
      <c r="D135" s="151"/>
      <c r="E135" s="4"/>
      <c r="F135" s="4"/>
      <c r="G135" s="4"/>
      <c r="H135" s="4"/>
      <c r="I135" s="4"/>
      <c r="J135" s="4"/>
    </row>
    <row r="136">
      <c r="A136" s="4"/>
      <c r="B136" s="151"/>
      <c r="C136" s="151"/>
      <c r="D136" s="151"/>
      <c r="E136" s="4"/>
      <c r="F136" s="4"/>
      <c r="G136" s="4"/>
      <c r="H136" s="4"/>
      <c r="I136" s="4"/>
      <c r="J136" s="4"/>
    </row>
    <row r="137">
      <c r="A137" s="4"/>
      <c r="B137" s="151"/>
      <c r="C137" s="151"/>
      <c r="D137" s="151"/>
      <c r="E137" s="4"/>
      <c r="F137" s="4"/>
      <c r="G137" s="4"/>
      <c r="H137" s="4"/>
      <c r="I137" s="4"/>
      <c r="J137" s="4"/>
    </row>
    <row r="138">
      <c r="A138" s="4"/>
      <c r="B138" s="151"/>
      <c r="C138" s="151"/>
      <c r="D138" s="151"/>
      <c r="E138" s="4"/>
      <c r="F138" s="4"/>
      <c r="G138" s="4"/>
      <c r="H138" s="4"/>
      <c r="I138" s="4"/>
      <c r="J138" s="4"/>
    </row>
    <row r="139">
      <c r="A139" s="4"/>
      <c r="B139" s="151"/>
      <c r="C139" s="151"/>
      <c r="D139" s="151"/>
      <c r="E139" s="4"/>
      <c r="F139" s="4"/>
      <c r="G139" s="4"/>
      <c r="H139" s="4"/>
      <c r="I139" s="4"/>
      <c r="J139" s="4"/>
    </row>
    <row r="140">
      <c r="A140" s="4"/>
      <c r="B140" s="151"/>
      <c r="C140" s="151"/>
      <c r="D140" s="151"/>
      <c r="E140" s="4"/>
      <c r="F140" s="4"/>
      <c r="G140" s="4"/>
      <c r="H140" s="4"/>
      <c r="I140" s="4"/>
      <c r="J140" s="4"/>
    </row>
    <row r="141">
      <c r="A141" s="4"/>
      <c r="B141" s="151"/>
      <c r="C141" s="151"/>
      <c r="D141" s="151"/>
      <c r="E141" s="4"/>
      <c r="F141" s="4"/>
      <c r="G141" s="4"/>
      <c r="H141" s="4"/>
      <c r="I141" s="4"/>
      <c r="J141" s="4"/>
    </row>
    <row r="142">
      <c r="A142" s="4"/>
      <c r="B142" s="151"/>
      <c r="C142" s="151"/>
      <c r="D142" s="151"/>
      <c r="E142" s="4"/>
      <c r="F142" s="4"/>
      <c r="G142" s="4"/>
      <c r="H142" s="4"/>
      <c r="I142" s="4"/>
      <c r="J142" s="4"/>
    </row>
    <row r="143">
      <c r="A143" s="4"/>
      <c r="B143" s="151"/>
      <c r="C143" s="151"/>
      <c r="D143" s="151"/>
      <c r="E143" s="4"/>
      <c r="F143" s="4"/>
      <c r="G143" s="4"/>
      <c r="H143" s="4"/>
      <c r="I143" s="4"/>
      <c r="J143" s="4"/>
    </row>
    <row r="144">
      <c r="A144" s="4"/>
      <c r="B144" s="151"/>
      <c r="C144" s="151"/>
      <c r="D144" s="151"/>
      <c r="E144" s="4"/>
      <c r="F144" s="4"/>
      <c r="G144" s="4"/>
      <c r="H144" s="4"/>
      <c r="I144" s="4"/>
      <c r="J144" s="4"/>
    </row>
    <row r="145">
      <c r="A145" s="4"/>
      <c r="B145" s="151"/>
      <c r="C145" s="151"/>
      <c r="D145" s="151"/>
      <c r="E145" s="4"/>
      <c r="F145" s="4"/>
      <c r="G145" s="4"/>
      <c r="H145" s="4"/>
      <c r="I145" s="4"/>
      <c r="J145" s="4"/>
    </row>
    <row r="146">
      <c r="A146" s="4"/>
      <c r="B146" s="151"/>
      <c r="C146" s="151"/>
      <c r="D146" s="151"/>
      <c r="E146" s="4"/>
      <c r="F146" s="4"/>
      <c r="G146" s="4"/>
      <c r="H146" s="4"/>
      <c r="I146" s="4"/>
      <c r="J146" s="4"/>
    </row>
    <row r="147">
      <c r="A147" s="4"/>
      <c r="B147" s="151"/>
      <c r="C147" s="151"/>
      <c r="D147" s="151"/>
      <c r="E147" s="4"/>
      <c r="F147" s="4"/>
      <c r="G147" s="4"/>
      <c r="H147" s="4"/>
      <c r="I147" s="4"/>
      <c r="J147" s="4"/>
    </row>
    <row r="148">
      <c r="A148" s="4"/>
      <c r="B148" s="151"/>
      <c r="C148" s="151"/>
      <c r="D148" s="151"/>
      <c r="E148" s="4"/>
      <c r="F148" s="4"/>
      <c r="G148" s="4"/>
      <c r="H148" s="4"/>
      <c r="I148" s="4"/>
      <c r="J148" s="4"/>
    </row>
    <row r="149">
      <c r="A149" s="4"/>
      <c r="B149" s="151"/>
      <c r="C149" s="151"/>
      <c r="D149" s="151"/>
      <c r="E149" s="4"/>
      <c r="F149" s="4"/>
      <c r="G149" s="4"/>
      <c r="H149" s="4"/>
      <c r="I149" s="4"/>
      <c r="J149" s="4"/>
    </row>
    <row r="150">
      <c r="A150" s="4"/>
      <c r="B150" s="151"/>
      <c r="C150" s="151"/>
      <c r="D150" s="151"/>
      <c r="E150" s="4"/>
      <c r="F150" s="4"/>
      <c r="G150" s="4"/>
      <c r="H150" s="4"/>
      <c r="I150" s="4"/>
      <c r="J150" s="4"/>
    </row>
    <row r="151">
      <c r="A151" s="4"/>
      <c r="B151" s="151"/>
      <c r="C151" s="151"/>
      <c r="D151" s="151"/>
      <c r="E151" s="4"/>
      <c r="F151" s="4"/>
      <c r="G151" s="4"/>
      <c r="H151" s="4"/>
      <c r="I151" s="4"/>
      <c r="J151" s="4"/>
    </row>
    <row r="152">
      <c r="A152" s="4"/>
      <c r="B152" s="151"/>
      <c r="C152" s="151"/>
      <c r="D152" s="151"/>
      <c r="E152" s="4"/>
      <c r="F152" s="4"/>
      <c r="G152" s="4"/>
      <c r="H152" s="4"/>
      <c r="I152" s="4"/>
      <c r="J152" s="4"/>
    </row>
    <row r="153">
      <c r="A153" s="4"/>
      <c r="B153" s="151"/>
      <c r="C153" s="151"/>
      <c r="D153" s="151"/>
      <c r="E153" s="4"/>
      <c r="F153" s="4"/>
      <c r="G153" s="4"/>
      <c r="H153" s="4"/>
      <c r="I153" s="4"/>
      <c r="J153" s="4"/>
    </row>
    <row r="154">
      <c r="A154" s="4"/>
      <c r="B154" s="151"/>
      <c r="C154" s="151"/>
      <c r="D154" s="151"/>
      <c r="E154" s="4"/>
      <c r="F154" s="4"/>
      <c r="G154" s="4"/>
      <c r="H154" s="4"/>
      <c r="I154" s="4"/>
      <c r="J154" s="4"/>
    </row>
    <row r="155">
      <c r="A155" s="4"/>
      <c r="B155" s="151"/>
      <c r="C155" s="151"/>
      <c r="D155" s="151"/>
      <c r="E155" s="4"/>
      <c r="F155" s="4"/>
      <c r="G155" s="4"/>
      <c r="H155" s="4"/>
      <c r="I155" s="4"/>
      <c r="J155" s="4"/>
    </row>
    <row r="156">
      <c r="A156" s="4"/>
      <c r="B156" s="151"/>
      <c r="C156" s="151"/>
      <c r="D156" s="151"/>
      <c r="E156" s="4"/>
      <c r="F156" s="4"/>
      <c r="G156" s="4"/>
      <c r="H156" s="4"/>
      <c r="I156" s="4"/>
      <c r="J156" s="4"/>
    </row>
    <row r="157">
      <c r="A157" s="4"/>
      <c r="B157" s="151"/>
      <c r="C157" s="151"/>
      <c r="D157" s="151"/>
      <c r="E157" s="4"/>
      <c r="F157" s="4"/>
      <c r="G157" s="4"/>
      <c r="H157" s="4"/>
      <c r="I157" s="4"/>
      <c r="J157" s="4"/>
    </row>
    <row r="158">
      <c r="A158" s="4"/>
      <c r="B158" s="151"/>
      <c r="C158" s="151"/>
      <c r="D158" s="151"/>
      <c r="E158" s="4"/>
      <c r="F158" s="4"/>
      <c r="G158" s="4"/>
      <c r="H158" s="4"/>
      <c r="I158" s="4"/>
      <c r="J158" s="4"/>
    </row>
    <row r="159">
      <c r="A159" s="4"/>
      <c r="B159" s="151"/>
      <c r="C159" s="151"/>
      <c r="D159" s="151"/>
      <c r="E159" s="4"/>
      <c r="F159" s="4"/>
      <c r="G159" s="4"/>
      <c r="H159" s="4"/>
      <c r="I159" s="4"/>
      <c r="J159" s="4"/>
    </row>
    <row r="160">
      <c r="A160" s="4"/>
      <c r="B160" s="151"/>
      <c r="C160" s="151"/>
      <c r="D160" s="151"/>
      <c r="E160" s="4"/>
      <c r="F160" s="4"/>
      <c r="G160" s="4"/>
      <c r="H160" s="4"/>
      <c r="I160" s="4"/>
      <c r="J160" s="4"/>
    </row>
    <row r="161">
      <c r="A161" s="4"/>
      <c r="B161" s="151"/>
      <c r="C161" s="151"/>
      <c r="D161" s="151"/>
      <c r="E161" s="4"/>
      <c r="F161" s="4"/>
      <c r="G161" s="4"/>
      <c r="H161" s="4"/>
      <c r="I161" s="4"/>
      <c r="J161" s="4"/>
    </row>
    <row r="162">
      <c r="A162" s="4"/>
      <c r="B162" s="151"/>
      <c r="C162" s="151"/>
      <c r="D162" s="151"/>
      <c r="E162" s="4"/>
      <c r="F162" s="4"/>
      <c r="G162" s="4"/>
      <c r="H162" s="4"/>
      <c r="I162" s="4"/>
      <c r="J162" s="4"/>
    </row>
    <row r="163">
      <c r="A163" s="4"/>
      <c r="B163" s="151"/>
      <c r="C163" s="151"/>
      <c r="D163" s="151"/>
      <c r="E163" s="4"/>
      <c r="F163" s="4"/>
      <c r="G163" s="4"/>
      <c r="H163" s="4"/>
      <c r="I163" s="4"/>
      <c r="J163" s="4"/>
    </row>
    <row r="164">
      <c r="A164" s="4"/>
      <c r="B164" s="151"/>
      <c r="C164" s="151"/>
      <c r="D164" s="151"/>
      <c r="E164" s="4"/>
      <c r="F164" s="4"/>
      <c r="G164" s="4"/>
      <c r="H164" s="4"/>
      <c r="I164" s="4"/>
      <c r="J164" s="4"/>
    </row>
    <row r="165">
      <c r="A165" s="4"/>
      <c r="B165" s="151"/>
      <c r="C165" s="151"/>
      <c r="D165" s="151"/>
      <c r="E165" s="4"/>
      <c r="F165" s="4"/>
      <c r="G165" s="4"/>
      <c r="H165" s="4"/>
      <c r="I165" s="4"/>
      <c r="J165" s="4"/>
    </row>
    <row r="166">
      <c r="A166" s="4"/>
      <c r="B166" s="151"/>
      <c r="C166" s="151"/>
      <c r="D166" s="151"/>
      <c r="E166" s="4"/>
      <c r="F166" s="4"/>
      <c r="G166" s="4"/>
      <c r="H166" s="4"/>
      <c r="I166" s="4"/>
      <c r="J166" s="4"/>
    </row>
    <row r="167">
      <c r="A167" s="4"/>
      <c r="B167" s="151"/>
      <c r="C167" s="151"/>
      <c r="D167" s="151"/>
      <c r="E167" s="4"/>
      <c r="F167" s="4"/>
      <c r="G167" s="4"/>
      <c r="H167" s="4"/>
      <c r="I167" s="4"/>
      <c r="J167" s="4"/>
    </row>
    <row r="168">
      <c r="A168" s="4"/>
      <c r="B168" s="151"/>
      <c r="C168" s="151"/>
      <c r="D168" s="151"/>
      <c r="E168" s="4"/>
      <c r="F168" s="4"/>
      <c r="G168" s="4"/>
      <c r="H168" s="4"/>
      <c r="I168" s="4"/>
      <c r="J168" s="4"/>
    </row>
    <row r="169">
      <c r="A169" s="4"/>
      <c r="B169" s="151"/>
      <c r="C169" s="151"/>
      <c r="D169" s="151"/>
      <c r="E169" s="4"/>
      <c r="F169" s="4"/>
      <c r="G169" s="4"/>
      <c r="H169" s="4"/>
      <c r="I169" s="4"/>
      <c r="J169" s="4"/>
    </row>
    <row r="170">
      <c r="A170" s="4"/>
      <c r="B170" s="151"/>
      <c r="C170" s="151"/>
      <c r="D170" s="151"/>
      <c r="E170" s="4"/>
      <c r="F170" s="4"/>
      <c r="G170" s="4"/>
      <c r="H170" s="4"/>
      <c r="I170" s="4"/>
      <c r="J170" s="4"/>
    </row>
    <row r="171">
      <c r="A171" s="4"/>
      <c r="B171" s="151"/>
      <c r="C171" s="151"/>
      <c r="D171" s="151"/>
      <c r="E171" s="4"/>
      <c r="F171" s="4"/>
      <c r="G171" s="4"/>
      <c r="H171" s="4"/>
      <c r="I171" s="4"/>
      <c r="J171" s="4"/>
    </row>
    <row r="172">
      <c r="A172" s="4"/>
      <c r="B172" s="151"/>
      <c r="C172" s="151"/>
      <c r="D172" s="151"/>
      <c r="E172" s="4"/>
      <c r="F172" s="4"/>
      <c r="G172" s="4"/>
      <c r="H172" s="4"/>
      <c r="I172" s="4"/>
      <c r="J172" s="4"/>
    </row>
    <row r="173">
      <c r="A173" s="4"/>
      <c r="B173" s="151"/>
      <c r="C173" s="151"/>
      <c r="D173" s="151"/>
      <c r="E173" s="4"/>
      <c r="F173" s="4"/>
      <c r="G173" s="4"/>
      <c r="H173" s="4"/>
      <c r="I173" s="4"/>
      <c r="J173" s="4"/>
    </row>
    <row r="174">
      <c r="A174" s="4"/>
      <c r="B174" s="151"/>
      <c r="C174" s="151"/>
      <c r="D174" s="151"/>
      <c r="E174" s="4"/>
      <c r="F174" s="4"/>
      <c r="G174" s="4"/>
      <c r="H174" s="4"/>
      <c r="I174" s="4"/>
      <c r="J174" s="4"/>
    </row>
    <row r="175">
      <c r="A175" s="4"/>
      <c r="B175" s="151"/>
      <c r="C175" s="151"/>
      <c r="D175" s="151"/>
      <c r="E175" s="4"/>
      <c r="F175" s="4"/>
      <c r="G175" s="4"/>
      <c r="H175" s="4"/>
      <c r="I175" s="4"/>
      <c r="J175" s="4"/>
    </row>
    <row r="176">
      <c r="A176" s="4"/>
      <c r="B176" s="151"/>
      <c r="C176" s="151"/>
      <c r="D176" s="151"/>
      <c r="E176" s="4"/>
      <c r="F176" s="4"/>
      <c r="G176" s="4"/>
      <c r="H176" s="4"/>
      <c r="I176" s="4"/>
      <c r="J176" s="4"/>
    </row>
    <row r="177">
      <c r="A177" s="4"/>
      <c r="B177" s="151"/>
      <c r="C177" s="151"/>
      <c r="D177" s="151"/>
      <c r="E177" s="4"/>
      <c r="F177" s="4"/>
      <c r="G177" s="4"/>
      <c r="H177" s="4"/>
      <c r="I177" s="4"/>
      <c r="J177" s="4"/>
    </row>
    <row r="178">
      <c r="A178" s="4"/>
      <c r="B178" s="151"/>
      <c r="C178" s="151"/>
      <c r="D178" s="151"/>
      <c r="E178" s="4"/>
      <c r="F178" s="4"/>
      <c r="G178" s="4"/>
      <c r="H178" s="4"/>
      <c r="I178" s="4"/>
      <c r="J178" s="4"/>
    </row>
    <row r="179">
      <c r="A179" s="4"/>
      <c r="B179" s="151"/>
      <c r="C179" s="151"/>
      <c r="D179" s="151"/>
      <c r="E179" s="4"/>
      <c r="F179" s="4"/>
      <c r="G179" s="4"/>
      <c r="H179" s="4"/>
      <c r="I179" s="4"/>
      <c r="J179" s="4"/>
    </row>
    <row r="180">
      <c r="A180" s="4"/>
      <c r="B180" s="151"/>
      <c r="C180" s="151"/>
      <c r="D180" s="151"/>
      <c r="E180" s="4"/>
      <c r="F180" s="4"/>
      <c r="G180" s="4"/>
      <c r="H180" s="4"/>
      <c r="I180" s="4"/>
      <c r="J180" s="4"/>
    </row>
    <row r="181">
      <c r="A181" s="4"/>
      <c r="B181" s="151"/>
      <c r="C181" s="151"/>
      <c r="D181" s="151"/>
      <c r="E181" s="4"/>
      <c r="F181" s="4"/>
      <c r="G181" s="4"/>
      <c r="H181" s="4"/>
      <c r="I181" s="4"/>
      <c r="J181" s="4"/>
    </row>
    <row r="182">
      <c r="A182" s="4"/>
      <c r="B182" s="151"/>
      <c r="C182" s="151"/>
      <c r="D182" s="151"/>
      <c r="E182" s="4"/>
      <c r="F182" s="4"/>
      <c r="G182" s="4"/>
      <c r="H182" s="4"/>
      <c r="I182" s="4"/>
      <c r="J182" s="4"/>
    </row>
    <row r="183">
      <c r="A183" s="4"/>
      <c r="B183" s="151"/>
      <c r="C183" s="151"/>
      <c r="D183" s="151"/>
      <c r="E183" s="4"/>
      <c r="F183" s="4"/>
      <c r="G183" s="4"/>
      <c r="H183" s="4"/>
      <c r="I183" s="4"/>
      <c r="J183" s="4"/>
    </row>
    <row r="184">
      <c r="A184" s="4"/>
      <c r="B184" s="151"/>
      <c r="C184" s="151"/>
      <c r="D184" s="151"/>
      <c r="E184" s="4"/>
      <c r="F184" s="4"/>
      <c r="G184" s="4"/>
      <c r="H184" s="4"/>
      <c r="I184" s="4"/>
      <c r="J184" s="4"/>
    </row>
    <row r="185">
      <c r="A185" s="4"/>
      <c r="B185" s="151"/>
      <c r="C185" s="151"/>
      <c r="D185" s="151"/>
      <c r="E185" s="4"/>
      <c r="F185" s="4"/>
      <c r="G185" s="4"/>
      <c r="H185" s="4"/>
      <c r="I185" s="4"/>
      <c r="J185" s="4"/>
    </row>
    <row r="186">
      <c r="A186" s="4"/>
      <c r="B186" s="151"/>
      <c r="C186" s="151"/>
      <c r="D186" s="151"/>
      <c r="E186" s="4"/>
      <c r="F186" s="4"/>
      <c r="G186" s="4"/>
      <c r="H186" s="4"/>
      <c r="I186" s="4"/>
      <c r="J186" s="4"/>
    </row>
    <row r="187">
      <c r="A187" s="4"/>
      <c r="B187" s="151"/>
      <c r="C187" s="151"/>
      <c r="D187" s="151"/>
      <c r="E187" s="4"/>
      <c r="F187" s="4"/>
      <c r="G187" s="4"/>
      <c r="H187" s="4"/>
      <c r="I187" s="4"/>
      <c r="J187" s="4"/>
    </row>
    <row r="188">
      <c r="A188" s="4"/>
      <c r="B188" s="151"/>
      <c r="C188" s="151"/>
      <c r="D188" s="151"/>
      <c r="E188" s="4"/>
      <c r="F188" s="4"/>
      <c r="G188" s="4"/>
      <c r="H188" s="4"/>
      <c r="I188" s="4"/>
      <c r="J188" s="4"/>
    </row>
    <row r="189">
      <c r="A189" s="4"/>
      <c r="B189" s="151"/>
      <c r="C189" s="151"/>
      <c r="D189" s="151"/>
      <c r="E189" s="4"/>
      <c r="F189" s="4"/>
      <c r="G189" s="4"/>
      <c r="H189" s="4"/>
      <c r="I189" s="4"/>
      <c r="J189" s="4"/>
    </row>
    <row r="190">
      <c r="A190" s="4"/>
      <c r="B190" s="151"/>
      <c r="C190" s="151"/>
      <c r="D190" s="151"/>
      <c r="E190" s="4"/>
      <c r="F190" s="4"/>
      <c r="G190" s="4"/>
      <c r="H190" s="4"/>
      <c r="I190" s="4"/>
      <c r="J190" s="4"/>
    </row>
    <row r="191">
      <c r="A191" s="4"/>
      <c r="B191" s="151"/>
      <c r="C191" s="151"/>
      <c r="D191" s="151"/>
      <c r="E191" s="4"/>
      <c r="F191" s="4"/>
      <c r="G191" s="4"/>
      <c r="H191" s="4"/>
      <c r="I191" s="4"/>
      <c r="J191" s="4"/>
    </row>
    <row r="192">
      <c r="A192" s="4"/>
      <c r="B192" s="151"/>
      <c r="C192" s="151"/>
      <c r="D192" s="151"/>
      <c r="E192" s="4"/>
      <c r="F192" s="4"/>
      <c r="G192" s="4"/>
      <c r="H192" s="4"/>
      <c r="I192" s="4"/>
      <c r="J192" s="4"/>
    </row>
    <row r="193">
      <c r="A193" s="4"/>
      <c r="B193" s="151"/>
      <c r="C193" s="151"/>
      <c r="D193" s="151"/>
      <c r="E193" s="4"/>
      <c r="F193" s="4"/>
      <c r="G193" s="4"/>
      <c r="H193" s="4"/>
      <c r="I193" s="4"/>
      <c r="J193" s="4"/>
    </row>
    <row r="194">
      <c r="A194" s="4"/>
      <c r="B194" s="151"/>
      <c r="C194" s="151"/>
      <c r="D194" s="151"/>
      <c r="E194" s="4"/>
      <c r="F194" s="4"/>
      <c r="G194" s="4"/>
      <c r="H194" s="4"/>
      <c r="I194" s="4"/>
      <c r="J194" s="4"/>
    </row>
    <row r="195">
      <c r="A195" s="4"/>
      <c r="B195" s="151"/>
      <c r="C195" s="151"/>
      <c r="D195" s="151"/>
      <c r="E195" s="4"/>
      <c r="F195" s="4"/>
      <c r="G195" s="4"/>
      <c r="H195" s="4"/>
      <c r="I195" s="4"/>
      <c r="J195" s="4"/>
    </row>
    <row r="196">
      <c r="A196" s="4"/>
      <c r="B196" s="151"/>
      <c r="C196" s="151"/>
      <c r="D196" s="151"/>
      <c r="E196" s="4"/>
      <c r="F196" s="4"/>
      <c r="G196" s="4"/>
      <c r="H196" s="4"/>
      <c r="I196" s="4"/>
      <c r="J196" s="4"/>
    </row>
    <row r="197">
      <c r="A197" s="4"/>
      <c r="B197" s="151"/>
      <c r="C197" s="151"/>
      <c r="D197" s="151"/>
      <c r="E197" s="4"/>
      <c r="F197" s="4"/>
      <c r="G197" s="4"/>
      <c r="H197" s="4"/>
      <c r="I197" s="4"/>
      <c r="J197" s="4"/>
    </row>
    <row r="198">
      <c r="A198" s="4"/>
      <c r="B198" s="151"/>
      <c r="C198" s="151"/>
      <c r="D198" s="151"/>
      <c r="E198" s="4"/>
      <c r="F198" s="4"/>
      <c r="G198" s="4"/>
      <c r="H198" s="4"/>
      <c r="I198" s="4"/>
      <c r="J198" s="4"/>
    </row>
    <row r="199">
      <c r="A199" s="4"/>
      <c r="B199" s="151"/>
      <c r="C199" s="151"/>
      <c r="D199" s="151"/>
      <c r="E199" s="4"/>
      <c r="F199" s="4"/>
      <c r="G199" s="4"/>
      <c r="H199" s="4"/>
      <c r="I199" s="4"/>
      <c r="J199" s="4"/>
    </row>
    <row r="200">
      <c r="A200" s="4"/>
      <c r="B200" s="151"/>
      <c r="C200" s="151"/>
      <c r="D200" s="151"/>
      <c r="E200" s="4"/>
      <c r="F200" s="4"/>
      <c r="G200" s="4"/>
      <c r="H200" s="4"/>
      <c r="I200" s="4"/>
      <c r="J200" s="4"/>
    </row>
    <row r="201">
      <c r="A201" s="4"/>
      <c r="B201" s="151"/>
      <c r="C201" s="151"/>
      <c r="D201" s="151"/>
      <c r="E201" s="4"/>
      <c r="F201" s="4"/>
      <c r="G201" s="4"/>
      <c r="H201" s="4"/>
      <c r="I201" s="4"/>
      <c r="J201" s="4"/>
    </row>
    <row r="202">
      <c r="A202" s="4"/>
      <c r="B202" s="151"/>
      <c r="C202" s="151"/>
      <c r="D202" s="151"/>
      <c r="E202" s="4"/>
      <c r="F202" s="4"/>
      <c r="G202" s="4"/>
      <c r="H202" s="4"/>
      <c r="I202" s="4"/>
      <c r="J202" s="4"/>
    </row>
    <row r="203">
      <c r="A203" s="4"/>
      <c r="B203" s="151"/>
      <c r="C203" s="151"/>
      <c r="D203" s="151"/>
      <c r="E203" s="4"/>
      <c r="F203" s="4"/>
      <c r="G203" s="4"/>
      <c r="H203" s="4"/>
      <c r="I203" s="4"/>
      <c r="J203" s="4"/>
    </row>
    <row r="204">
      <c r="A204" s="4"/>
      <c r="B204" s="151"/>
      <c r="C204" s="151"/>
      <c r="D204" s="151"/>
      <c r="E204" s="4"/>
      <c r="F204" s="4"/>
      <c r="G204" s="4"/>
      <c r="H204" s="4"/>
      <c r="I204" s="4"/>
      <c r="J204" s="4"/>
    </row>
    <row r="205">
      <c r="A205" s="4"/>
      <c r="B205" s="151"/>
      <c r="C205" s="151"/>
      <c r="D205" s="151"/>
      <c r="E205" s="4"/>
      <c r="F205" s="4"/>
      <c r="G205" s="4"/>
      <c r="H205" s="4"/>
      <c r="I205" s="4"/>
      <c r="J205" s="4"/>
    </row>
    <row r="206">
      <c r="A206" s="4"/>
      <c r="B206" s="151"/>
      <c r="C206" s="151"/>
      <c r="D206" s="151"/>
      <c r="E206" s="4"/>
      <c r="F206" s="4"/>
      <c r="G206" s="4"/>
      <c r="H206" s="4"/>
      <c r="I206" s="4"/>
      <c r="J206" s="4"/>
    </row>
    <row r="207">
      <c r="A207" s="4"/>
      <c r="B207" s="151"/>
      <c r="C207" s="151"/>
      <c r="D207" s="151"/>
      <c r="E207" s="4"/>
      <c r="F207" s="4"/>
      <c r="G207" s="4"/>
      <c r="H207" s="4"/>
      <c r="I207" s="4"/>
      <c r="J207" s="4"/>
    </row>
    <row r="208">
      <c r="A208" s="4"/>
      <c r="B208" s="151"/>
      <c r="C208" s="151"/>
      <c r="D208" s="151"/>
      <c r="E208" s="4"/>
      <c r="F208" s="4"/>
      <c r="G208" s="4"/>
      <c r="H208" s="4"/>
      <c r="I208" s="4"/>
      <c r="J208" s="4"/>
    </row>
    <row r="209">
      <c r="A209" s="4"/>
      <c r="B209" s="151"/>
      <c r="C209" s="151"/>
      <c r="D209" s="151"/>
      <c r="E209" s="4"/>
      <c r="F209" s="4"/>
      <c r="G209" s="4"/>
      <c r="H209" s="4"/>
      <c r="I209" s="4"/>
      <c r="J209" s="4"/>
    </row>
    <row r="210">
      <c r="A210" s="4"/>
      <c r="B210" s="151"/>
      <c r="C210" s="151"/>
      <c r="D210" s="151"/>
      <c r="E210" s="4"/>
      <c r="F210" s="4"/>
      <c r="G210" s="4"/>
      <c r="H210" s="4"/>
      <c r="I210" s="4"/>
      <c r="J210" s="4"/>
    </row>
    <row r="211">
      <c r="A211" s="4"/>
      <c r="B211" s="151"/>
      <c r="C211" s="151"/>
      <c r="D211" s="151"/>
      <c r="E211" s="4"/>
      <c r="F211" s="4"/>
      <c r="G211" s="4"/>
      <c r="H211" s="4"/>
      <c r="I211" s="4"/>
      <c r="J211" s="4"/>
    </row>
    <row r="212">
      <c r="A212" s="4"/>
      <c r="B212" s="151"/>
      <c r="C212" s="151"/>
      <c r="D212" s="151"/>
      <c r="E212" s="4"/>
      <c r="F212" s="4"/>
      <c r="G212" s="4"/>
      <c r="H212" s="4"/>
      <c r="I212" s="4"/>
      <c r="J212" s="4"/>
    </row>
    <row r="213">
      <c r="A213" s="4"/>
      <c r="B213" s="151"/>
      <c r="C213" s="151"/>
      <c r="D213" s="151"/>
      <c r="E213" s="4"/>
      <c r="F213" s="4"/>
      <c r="G213" s="4"/>
      <c r="H213" s="4"/>
      <c r="I213" s="4"/>
      <c r="J213" s="4"/>
    </row>
    <row r="214">
      <c r="A214" s="4"/>
      <c r="B214" s="151"/>
      <c r="C214" s="151"/>
      <c r="D214" s="151"/>
      <c r="E214" s="4"/>
      <c r="F214" s="4"/>
      <c r="G214" s="4"/>
      <c r="H214" s="4"/>
      <c r="I214" s="4"/>
      <c r="J214" s="4"/>
    </row>
    <row r="215">
      <c r="A215" s="4"/>
      <c r="B215" s="151"/>
      <c r="C215" s="151"/>
      <c r="D215" s="151"/>
      <c r="E215" s="4"/>
      <c r="F215" s="4"/>
      <c r="G215" s="4"/>
      <c r="H215" s="4"/>
      <c r="I215" s="4"/>
      <c r="J215" s="4"/>
    </row>
    <row r="216">
      <c r="A216" s="4"/>
      <c r="B216" s="151"/>
      <c r="C216" s="151"/>
      <c r="D216" s="151"/>
      <c r="E216" s="4"/>
      <c r="F216" s="4"/>
      <c r="G216" s="4"/>
      <c r="H216" s="4"/>
      <c r="I216" s="4"/>
      <c r="J216" s="4"/>
    </row>
    <row r="217">
      <c r="A217" s="4"/>
      <c r="B217" s="151"/>
      <c r="C217" s="151"/>
      <c r="D217" s="151"/>
      <c r="E217" s="4"/>
      <c r="F217" s="4"/>
      <c r="G217" s="4"/>
      <c r="H217" s="4"/>
      <c r="I217" s="4"/>
      <c r="J217" s="4"/>
    </row>
    <row r="218">
      <c r="A218" s="4"/>
      <c r="B218" s="151"/>
      <c r="C218" s="151"/>
      <c r="D218" s="151"/>
      <c r="E218" s="4"/>
      <c r="F218" s="4"/>
      <c r="G218" s="4"/>
      <c r="H218" s="4"/>
      <c r="I218" s="4"/>
      <c r="J218" s="4"/>
    </row>
    <row r="219">
      <c r="A219" s="4"/>
      <c r="B219" s="151"/>
      <c r="C219" s="151"/>
      <c r="D219" s="151"/>
      <c r="E219" s="4"/>
      <c r="F219" s="4"/>
      <c r="G219" s="4"/>
      <c r="H219" s="4"/>
      <c r="I219" s="4"/>
      <c r="J219" s="4"/>
    </row>
    <row r="220">
      <c r="A220" s="4"/>
      <c r="B220" s="151"/>
      <c r="C220" s="151"/>
      <c r="D220" s="151"/>
      <c r="E220" s="4"/>
      <c r="F220" s="4"/>
      <c r="G220" s="4"/>
      <c r="H220" s="4"/>
      <c r="I220" s="4"/>
      <c r="J220" s="4"/>
    </row>
    <row r="221">
      <c r="A221" s="4"/>
      <c r="B221" s="151"/>
      <c r="C221" s="151"/>
      <c r="D221" s="151"/>
      <c r="E221" s="4"/>
      <c r="F221" s="4"/>
      <c r="G221" s="4"/>
      <c r="H221" s="4"/>
      <c r="I221" s="4"/>
      <c r="J221" s="4"/>
    </row>
    <row r="222">
      <c r="A222" s="4"/>
      <c r="B222" s="151"/>
      <c r="C222" s="151"/>
      <c r="D222" s="151"/>
      <c r="E222" s="4"/>
      <c r="F222" s="4"/>
      <c r="G222" s="4"/>
      <c r="H222" s="4"/>
      <c r="I222" s="4"/>
      <c r="J222" s="4"/>
    </row>
    <row r="223">
      <c r="A223" s="4"/>
      <c r="B223" s="151"/>
      <c r="C223" s="151"/>
      <c r="D223" s="151"/>
      <c r="E223" s="4"/>
      <c r="F223" s="4"/>
      <c r="G223" s="4"/>
      <c r="H223" s="4"/>
      <c r="I223" s="4"/>
      <c r="J223" s="4"/>
    </row>
    <row r="224">
      <c r="A224" s="4"/>
      <c r="B224" s="151"/>
      <c r="C224" s="151"/>
      <c r="D224" s="151"/>
      <c r="E224" s="4"/>
      <c r="F224" s="4"/>
      <c r="G224" s="4"/>
      <c r="H224" s="4"/>
      <c r="I224" s="4"/>
      <c r="J224" s="4"/>
    </row>
    <row r="225">
      <c r="A225" s="4"/>
      <c r="B225" s="151"/>
      <c r="C225" s="151"/>
      <c r="D225" s="151"/>
      <c r="E225" s="4"/>
      <c r="F225" s="4"/>
      <c r="G225" s="4"/>
      <c r="H225" s="4"/>
      <c r="I225" s="4"/>
      <c r="J225" s="4"/>
    </row>
    <row r="226">
      <c r="A226" s="4"/>
      <c r="B226" s="151"/>
      <c r="C226" s="151"/>
      <c r="D226" s="151"/>
      <c r="E226" s="4"/>
      <c r="F226" s="4"/>
      <c r="G226" s="4"/>
      <c r="H226" s="4"/>
      <c r="I226" s="4"/>
      <c r="J226" s="4"/>
    </row>
    <row r="227">
      <c r="A227" s="4"/>
      <c r="B227" s="151"/>
      <c r="C227" s="151"/>
      <c r="D227" s="151"/>
      <c r="E227" s="4"/>
      <c r="F227" s="4"/>
      <c r="G227" s="4"/>
      <c r="H227" s="4"/>
      <c r="I227" s="4"/>
      <c r="J227" s="4"/>
    </row>
    <row r="228">
      <c r="A228" s="4"/>
      <c r="B228" s="151"/>
      <c r="C228" s="151"/>
      <c r="D228" s="151"/>
      <c r="E228" s="4"/>
      <c r="F228" s="4"/>
      <c r="G228" s="4"/>
      <c r="H228" s="4"/>
      <c r="I228" s="4"/>
      <c r="J228" s="4"/>
    </row>
    <row r="229">
      <c r="A229" s="4"/>
      <c r="B229" s="151"/>
      <c r="C229" s="151"/>
      <c r="D229" s="151"/>
      <c r="E229" s="4"/>
      <c r="F229" s="4"/>
      <c r="G229" s="4"/>
      <c r="H229" s="4"/>
      <c r="I229" s="4"/>
      <c r="J229" s="4"/>
    </row>
    <row r="230">
      <c r="A230" s="4"/>
      <c r="B230" s="151"/>
      <c r="C230" s="151"/>
      <c r="D230" s="151"/>
      <c r="E230" s="4"/>
      <c r="F230" s="4"/>
      <c r="G230" s="4"/>
      <c r="H230" s="4"/>
      <c r="I230" s="4"/>
      <c r="J230" s="4"/>
    </row>
    <row r="231">
      <c r="A231" s="4"/>
      <c r="B231" s="151"/>
      <c r="C231" s="151"/>
      <c r="D231" s="151"/>
      <c r="E231" s="4"/>
      <c r="F231" s="4"/>
      <c r="G231" s="4"/>
      <c r="H231" s="4"/>
      <c r="I231" s="4"/>
      <c r="J231" s="4"/>
    </row>
    <row r="232">
      <c r="A232" s="4"/>
      <c r="B232" s="151"/>
      <c r="C232" s="151"/>
      <c r="D232" s="151"/>
      <c r="E232" s="4"/>
      <c r="F232" s="4"/>
      <c r="G232" s="4"/>
      <c r="H232" s="4"/>
      <c r="I232" s="4"/>
      <c r="J232" s="4"/>
    </row>
    <row r="233">
      <c r="A233" s="4"/>
      <c r="B233" s="151"/>
      <c r="C233" s="151"/>
      <c r="D233" s="151"/>
      <c r="E233" s="4"/>
      <c r="F233" s="4"/>
      <c r="G233" s="4"/>
      <c r="H233" s="4"/>
      <c r="I233" s="4"/>
      <c r="J233" s="4"/>
    </row>
    <row r="234">
      <c r="A234" s="4"/>
      <c r="B234" s="151"/>
      <c r="C234" s="151"/>
      <c r="D234" s="151"/>
      <c r="E234" s="4"/>
      <c r="F234" s="4"/>
      <c r="G234" s="4"/>
      <c r="H234" s="4"/>
      <c r="I234" s="4"/>
      <c r="J234" s="4"/>
    </row>
    <row r="235">
      <c r="A235" s="4"/>
      <c r="B235" s="151"/>
      <c r="C235" s="151"/>
      <c r="D235" s="151"/>
      <c r="E235" s="4"/>
      <c r="F235" s="4"/>
      <c r="G235" s="4"/>
      <c r="H235" s="4"/>
      <c r="I235" s="4"/>
      <c r="J235" s="4"/>
    </row>
    <row r="236">
      <c r="A236" s="4"/>
      <c r="B236" s="151"/>
      <c r="C236" s="151"/>
      <c r="D236" s="151"/>
      <c r="E236" s="4"/>
      <c r="F236" s="4"/>
      <c r="G236" s="4"/>
      <c r="H236" s="4"/>
      <c r="I236" s="4"/>
      <c r="J236" s="4"/>
    </row>
    <row r="237">
      <c r="A237" s="4"/>
      <c r="B237" s="151"/>
      <c r="C237" s="151"/>
      <c r="D237" s="151"/>
      <c r="E237" s="4"/>
      <c r="F237" s="4"/>
      <c r="G237" s="4"/>
      <c r="H237" s="4"/>
      <c r="I237" s="4"/>
      <c r="J237" s="4"/>
    </row>
    <row r="238">
      <c r="A238" s="4"/>
      <c r="B238" s="151"/>
      <c r="C238" s="151"/>
      <c r="D238" s="151"/>
      <c r="E238" s="4"/>
      <c r="F238" s="4"/>
      <c r="G238" s="4"/>
      <c r="H238" s="4"/>
      <c r="I238" s="4"/>
      <c r="J238" s="4"/>
    </row>
    <row r="239">
      <c r="A239" s="4"/>
      <c r="B239" s="151"/>
      <c r="C239" s="151"/>
      <c r="D239" s="151"/>
      <c r="E239" s="4"/>
      <c r="F239" s="4"/>
      <c r="G239" s="4"/>
      <c r="H239" s="4"/>
      <c r="I239" s="4"/>
      <c r="J239" s="4"/>
    </row>
    <row r="240">
      <c r="A240" s="4"/>
      <c r="B240" s="151"/>
      <c r="C240" s="151"/>
      <c r="D240" s="151"/>
      <c r="E240" s="4"/>
      <c r="F240" s="4"/>
      <c r="G240" s="4"/>
      <c r="H240" s="4"/>
      <c r="I240" s="4"/>
      <c r="J240" s="4"/>
    </row>
    <row r="241">
      <c r="A241" s="4"/>
      <c r="B241" s="151"/>
      <c r="C241" s="151"/>
      <c r="D241" s="151"/>
      <c r="E241" s="4"/>
      <c r="F241" s="4"/>
      <c r="G241" s="4"/>
      <c r="H241" s="4"/>
      <c r="I241" s="4"/>
      <c r="J241" s="4"/>
    </row>
    <row r="242">
      <c r="A242" s="4"/>
      <c r="B242" s="151"/>
      <c r="C242" s="151"/>
      <c r="D242" s="151"/>
      <c r="E242" s="4"/>
      <c r="F242" s="4"/>
      <c r="G242" s="4"/>
      <c r="H242" s="4"/>
      <c r="I242" s="4"/>
      <c r="J242" s="4"/>
    </row>
    <row r="243">
      <c r="A243" s="4"/>
      <c r="B243" s="151"/>
      <c r="C243" s="151"/>
      <c r="D243" s="151"/>
      <c r="E243" s="4"/>
      <c r="F243" s="4"/>
      <c r="G243" s="4"/>
      <c r="H243" s="4"/>
      <c r="I243" s="4"/>
      <c r="J243" s="4"/>
    </row>
    <row r="244">
      <c r="A244" s="4"/>
      <c r="B244" s="151"/>
      <c r="C244" s="151"/>
      <c r="D244" s="151"/>
      <c r="E244" s="4"/>
      <c r="F244" s="4"/>
      <c r="G244" s="4"/>
      <c r="H244" s="4"/>
      <c r="I244" s="4"/>
      <c r="J244" s="4"/>
    </row>
    <row r="245">
      <c r="A245" s="4"/>
      <c r="B245" s="151"/>
      <c r="C245" s="151"/>
      <c r="D245" s="151"/>
      <c r="E245" s="4"/>
      <c r="F245" s="4"/>
      <c r="G245" s="4"/>
      <c r="H245" s="4"/>
      <c r="I245" s="4"/>
      <c r="J245" s="4"/>
    </row>
    <row r="246">
      <c r="A246" s="4"/>
      <c r="B246" s="151"/>
      <c r="C246" s="151"/>
      <c r="D246" s="151"/>
      <c r="E246" s="4"/>
      <c r="F246" s="4"/>
      <c r="G246" s="4"/>
      <c r="H246" s="4"/>
      <c r="I246" s="4"/>
      <c r="J246" s="4"/>
    </row>
    <row r="247">
      <c r="A247" s="4"/>
      <c r="B247" s="151"/>
      <c r="C247" s="151"/>
      <c r="D247" s="151"/>
      <c r="E247" s="4"/>
      <c r="F247" s="4"/>
      <c r="G247" s="4"/>
      <c r="H247" s="4"/>
      <c r="I247" s="4"/>
      <c r="J247" s="4"/>
    </row>
    <row r="248">
      <c r="A248" s="4"/>
      <c r="B248" s="151"/>
      <c r="C248" s="151"/>
      <c r="D248" s="151"/>
      <c r="E248" s="4"/>
      <c r="F248" s="4"/>
      <c r="G248" s="4"/>
      <c r="H248" s="4"/>
      <c r="I248" s="4"/>
      <c r="J248" s="4"/>
    </row>
    <row r="249">
      <c r="A249" s="4"/>
      <c r="B249" s="151"/>
      <c r="C249" s="151"/>
      <c r="D249" s="151"/>
      <c r="E249" s="4"/>
      <c r="F249" s="4"/>
      <c r="G249" s="4"/>
      <c r="H249" s="4"/>
      <c r="I249" s="4"/>
      <c r="J249" s="4"/>
    </row>
    <row r="250">
      <c r="A250" s="4"/>
      <c r="B250" s="151"/>
      <c r="C250" s="151"/>
      <c r="D250" s="151"/>
      <c r="E250" s="4"/>
      <c r="F250" s="4"/>
      <c r="G250" s="4"/>
      <c r="H250" s="4"/>
      <c r="I250" s="4"/>
      <c r="J250" s="4"/>
    </row>
    <row r="251">
      <c r="A251" s="4"/>
      <c r="B251" s="151"/>
      <c r="C251" s="151"/>
      <c r="D251" s="151"/>
      <c r="E251" s="4"/>
      <c r="F251" s="4"/>
      <c r="G251" s="4"/>
      <c r="H251" s="4"/>
      <c r="I251" s="4"/>
      <c r="J251" s="4"/>
    </row>
    <row r="252">
      <c r="A252" s="4"/>
      <c r="B252" s="151"/>
      <c r="C252" s="151"/>
      <c r="D252" s="151"/>
      <c r="E252" s="4"/>
      <c r="F252" s="4"/>
      <c r="G252" s="4"/>
      <c r="H252" s="4"/>
      <c r="I252" s="4"/>
      <c r="J252" s="4"/>
    </row>
    <row r="253">
      <c r="A253" s="4"/>
      <c r="B253" s="151"/>
      <c r="C253" s="151"/>
      <c r="D253" s="151"/>
      <c r="E253" s="4"/>
      <c r="F253" s="4"/>
      <c r="G253" s="4"/>
      <c r="H253" s="4"/>
      <c r="I253" s="4"/>
      <c r="J253" s="4"/>
    </row>
    <row r="254">
      <c r="A254" s="4"/>
      <c r="B254" s="151"/>
      <c r="C254" s="151"/>
      <c r="D254" s="151"/>
      <c r="E254" s="4"/>
      <c r="F254" s="4"/>
      <c r="G254" s="4"/>
      <c r="H254" s="4"/>
      <c r="I254" s="4"/>
      <c r="J254" s="4"/>
    </row>
    <row r="255">
      <c r="A255" s="4"/>
      <c r="B255" s="151"/>
      <c r="C255" s="151"/>
      <c r="D255" s="151"/>
      <c r="E255" s="4"/>
      <c r="F255" s="4"/>
      <c r="G255" s="4"/>
      <c r="H255" s="4"/>
      <c r="I255" s="4"/>
      <c r="J255" s="4"/>
    </row>
    <row r="256">
      <c r="A256" s="4"/>
      <c r="B256" s="151"/>
      <c r="C256" s="151"/>
      <c r="D256" s="151"/>
      <c r="E256" s="4"/>
      <c r="F256" s="4"/>
      <c r="G256" s="4"/>
      <c r="H256" s="4"/>
      <c r="I256" s="4"/>
      <c r="J256" s="4"/>
    </row>
    <row r="257">
      <c r="A257" s="4"/>
      <c r="B257" s="151"/>
      <c r="C257" s="151"/>
      <c r="D257" s="151"/>
      <c r="E257" s="4"/>
      <c r="F257" s="4"/>
      <c r="G257" s="4"/>
      <c r="H257" s="4"/>
      <c r="I257" s="4"/>
      <c r="J257" s="4"/>
    </row>
    <row r="258">
      <c r="A258" s="4"/>
      <c r="B258" s="151"/>
      <c r="C258" s="151"/>
      <c r="D258" s="151"/>
      <c r="E258" s="4"/>
      <c r="F258" s="4"/>
      <c r="G258" s="4"/>
      <c r="H258" s="4"/>
      <c r="I258" s="4"/>
      <c r="J258" s="4"/>
    </row>
    <row r="259">
      <c r="A259" s="4"/>
      <c r="B259" s="151"/>
      <c r="C259" s="151"/>
      <c r="D259" s="151"/>
      <c r="E259" s="4"/>
      <c r="F259" s="4"/>
      <c r="G259" s="4"/>
      <c r="H259" s="4"/>
      <c r="I259" s="4"/>
      <c r="J259" s="4"/>
    </row>
    <row r="260">
      <c r="A260" s="4"/>
      <c r="B260" s="151"/>
      <c r="C260" s="151"/>
      <c r="D260" s="151"/>
      <c r="E260" s="4"/>
      <c r="F260" s="4"/>
      <c r="G260" s="4"/>
      <c r="H260" s="4"/>
      <c r="I260" s="4"/>
      <c r="J260" s="4"/>
    </row>
    <row r="261">
      <c r="A261" s="4"/>
      <c r="B261" s="151"/>
      <c r="C261" s="151"/>
      <c r="D261" s="151"/>
      <c r="E261" s="4"/>
      <c r="F261" s="4"/>
      <c r="G261" s="4"/>
      <c r="H261" s="4"/>
      <c r="I261" s="4"/>
      <c r="J261" s="4"/>
    </row>
    <row r="262">
      <c r="A262" s="4"/>
      <c r="B262" s="151"/>
      <c r="C262" s="151"/>
      <c r="D262" s="151"/>
      <c r="E262" s="4"/>
      <c r="F262" s="4"/>
      <c r="G262" s="4"/>
      <c r="H262" s="4"/>
      <c r="I262" s="4"/>
      <c r="J262" s="4"/>
    </row>
    <row r="263">
      <c r="A263" s="4"/>
      <c r="B263" s="151"/>
      <c r="C263" s="151"/>
      <c r="D263" s="151"/>
      <c r="E263" s="4"/>
      <c r="F263" s="4"/>
      <c r="G263" s="4"/>
      <c r="H263" s="4"/>
      <c r="I263" s="4"/>
      <c r="J263" s="4"/>
    </row>
    <row r="264">
      <c r="A264" s="4"/>
      <c r="B264" s="151"/>
      <c r="C264" s="151"/>
      <c r="D264" s="151"/>
      <c r="E264" s="4"/>
      <c r="F264" s="4"/>
      <c r="G264" s="4"/>
      <c r="H264" s="4"/>
      <c r="I264" s="4"/>
      <c r="J264" s="4"/>
    </row>
    <row r="265">
      <c r="A265" s="4"/>
      <c r="B265" s="151"/>
      <c r="C265" s="151"/>
      <c r="D265" s="151"/>
      <c r="E265" s="4"/>
      <c r="F265" s="4"/>
      <c r="G265" s="4"/>
      <c r="H265" s="4"/>
      <c r="I265" s="4"/>
      <c r="J265" s="4"/>
    </row>
    <row r="266">
      <c r="A266" s="4"/>
      <c r="B266" s="151"/>
      <c r="C266" s="151"/>
      <c r="D266" s="151"/>
      <c r="E266" s="4"/>
      <c r="F266" s="4"/>
      <c r="G266" s="4"/>
      <c r="H266" s="4"/>
      <c r="I266" s="4"/>
      <c r="J266" s="4"/>
    </row>
    <row r="267">
      <c r="A267" s="4"/>
      <c r="B267" s="151"/>
      <c r="C267" s="151"/>
      <c r="D267" s="151"/>
      <c r="E267" s="4"/>
      <c r="F267" s="4"/>
      <c r="G267" s="4"/>
      <c r="H267" s="4"/>
      <c r="I267" s="4"/>
      <c r="J267" s="4"/>
    </row>
    <row r="268">
      <c r="A268" s="4"/>
      <c r="B268" s="151"/>
      <c r="C268" s="151"/>
      <c r="D268" s="151"/>
      <c r="E268" s="4"/>
      <c r="F268" s="4"/>
      <c r="G268" s="4"/>
      <c r="H268" s="4"/>
      <c r="I268" s="4"/>
      <c r="J268" s="4"/>
    </row>
    <row r="269">
      <c r="A269" s="4"/>
      <c r="B269" s="151"/>
      <c r="C269" s="151"/>
      <c r="D269" s="151"/>
      <c r="E269" s="4"/>
      <c r="F269" s="4"/>
      <c r="G269" s="4"/>
      <c r="H269" s="4"/>
      <c r="I269" s="4"/>
      <c r="J269" s="4"/>
    </row>
    <row r="270">
      <c r="A270" s="4"/>
      <c r="B270" s="151"/>
      <c r="C270" s="151"/>
      <c r="D270" s="151"/>
      <c r="E270" s="4"/>
      <c r="F270" s="4"/>
      <c r="G270" s="4"/>
      <c r="H270" s="4"/>
      <c r="I270" s="4"/>
      <c r="J270" s="4"/>
    </row>
    <row r="271">
      <c r="A271" s="4"/>
      <c r="B271" s="151"/>
      <c r="C271" s="151"/>
      <c r="D271" s="151"/>
      <c r="E271" s="4"/>
      <c r="F271" s="4"/>
      <c r="G271" s="4"/>
      <c r="H271" s="4"/>
      <c r="I271" s="4"/>
      <c r="J271" s="4"/>
    </row>
    <row r="272">
      <c r="A272" s="4"/>
      <c r="B272" s="151"/>
      <c r="C272" s="151"/>
      <c r="D272" s="151"/>
      <c r="E272" s="4"/>
      <c r="F272" s="4"/>
      <c r="G272" s="4"/>
      <c r="H272" s="4"/>
      <c r="I272" s="4"/>
      <c r="J272" s="4"/>
    </row>
    <row r="273">
      <c r="A273" s="4"/>
      <c r="B273" s="151"/>
      <c r="C273" s="151"/>
      <c r="D273" s="151"/>
      <c r="E273" s="4"/>
      <c r="F273" s="4"/>
      <c r="G273" s="4"/>
      <c r="H273" s="4"/>
      <c r="I273" s="4"/>
      <c r="J273" s="4"/>
    </row>
    <row r="274">
      <c r="A274" s="4"/>
      <c r="B274" s="151"/>
      <c r="C274" s="151"/>
      <c r="D274" s="151"/>
      <c r="E274" s="4"/>
      <c r="F274" s="4"/>
      <c r="G274" s="4"/>
      <c r="H274" s="4"/>
      <c r="I274" s="4"/>
      <c r="J274" s="4"/>
    </row>
    <row r="275">
      <c r="A275" s="4"/>
      <c r="B275" s="151"/>
      <c r="C275" s="151"/>
      <c r="D275" s="151"/>
      <c r="E275" s="4"/>
      <c r="F275" s="4"/>
      <c r="G275" s="4"/>
      <c r="H275" s="4"/>
      <c r="I275" s="4"/>
      <c r="J275" s="4"/>
    </row>
    <row r="276">
      <c r="A276" s="4"/>
      <c r="B276" s="151"/>
      <c r="C276" s="151"/>
      <c r="D276" s="151"/>
      <c r="E276" s="4"/>
      <c r="F276" s="4"/>
      <c r="G276" s="4"/>
      <c r="H276" s="4"/>
      <c r="I276" s="4"/>
      <c r="J276" s="4"/>
    </row>
    <row r="277">
      <c r="A277" s="4"/>
      <c r="B277" s="151"/>
      <c r="C277" s="151"/>
      <c r="D277" s="151"/>
      <c r="E277" s="4"/>
      <c r="F277" s="4"/>
      <c r="G277" s="4"/>
      <c r="H277" s="4"/>
      <c r="I277" s="4"/>
      <c r="J277" s="4"/>
    </row>
    <row r="278">
      <c r="A278" s="4"/>
      <c r="B278" s="151"/>
      <c r="C278" s="151"/>
      <c r="D278" s="151"/>
      <c r="E278" s="4"/>
      <c r="F278" s="4"/>
      <c r="G278" s="4"/>
      <c r="H278" s="4"/>
      <c r="I278" s="4"/>
      <c r="J278" s="4"/>
    </row>
    <row r="279">
      <c r="A279" s="4"/>
      <c r="B279" s="151"/>
      <c r="C279" s="151"/>
      <c r="D279" s="151"/>
      <c r="E279" s="4"/>
      <c r="F279" s="4"/>
      <c r="G279" s="4"/>
      <c r="H279" s="4"/>
      <c r="I279" s="4"/>
      <c r="J279" s="4"/>
    </row>
    <row r="280">
      <c r="A280" s="4"/>
      <c r="B280" s="151"/>
      <c r="C280" s="151"/>
      <c r="D280" s="151"/>
      <c r="E280" s="4"/>
      <c r="F280" s="4"/>
      <c r="G280" s="4"/>
      <c r="H280" s="4"/>
      <c r="I280" s="4"/>
      <c r="J280" s="4"/>
    </row>
    <row r="281">
      <c r="A281" s="4"/>
      <c r="B281" s="151"/>
      <c r="C281" s="151"/>
      <c r="D281" s="151"/>
      <c r="E281" s="4"/>
      <c r="F281" s="4"/>
      <c r="G281" s="4"/>
      <c r="H281" s="4"/>
      <c r="I281" s="4"/>
      <c r="J281" s="4"/>
    </row>
    <row r="282">
      <c r="A282" s="4"/>
      <c r="B282" s="151"/>
      <c r="C282" s="151"/>
      <c r="D282" s="151"/>
      <c r="E282" s="4"/>
      <c r="F282" s="4"/>
      <c r="G282" s="4"/>
      <c r="H282" s="4"/>
      <c r="I282" s="4"/>
      <c r="J282" s="4"/>
    </row>
    <row r="283">
      <c r="A283" s="4"/>
      <c r="B283" s="151"/>
      <c r="C283" s="151"/>
      <c r="D283" s="151"/>
      <c r="E283" s="4"/>
      <c r="F283" s="4"/>
      <c r="G283" s="4"/>
      <c r="H283" s="4"/>
      <c r="I283" s="4"/>
      <c r="J283" s="4"/>
    </row>
    <row r="284">
      <c r="A284" s="4"/>
      <c r="B284" s="151"/>
      <c r="C284" s="151"/>
      <c r="D284" s="151"/>
      <c r="E284" s="4"/>
      <c r="F284" s="4"/>
      <c r="G284" s="4"/>
      <c r="H284" s="4"/>
      <c r="I284" s="4"/>
      <c r="J284" s="4"/>
    </row>
    <row r="285">
      <c r="A285" s="4"/>
      <c r="B285" s="151"/>
      <c r="C285" s="151"/>
      <c r="D285" s="151"/>
      <c r="E285" s="4"/>
      <c r="F285" s="4"/>
      <c r="G285" s="4"/>
      <c r="H285" s="4"/>
      <c r="I285" s="4"/>
      <c r="J285" s="4"/>
    </row>
    <row r="286">
      <c r="A286" s="4"/>
      <c r="B286" s="151"/>
      <c r="C286" s="151"/>
      <c r="D286" s="151"/>
      <c r="E286" s="4"/>
      <c r="F286" s="4"/>
      <c r="G286" s="4"/>
      <c r="H286" s="4"/>
      <c r="I286" s="4"/>
      <c r="J286" s="4"/>
    </row>
    <row r="287">
      <c r="A287" s="4"/>
      <c r="B287" s="151"/>
      <c r="C287" s="151"/>
      <c r="D287" s="151"/>
      <c r="E287" s="4"/>
      <c r="F287" s="4"/>
      <c r="G287" s="4"/>
      <c r="H287" s="4"/>
      <c r="I287" s="4"/>
      <c r="J287" s="4"/>
    </row>
    <row r="288">
      <c r="A288" s="4"/>
      <c r="B288" s="151"/>
      <c r="C288" s="151"/>
      <c r="D288" s="151"/>
      <c r="E288" s="4"/>
      <c r="F288" s="4"/>
      <c r="G288" s="4"/>
      <c r="H288" s="4"/>
      <c r="I288" s="4"/>
      <c r="J288" s="4"/>
    </row>
    <row r="289">
      <c r="A289" s="4"/>
      <c r="B289" s="151"/>
      <c r="C289" s="151"/>
      <c r="D289" s="151"/>
      <c r="E289" s="4"/>
      <c r="F289" s="4"/>
      <c r="G289" s="4"/>
      <c r="H289" s="4"/>
      <c r="I289" s="4"/>
      <c r="J289" s="4"/>
    </row>
    <row r="290">
      <c r="A290" s="4"/>
      <c r="B290" s="151"/>
      <c r="C290" s="151"/>
      <c r="D290" s="151"/>
      <c r="E290" s="4"/>
      <c r="F290" s="4"/>
      <c r="G290" s="4"/>
      <c r="H290" s="4"/>
      <c r="I290" s="4"/>
      <c r="J290" s="4"/>
    </row>
    <row r="291">
      <c r="A291" s="4"/>
      <c r="B291" s="151"/>
      <c r="C291" s="151"/>
      <c r="D291" s="151"/>
      <c r="E291" s="4"/>
      <c r="F291" s="4"/>
      <c r="G291" s="4"/>
      <c r="H291" s="4"/>
      <c r="I291" s="4"/>
      <c r="J291" s="4"/>
    </row>
    <row r="292">
      <c r="A292" s="4"/>
      <c r="B292" s="151"/>
      <c r="C292" s="151"/>
      <c r="D292" s="151"/>
      <c r="E292" s="4"/>
      <c r="F292" s="4"/>
      <c r="G292" s="4"/>
      <c r="H292" s="4"/>
      <c r="I292" s="4"/>
      <c r="J292" s="4"/>
    </row>
    <row r="293">
      <c r="A293" s="4"/>
      <c r="B293" s="151"/>
      <c r="C293" s="151"/>
      <c r="D293" s="151"/>
      <c r="E293" s="4"/>
      <c r="F293" s="4"/>
      <c r="G293" s="4"/>
      <c r="H293" s="4"/>
      <c r="I293" s="4"/>
      <c r="J293" s="4"/>
    </row>
    <row r="294">
      <c r="A294" s="4"/>
      <c r="B294" s="151"/>
      <c r="C294" s="151"/>
      <c r="D294" s="151"/>
      <c r="E294" s="4"/>
      <c r="F294" s="4"/>
      <c r="G294" s="4"/>
      <c r="H294" s="4"/>
      <c r="I294" s="4"/>
      <c r="J294" s="4"/>
    </row>
    <row r="295">
      <c r="A295" s="4"/>
      <c r="B295" s="151"/>
      <c r="C295" s="151"/>
      <c r="D295" s="151"/>
      <c r="E295" s="4"/>
      <c r="F295" s="4"/>
      <c r="G295" s="4"/>
      <c r="H295" s="4"/>
      <c r="I295" s="4"/>
      <c r="J295" s="4"/>
    </row>
    <row r="296">
      <c r="A296" s="4"/>
      <c r="B296" s="151"/>
      <c r="C296" s="151"/>
      <c r="D296" s="151"/>
      <c r="E296" s="4"/>
      <c r="F296" s="4"/>
      <c r="G296" s="4"/>
      <c r="H296" s="4"/>
      <c r="I296" s="4"/>
      <c r="J296" s="4"/>
    </row>
    <row r="297">
      <c r="A297" s="4"/>
      <c r="B297" s="151"/>
      <c r="C297" s="151"/>
      <c r="D297" s="151"/>
      <c r="E297" s="4"/>
      <c r="F297" s="4"/>
      <c r="G297" s="4"/>
      <c r="H297" s="4"/>
      <c r="I297" s="4"/>
      <c r="J297" s="4"/>
    </row>
    <row r="298">
      <c r="A298" s="4"/>
      <c r="B298" s="151"/>
      <c r="C298" s="151"/>
      <c r="D298" s="151"/>
      <c r="E298" s="4"/>
      <c r="F298" s="4"/>
      <c r="G298" s="4"/>
      <c r="H298" s="4"/>
      <c r="I298" s="4"/>
      <c r="J298" s="4"/>
    </row>
    <row r="299">
      <c r="A299" s="4"/>
      <c r="B299" s="151"/>
      <c r="C299" s="151"/>
      <c r="D299" s="151"/>
      <c r="E299" s="4"/>
      <c r="F299" s="4"/>
      <c r="G299" s="4"/>
      <c r="H299" s="4"/>
      <c r="I299" s="4"/>
      <c r="J299" s="4"/>
    </row>
    <row r="300">
      <c r="A300" s="4"/>
      <c r="B300" s="151"/>
      <c r="C300" s="151"/>
      <c r="D300" s="151"/>
      <c r="E300" s="4"/>
      <c r="F300" s="4"/>
      <c r="G300" s="4"/>
      <c r="H300" s="4"/>
      <c r="I300" s="4"/>
      <c r="J300" s="4"/>
    </row>
    <row r="301">
      <c r="A301" s="4"/>
      <c r="B301" s="151"/>
      <c r="C301" s="151"/>
      <c r="D301" s="151"/>
      <c r="E301" s="4"/>
      <c r="F301" s="4"/>
      <c r="G301" s="4"/>
      <c r="H301" s="4"/>
      <c r="I301" s="4"/>
      <c r="J301" s="4"/>
    </row>
    <row r="302">
      <c r="A302" s="4"/>
      <c r="B302" s="151"/>
      <c r="C302" s="151"/>
      <c r="D302" s="151"/>
      <c r="E302" s="4"/>
      <c r="F302" s="4"/>
      <c r="G302" s="4"/>
      <c r="H302" s="4"/>
      <c r="I302" s="4"/>
      <c r="J302" s="4"/>
    </row>
    <row r="303">
      <c r="A303" s="4"/>
      <c r="B303" s="151"/>
      <c r="C303" s="151"/>
      <c r="D303" s="151"/>
      <c r="E303" s="4"/>
      <c r="F303" s="4"/>
      <c r="G303" s="4"/>
      <c r="H303" s="4"/>
      <c r="I303" s="4"/>
      <c r="J303" s="4"/>
    </row>
    <row r="304">
      <c r="A304" s="4"/>
      <c r="B304" s="151"/>
      <c r="C304" s="151"/>
      <c r="D304" s="151"/>
      <c r="E304" s="4"/>
      <c r="F304" s="4"/>
      <c r="G304" s="4"/>
      <c r="H304" s="4"/>
      <c r="I304" s="4"/>
      <c r="J304" s="4"/>
    </row>
    <row r="305">
      <c r="A305" s="4"/>
      <c r="B305" s="151"/>
      <c r="C305" s="151"/>
      <c r="D305" s="151"/>
      <c r="E305" s="4"/>
      <c r="F305" s="4"/>
      <c r="G305" s="4"/>
      <c r="H305" s="4"/>
      <c r="I305" s="4"/>
      <c r="J305" s="4"/>
    </row>
    <row r="306">
      <c r="A306" s="4"/>
      <c r="B306" s="151"/>
      <c r="C306" s="151"/>
      <c r="D306" s="151"/>
      <c r="E306" s="4"/>
      <c r="F306" s="4"/>
      <c r="G306" s="4"/>
      <c r="H306" s="4"/>
      <c r="I306" s="4"/>
      <c r="J306" s="4"/>
    </row>
    <row r="307">
      <c r="A307" s="4"/>
      <c r="B307" s="151"/>
      <c r="C307" s="151"/>
      <c r="D307" s="151"/>
      <c r="E307" s="4"/>
      <c r="F307" s="4"/>
      <c r="G307" s="4"/>
      <c r="H307" s="4"/>
      <c r="I307" s="4"/>
      <c r="J307" s="4"/>
    </row>
    <row r="308">
      <c r="A308" s="4"/>
      <c r="B308" s="151"/>
      <c r="C308" s="151"/>
      <c r="D308" s="151"/>
      <c r="E308" s="4"/>
      <c r="F308" s="4"/>
      <c r="G308" s="4"/>
      <c r="H308" s="4"/>
      <c r="I308" s="4"/>
      <c r="J308" s="4"/>
    </row>
    <row r="309">
      <c r="A309" s="4"/>
      <c r="B309" s="151"/>
      <c r="C309" s="151"/>
      <c r="D309" s="151"/>
      <c r="E309" s="4"/>
      <c r="F309" s="4"/>
      <c r="G309" s="4"/>
      <c r="H309" s="4"/>
      <c r="I309" s="4"/>
      <c r="J309" s="4"/>
    </row>
    <row r="310">
      <c r="A310" s="4"/>
      <c r="B310" s="151"/>
      <c r="C310" s="151"/>
      <c r="D310" s="151"/>
      <c r="E310" s="4"/>
      <c r="F310" s="4"/>
      <c r="G310" s="4"/>
      <c r="H310" s="4"/>
      <c r="I310" s="4"/>
      <c r="J310" s="4"/>
    </row>
    <row r="311">
      <c r="A311" s="4"/>
      <c r="B311" s="151"/>
      <c r="C311" s="151"/>
      <c r="D311" s="151"/>
      <c r="E311" s="4"/>
      <c r="F311" s="4"/>
      <c r="G311" s="4"/>
      <c r="H311" s="4"/>
      <c r="I311" s="4"/>
      <c r="J311" s="4"/>
    </row>
    <row r="312">
      <c r="A312" s="4"/>
      <c r="B312" s="151"/>
      <c r="C312" s="151"/>
      <c r="D312" s="151"/>
      <c r="E312" s="4"/>
      <c r="F312" s="4"/>
      <c r="G312" s="4"/>
      <c r="H312" s="4"/>
      <c r="I312" s="4"/>
      <c r="J312" s="4"/>
    </row>
    <row r="313">
      <c r="A313" s="4"/>
      <c r="B313" s="151"/>
      <c r="C313" s="151"/>
      <c r="D313" s="151"/>
      <c r="E313" s="4"/>
      <c r="F313" s="4"/>
      <c r="G313" s="4"/>
      <c r="H313" s="4"/>
      <c r="I313" s="4"/>
      <c r="J313" s="4"/>
    </row>
    <row r="314">
      <c r="A314" s="4"/>
      <c r="B314" s="151"/>
      <c r="C314" s="151"/>
      <c r="D314" s="151"/>
      <c r="E314" s="4"/>
      <c r="F314" s="4"/>
      <c r="G314" s="4"/>
      <c r="H314" s="4"/>
      <c r="I314" s="4"/>
      <c r="J314" s="4"/>
    </row>
    <row r="315">
      <c r="A315" s="4"/>
      <c r="B315" s="151"/>
      <c r="C315" s="151"/>
      <c r="D315" s="151"/>
      <c r="E315" s="4"/>
      <c r="F315" s="4"/>
      <c r="G315" s="4"/>
      <c r="H315" s="4"/>
      <c r="I315" s="4"/>
      <c r="J315" s="4"/>
    </row>
    <row r="316">
      <c r="A316" s="4"/>
      <c r="B316" s="151"/>
      <c r="C316" s="151"/>
      <c r="D316" s="151"/>
      <c r="E316" s="4"/>
      <c r="F316" s="4"/>
      <c r="G316" s="4"/>
      <c r="H316" s="4"/>
      <c r="I316" s="4"/>
      <c r="J316" s="4"/>
    </row>
    <row r="317">
      <c r="A317" s="4"/>
      <c r="B317" s="151"/>
      <c r="C317" s="151"/>
      <c r="D317" s="151"/>
      <c r="E317" s="4"/>
      <c r="F317" s="4"/>
      <c r="G317" s="4"/>
      <c r="H317" s="4"/>
      <c r="I317" s="4"/>
      <c r="J317" s="4"/>
    </row>
    <row r="318">
      <c r="A318" s="4"/>
      <c r="B318" s="151"/>
      <c r="C318" s="151"/>
      <c r="D318" s="151"/>
      <c r="E318" s="4"/>
      <c r="F318" s="4"/>
      <c r="G318" s="4"/>
      <c r="H318" s="4"/>
      <c r="I318" s="4"/>
      <c r="J318" s="4"/>
    </row>
    <row r="319">
      <c r="A319" s="4"/>
      <c r="B319" s="151"/>
      <c r="C319" s="151"/>
      <c r="D319" s="151"/>
      <c r="E319" s="4"/>
      <c r="F319" s="4"/>
      <c r="G319" s="4"/>
      <c r="H319" s="4"/>
      <c r="I319" s="4"/>
      <c r="J319" s="4"/>
    </row>
    <row r="320">
      <c r="A320" s="4"/>
      <c r="B320" s="151"/>
      <c r="C320" s="151"/>
      <c r="D320" s="151"/>
      <c r="E320" s="4"/>
      <c r="F320" s="4"/>
      <c r="G320" s="4"/>
      <c r="H320" s="4"/>
      <c r="I320" s="4"/>
      <c r="J320" s="4"/>
    </row>
    <row r="321">
      <c r="A321" s="4"/>
      <c r="B321" s="151"/>
      <c r="C321" s="151"/>
      <c r="D321" s="151"/>
      <c r="E321" s="4"/>
      <c r="F321" s="4"/>
      <c r="G321" s="4"/>
      <c r="H321" s="4"/>
      <c r="I321" s="4"/>
      <c r="J321" s="4"/>
    </row>
    <row r="322">
      <c r="A322" s="4"/>
      <c r="B322" s="151"/>
      <c r="C322" s="151"/>
      <c r="D322" s="151"/>
      <c r="E322" s="4"/>
      <c r="F322" s="4"/>
      <c r="G322" s="4"/>
      <c r="H322" s="4"/>
      <c r="I322" s="4"/>
      <c r="J322" s="4"/>
    </row>
    <row r="323">
      <c r="A323" s="4"/>
      <c r="B323" s="151"/>
      <c r="C323" s="151"/>
      <c r="D323" s="151"/>
      <c r="E323" s="4"/>
      <c r="F323" s="4"/>
      <c r="G323" s="4"/>
      <c r="H323" s="4"/>
      <c r="I323" s="4"/>
      <c r="J323" s="4"/>
    </row>
    <row r="324">
      <c r="A324" s="4"/>
      <c r="B324" s="151"/>
      <c r="C324" s="151"/>
      <c r="D324" s="151"/>
      <c r="E324" s="4"/>
      <c r="F324" s="4"/>
      <c r="G324" s="4"/>
      <c r="H324" s="4"/>
      <c r="I324" s="4"/>
      <c r="J324" s="4"/>
    </row>
    <row r="325">
      <c r="A325" s="4"/>
      <c r="B325" s="151"/>
      <c r="C325" s="151"/>
      <c r="D325" s="151"/>
      <c r="E325" s="4"/>
      <c r="F325" s="4"/>
      <c r="G325" s="4"/>
      <c r="H325" s="4"/>
      <c r="I325" s="4"/>
      <c r="J325" s="4"/>
    </row>
    <row r="326">
      <c r="A326" s="4"/>
      <c r="B326" s="151"/>
      <c r="C326" s="151"/>
      <c r="D326" s="151"/>
      <c r="E326" s="4"/>
      <c r="F326" s="4"/>
      <c r="G326" s="4"/>
      <c r="H326" s="4"/>
      <c r="I326" s="4"/>
      <c r="J326" s="4"/>
    </row>
    <row r="327">
      <c r="A327" s="4"/>
      <c r="B327" s="151"/>
      <c r="C327" s="151"/>
      <c r="D327" s="151"/>
      <c r="E327" s="4"/>
      <c r="F327" s="4"/>
      <c r="G327" s="4"/>
      <c r="H327" s="4"/>
      <c r="I327" s="4"/>
      <c r="J327" s="4"/>
    </row>
    <row r="328">
      <c r="A328" s="4"/>
      <c r="B328" s="151"/>
      <c r="C328" s="151"/>
      <c r="D328" s="151"/>
      <c r="E328" s="4"/>
      <c r="F328" s="4"/>
      <c r="G328" s="4"/>
      <c r="H328" s="4"/>
      <c r="I328" s="4"/>
      <c r="J328" s="4"/>
    </row>
    <row r="329">
      <c r="A329" s="4"/>
      <c r="B329" s="151"/>
      <c r="C329" s="151"/>
      <c r="D329" s="151"/>
      <c r="E329" s="4"/>
      <c r="F329" s="4"/>
      <c r="G329" s="4"/>
      <c r="H329" s="4"/>
      <c r="I329" s="4"/>
      <c r="J329" s="4"/>
    </row>
    <row r="330">
      <c r="A330" s="4"/>
      <c r="B330" s="151"/>
      <c r="C330" s="151"/>
      <c r="D330" s="151"/>
      <c r="E330" s="4"/>
      <c r="F330" s="4"/>
      <c r="G330" s="4"/>
      <c r="H330" s="4"/>
      <c r="I330" s="4"/>
      <c r="J330" s="4"/>
    </row>
    <row r="331">
      <c r="A331" s="4"/>
      <c r="B331" s="151"/>
      <c r="C331" s="151"/>
      <c r="D331" s="151"/>
      <c r="E331" s="4"/>
      <c r="F331" s="4"/>
      <c r="G331" s="4"/>
      <c r="H331" s="4"/>
      <c r="I331" s="4"/>
      <c r="J331" s="4"/>
    </row>
    <row r="332">
      <c r="A332" s="4"/>
      <c r="B332" s="151"/>
      <c r="C332" s="151"/>
      <c r="D332" s="151"/>
      <c r="E332" s="4"/>
      <c r="F332" s="4"/>
      <c r="G332" s="4"/>
      <c r="H332" s="4"/>
      <c r="I332" s="4"/>
      <c r="J332" s="4"/>
    </row>
    <row r="333">
      <c r="A333" s="4"/>
      <c r="B333" s="151"/>
      <c r="C333" s="151"/>
      <c r="D333" s="151"/>
      <c r="E333" s="4"/>
      <c r="F333" s="4"/>
      <c r="G333" s="4"/>
      <c r="H333" s="4"/>
      <c r="I333" s="4"/>
      <c r="J333" s="4"/>
    </row>
    <row r="334">
      <c r="A334" s="4"/>
      <c r="B334" s="151"/>
      <c r="C334" s="151"/>
      <c r="D334" s="151"/>
      <c r="E334" s="4"/>
      <c r="F334" s="4"/>
      <c r="G334" s="4"/>
      <c r="H334" s="4"/>
      <c r="I334" s="4"/>
      <c r="J334" s="4"/>
    </row>
    <row r="335">
      <c r="A335" s="4"/>
      <c r="B335" s="151"/>
      <c r="C335" s="151"/>
      <c r="D335" s="151"/>
      <c r="E335" s="4"/>
      <c r="F335" s="4"/>
      <c r="G335" s="4"/>
      <c r="H335" s="4"/>
      <c r="I335" s="4"/>
      <c r="J335" s="4"/>
    </row>
    <row r="336">
      <c r="A336" s="4"/>
      <c r="B336" s="151"/>
      <c r="C336" s="151"/>
      <c r="D336" s="151"/>
      <c r="E336" s="4"/>
      <c r="F336" s="4"/>
      <c r="G336" s="4"/>
      <c r="H336" s="4"/>
      <c r="I336" s="4"/>
      <c r="J336" s="4"/>
    </row>
    <row r="337">
      <c r="A337" s="4"/>
      <c r="B337" s="151"/>
      <c r="C337" s="151"/>
      <c r="D337" s="151"/>
      <c r="E337" s="4"/>
      <c r="F337" s="4"/>
      <c r="G337" s="4"/>
      <c r="H337" s="4"/>
      <c r="I337" s="4"/>
      <c r="J337" s="4"/>
    </row>
    <row r="338">
      <c r="A338" s="4"/>
      <c r="B338" s="151"/>
      <c r="C338" s="151"/>
      <c r="D338" s="151"/>
      <c r="E338" s="4"/>
      <c r="F338" s="4"/>
      <c r="G338" s="4"/>
      <c r="H338" s="4"/>
      <c r="I338" s="4"/>
      <c r="J338" s="4"/>
    </row>
    <row r="339">
      <c r="A339" s="4"/>
      <c r="B339" s="151"/>
      <c r="C339" s="151"/>
      <c r="D339" s="151"/>
      <c r="E339" s="4"/>
      <c r="F339" s="4"/>
      <c r="G339" s="4"/>
      <c r="H339" s="4"/>
      <c r="I339" s="4"/>
      <c r="J339" s="4"/>
    </row>
    <row r="340">
      <c r="A340" s="4"/>
      <c r="B340" s="151"/>
      <c r="C340" s="151"/>
      <c r="D340" s="151"/>
      <c r="E340" s="4"/>
      <c r="F340" s="4"/>
      <c r="G340" s="4"/>
      <c r="H340" s="4"/>
      <c r="I340" s="4"/>
      <c r="J340" s="4"/>
    </row>
    <row r="341">
      <c r="A341" s="4"/>
      <c r="B341" s="151"/>
      <c r="C341" s="151"/>
      <c r="D341" s="151"/>
      <c r="E341" s="4"/>
      <c r="F341" s="4"/>
      <c r="G341" s="4"/>
      <c r="H341" s="4"/>
      <c r="I341" s="4"/>
      <c r="J341" s="4"/>
    </row>
    <row r="342">
      <c r="A342" s="4"/>
      <c r="B342" s="151"/>
      <c r="C342" s="151"/>
      <c r="D342" s="151"/>
      <c r="E342" s="4"/>
      <c r="F342" s="4"/>
      <c r="G342" s="4"/>
      <c r="H342" s="4"/>
      <c r="I342" s="4"/>
      <c r="J342" s="4"/>
    </row>
    <row r="343">
      <c r="A343" s="4"/>
      <c r="B343" s="151"/>
      <c r="C343" s="151"/>
      <c r="D343" s="151"/>
      <c r="E343" s="4"/>
      <c r="F343" s="4"/>
      <c r="G343" s="4"/>
      <c r="H343" s="4"/>
      <c r="I343" s="4"/>
      <c r="J343" s="4"/>
    </row>
    <row r="344">
      <c r="A344" s="4"/>
      <c r="B344" s="151"/>
      <c r="C344" s="151"/>
      <c r="D344" s="151"/>
      <c r="E344" s="4"/>
      <c r="F344" s="4"/>
      <c r="G344" s="4"/>
      <c r="H344" s="4"/>
      <c r="I344" s="4"/>
      <c r="J344" s="4"/>
    </row>
    <row r="345">
      <c r="A345" s="4"/>
      <c r="B345" s="151"/>
      <c r="C345" s="151"/>
      <c r="D345" s="151"/>
      <c r="E345" s="4"/>
      <c r="F345" s="4"/>
      <c r="G345" s="4"/>
      <c r="H345" s="4"/>
      <c r="I345" s="4"/>
      <c r="J345" s="4"/>
    </row>
    <row r="346">
      <c r="A346" s="4"/>
      <c r="B346" s="151"/>
      <c r="C346" s="151"/>
      <c r="D346" s="151"/>
      <c r="E346" s="4"/>
      <c r="F346" s="4"/>
      <c r="G346" s="4"/>
      <c r="H346" s="4"/>
      <c r="I346" s="4"/>
      <c r="J346" s="4"/>
    </row>
    <row r="347">
      <c r="A347" s="4"/>
      <c r="B347" s="151"/>
      <c r="C347" s="151"/>
      <c r="D347" s="151"/>
      <c r="E347" s="4"/>
      <c r="F347" s="4"/>
      <c r="G347" s="4"/>
      <c r="H347" s="4"/>
      <c r="I347" s="4"/>
      <c r="J347" s="4"/>
    </row>
    <row r="348">
      <c r="A348" s="4"/>
      <c r="B348" s="151"/>
      <c r="C348" s="151"/>
      <c r="D348" s="151"/>
      <c r="E348" s="4"/>
      <c r="F348" s="4"/>
      <c r="G348" s="4"/>
      <c r="H348" s="4"/>
      <c r="I348" s="4"/>
      <c r="J348" s="4"/>
    </row>
    <row r="349">
      <c r="A349" s="4"/>
      <c r="B349" s="151"/>
      <c r="C349" s="151"/>
      <c r="D349" s="151"/>
      <c r="E349" s="4"/>
      <c r="F349" s="4"/>
      <c r="G349" s="4"/>
      <c r="H349" s="4"/>
      <c r="I349" s="4"/>
      <c r="J349" s="4"/>
    </row>
    <row r="350">
      <c r="A350" s="4"/>
      <c r="B350" s="151"/>
      <c r="C350" s="151"/>
      <c r="D350" s="151"/>
      <c r="E350" s="4"/>
      <c r="F350" s="4"/>
      <c r="G350" s="4"/>
      <c r="H350" s="4"/>
      <c r="I350" s="4"/>
      <c r="J350" s="4"/>
    </row>
    <row r="351">
      <c r="A351" s="4"/>
      <c r="B351" s="151"/>
      <c r="C351" s="151"/>
      <c r="D351" s="151"/>
      <c r="E351" s="4"/>
      <c r="F351" s="4"/>
      <c r="G351" s="4"/>
      <c r="H351" s="4"/>
      <c r="I351" s="4"/>
      <c r="J351" s="4"/>
    </row>
    <row r="352">
      <c r="A352" s="4"/>
      <c r="B352" s="151"/>
      <c r="C352" s="151"/>
      <c r="D352" s="151"/>
      <c r="E352" s="4"/>
      <c r="F352" s="4"/>
      <c r="G352" s="4"/>
      <c r="H352" s="4"/>
      <c r="I352" s="4"/>
      <c r="J352" s="4"/>
    </row>
    <row r="353">
      <c r="A353" s="4"/>
      <c r="B353" s="151"/>
      <c r="C353" s="151"/>
      <c r="D353" s="151"/>
      <c r="E353" s="4"/>
      <c r="F353" s="4"/>
      <c r="G353" s="4"/>
      <c r="H353" s="4"/>
      <c r="I353" s="4"/>
      <c r="J353" s="4"/>
    </row>
    <row r="354">
      <c r="A354" s="4"/>
      <c r="B354" s="151"/>
      <c r="C354" s="151"/>
      <c r="D354" s="151"/>
      <c r="E354" s="4"/>
      <c r="F354" s="4"/>
      <c r="G354" s="4"/>
      <c r="H354" s="4"/>
      <c r="I354" s="4"/>
      <c r="J354" s="4"/>
    </row>
    <row r="355">
      <c r="A355" s="4"/>
      <c r="B355" s="151"/>
      <c r="C355" s="151"/>
      <c r="D355" s="151"/>
      <c r="E355" s="4"/>
      <c r="F355" s="4"/>
      <c r="G355" s="4"/>
      <c r="H355" s="4"/>
      <c r="I355" s="4"/>
      <c r="J355" s="4"/>
    </row>
    <row r="356">
      <c r="A356" s="4"/>
      <c r="B356" s="151"/>
      <c r="C356" s="151"/>
      <c r="D356" s="151"/>
      <c r="E356" s="4"/>
      <c r="F356" s="4"/>
      <c r="G356" s="4"/>
      <c r="H356" s="4"/>
      <c r="I356" s="4"/>
      <c r="J356" s="4"/>
    </row>
    <row r="357">
      <c r="A357" s="4"/>
      <c r="B357" s="151"/>
      <c r="C357" s="151"/>
      <c r="D357" s="151"/>
      <c r="E357" s="4"/>
      <c r="F357" s="4"/>
      <c r="G357" s="4"/>
      <c r="H357" s="4"/>
      <c r="I357" s="4"/>
      <c r="J357" s="4"/>
    </row>
    <row r="358">
      <c r="A358" s="4"/>
      <c r="B358" s="151"/>
      <c r="C358" s="151"/>
      <c r="D358" s="151"/>
      <c r="E358" s="4"/>
      <c r="F358" s="4"/>
      <c r="G358" s="4"/>
      <c r="H358" s="4"/>
      <c r="I358" s="4"/>
      <c r="J358" s="4"/>
    </row>
    <row r="359">
      <c r="A359" s="4"/>
      <c r="B359" s="151"/>
      <c r="C359" s="151"/>
      <c r="D359" s="151"/>
      <c r="E359" s="4"/>
      <c r="F359" s="4"/>
      <c r="G359" s="4"/>
      <c r="H359" s="4"/>
      <c r="I359" s="4"/>
      <c r="J359" s="4"/>
    </row>
    <row r="360">
      <c r="A360" s="4"/>
      <c r="B360" s="151"/>
      <c r="C360" s="151"/>
      <c r="D360" s="151"/>
      <c r="E360" s="4"/>
      <c r="F360" s="4"/>
      <c r="G360" s="4"/>
      <c r="H360" s="4"/>
      <c r="I360" s="4"/>
      <c r="J360" s="4"/>
    </row>
    <row r="361">
      <c r="A361" s="4"/>
      <c r="B361" s="151"/>
      <c r="C361" s="151"/>
      <c r="D361" s="151"/>
      <c r="E361" s="4"/>
      <c r="F361" s="4"/>
      <c r="G361" s="4"/>
      <c r="H361" s="4"/>
      <c r="I361" s="4"/>
      <c r="J361" s="4"/>
    </row>
    <row r="362">
      <c r="A362" s="4"/>
      <c r="B362" s="151"/>
      <c r="C362" s="151"/>
      <c r="D362" s="151"/>
      <c r="E362" s="4"/>
      <c r="F362" s="4"/>
      <c r="G362" s="4"/>
      <c r="H362" s="4"/>
      <c r="I362" s="4"/>
      <c r="J362" s="4"/>
    </row>
    <row r="363">
      <c r="A363" s="4"/>
      <c r="B363" s="151"/>
      <c r="C363" s="151"/>
      <c r="D363" s="151"/>
      <c r="E363" s="4"/>
      <c r="F363" s="4"/>
      <c r="G363" s="4"/>
      <c r="H363" s="4"/>
      <c r="I363" s="4"/>
      <c r="J363" s="4"/>
    </row>
    <row r="364">
      <c r="A364" s="4"/>
      <c r="B364" s="151"/>
      <c r="C364" s="151"/>
      <c r="D364" s="151"/>
      <c r="E364" s="4"/>
      <c r="F364" s="4"/>
      <c r="G364" s="4"/>
      <c r="H364" s="4"/>
      <c r="I364" s="4"/>
      <c r="J364" s="4"/>
    </row>
    <row r="365">
      <c r="A365" s="4"/>
      <c r="B365" s="151"/>
      <c r="C365" s="151"/>
      <c r="D365" s="151"/>
      <c r="E365" s="4"/>
      <c r="F365" s="4"/>
      <c r="G365" s="4"/>
      <c r="H365" s="4"/>
      <c r="I365" s="4"/>
      <c r="J365" s="4"/>
    </row>
    <row r="366">
      <c r="A366" s="4"/>
      <c r="B366" s="151"/>
      <c r="C366" s="151"/>
      <c r="D366" s="151"/>
      <c r="E366" s="4"/>
      <c r="F366" s="4"/>
      <c r="G366" s="4"/>
      <c r="H366" s="4"/>
      <c r="I366" s="4"/>
      <c r="J366" s="4"/>
    </row>
    <row r="367">
      <c r="A367" s="4"/>
      <c r="B367" s="151"/>
      <c r="C367" s="151"/>
      <c r="D367" s="151"/>
      <c r="E367" s="4"/>
      <c r="F367" s="4"/>
      <c r="G367" s="4"/>
      <c r="H367" s="4"/>
      <c r="I367" s="4"/>
      <c r="J367" s="4"/>
    </row>
    <row r="368">
      <c r="A368" s="4"/>
      <c r="B368" s="151"/>
      <c r="C368" s="151"/>
      <c r="D368" s="151"/>
      <c r="E368" s="4"/>
      <c r="F368" s="4"/>
      <c r="G368" s="4"/>
      <c r="H368" s="4"/>
      <c r="I368" s="4"/>
      <c r="J368" s="4"/>
    </row>
    <row r="369">
      <c r="A369" s="4"/>
      <c r="B369" s="151"/>
      <c r="C369" s="151"/>
      <c r="D369" s="151"/>
      <c r="E369" s="4"/>
      <c r="F369" s="4"/>
      <c r="G369" s="4"/>
      <c r="H369" s="4"/>
      <c r="I369" s="4"/>
      <c r="J369" s="4"/>
    </row>
    <row r="370">
      <c r="A370" s="4"/>
      <c r="B370" s="151"/>
      <c r="C370" s="151"/>
      <c r="D370" s="151"/>
      <c r="E370" s="4"/>
      <c r="F370" s="4"/>
      <c r="G370" s="4"/>
      <c r="H370" s="4"/>
      <c r="I370" s="4"/>
      <c r="J370" s="4"/>
    </row>
    <row r="371">
      <c r="A371" s="4"/>
      <c r="B371" s="151"/>
      <c r="C371" s="151"/>
      <c r="D371" s="151"/>
      <c r="E371" s="4"/>
      <c r="F371" s="4"/>
      <c r="G371" s="4"/>
      <c r="H371" s="4"/>
      <c r="I371" s="4"/>
      <c r="J371" s="4"/>
    </row>
    <row r="372">
      <c r="A372" s="4"/>
      <c r="B372" s="151"/>
      <c r="C372" s="151"/>
      <c r="D372" s="151"/>
      <c r="E372" s="4"/>
      <c r="F372" s="4"/>
      <c r="G372" s="4"/>
      <c r="H372" s="4"/>
      <c r="I372" s="4"/>
      <c r="J372" s="4"/>
    </row>
    <row r="373">
      <c r="A373" s="4"/>
      <c r="B373" s="151"/>
      <c r="C373" s="151"/>
      <c r="D373" s="151"/>
      <c r="E373" s="4"/>
      <c r="F373" s="4"/>
      <c r="G373" s="4"/>
      <c r="H373" s="4"/>
      <c r="I373" s="4"/>
      <c r="J373" s="4"/>
    </row>
    <row r="374">
      <c r="A374" s="4"/>
      <c r="B374" s="151"/>
      <c r="C374" s="151"/>
      <c r="D374" s="151"/>
      <c r="E374" s="4"/>
      <c r="F374" s="4"/>
      <c r="G374" s="4"/>
      <c r="H374" s="4"/>
      <c r="I374" s="4"/>
      <c r="J374" s="4"/>
    </row>
    <row r="375">
      <c r="A375" s="4"/>
      <c r="B375" s="151"/>
      <c r="C375" s="151"/>
      <c r="D375" s="151"/>
      <c r="E375" s="4"/>
      <c r="F375" s="4"/>
      <c r="G375" s="4"/>
      <c r="H375" s="4"/>
      <c r="I375" s="4"/>
      <c r="J375" s="4"/>
    </row>
    <row r="376">
      <c r="A376" s="4"/>
      <c r="B376" s="151"/>
      <c r="C376" s="151"/>
      <c r="D376" s="151"/>
      <c r="E376" s="4"/>
      <c r="F376" s="4"/>
      <c r="G376" s="4"/>
      <c r="H376" s="4"/>
      <c r="I376" s="4"/>
      <c r="J376" s="4"/>
    </row>
    <row r="377">
      <c r="A377" s="4"/>
      <c r="B377" s="151"/>
      <c r="C377" s="151"/>
      <c r="D377" s="151"/>
      <c r="E377" s="4"/>
      <c r="F377" s="4"/>
      <c r="G377" s="4"/>
      <c r="H377" s="4"/>
      <c r="I377" s="4"/>
      <c r="J377" s="4"/>
    </row>
    <row r="378">
      <c r="A378" s="4"/>
      <c r="B378" s="151"/>
      <c r="C378" s="151"/>
      <c r="D378" s="151"/>
      <c r="E378" s="4"/>
      <c r="F378" s="4"/>
      <c r="G378" s="4"/>
      <c r="H378" s="4"/>
      <c r="I378" s="4"/>
      <c r="J378" s="4"/>
    </row>
    <row r="379">
      <c r="A379" s="4"/>
      <c r="B379" s="151"/>
      <c r="C379" s="151"/>
      <c r="D379" s="151"/>
      <c r="E379" s="4"/>
      <c r="F379" s="4"/>
      <c r="G379" s="4"/>
      <c r="H379" s="4"/>
      <c r="I379" s="4"/>
      <c r="J379" s="4"/>
    </row>
    <row r="380">
      <c r="A380" s="4"/>
      <c r="B380" s="151"/>
      <c r="C380" s="151"/>
      <c r="D380" s="151"/>
      <c r="E380" s="4"/>
      <c r="F380" s="4"/>
      <c r="G380" s="4"/>
      <c r="H380" s="4"/>
      <c r="I380" s="4"/>
      <c r="J380" s="4"/>
    </row>
    <row r="381">
      <c r="A381" s="4"/>
      <c r="B381" s="151"/>
      <c r="C381" s="151"/>
      <c r="D381" s="151"/>
      <c r="E381" s="4"/>
      <c r="F381" s="4"/>
      <c r="G381" s="4"/>
      <c r="H381" s="4"/>
      <c r="I381" s="4"/>
      <c r="J381" s="4"/>
    </row>
    <row r="382">
      <c r="A382" s="4"/>
      <c r="B382" s="151"/>
      <c r="C382" s="151"/>
      <c r="D382" s="151"/>
      <c r="E382" s="4"/>
      <c r="F382" s="4"/>
      <c r="G382" s="4"/>
      <c r="H382" s="4"/>
      <c r="I382" s="4"/>
      <c r="J382" s="4"/>
    </row>
    <row r="383">
      <c r="A383" s="4"/>
      <c r="B383" s="151"/>
      <c r="C383" s="151"/>
      <c r="D383" s="151"/>
      <c r="E383" s="4"/>
      <c r="F383" s="4"/>
      <c r="G383" s="4"/>
      <c r="H383" s="4"/>
      <c r="I383" s="4"/>
      <c r="J383" s="4"/>
    </row>
    <row r="384">
      <c r="A384" s="4"/>
      <c r="B384" s="151"/>
      <c r="C384" s="151"/>
      <c r="D384" s="151"/>
      <c r="E384" s="4"/>
      <c r="F384" s="4"/>
      <c r="G384" s="4"/>
      <c r="H384" s="4"/>
      <c r="I384" s="4"/>
      <c r="J384" s="4"/>
    </row>
    <row r="385">
      <c r="A385" s="4"/>
      <c r="B385" s="151"/>
      <c r="C385" s="151"/>
      <c r="D385" s="151"/>
      <c r="E385" s="4"/>
      <c r="F385" s="4"/>
      <c r="G385" s="4"/>
      <c r="H385" s="4"/>
      <c r="I385" s="4"/>
      <c r="J385" s="4"/>
    </row>
    <row r="386">
      <c r="A386" s="4"/>
      <c r="B386" s="151"/>
      <c r="C386" s="151"/>
      <c r="D386" s="151"/>
      <c r="E386" s="4"/>
      <c r="F386" s="4"/>
      <c r="G386" s="4"/>
      <c r="H386" s="4"/>
      <c r="I386" s="4"/>
      <c r="J386" s="4"/>
    </row>
    <row r="387">
      <c r="A387" s="4"/>
      <c r="B387" s="151"/>
      <c r="C387" s="151"/>
      <c r="D387" s="151"/>
      <c r="E387" s="4"/>
      <c r="F387" s="4"/>
      <c r="G387" s="4"/>
      <c r="H387" s="4"/>
      <c r="I387" s="4"/>
      <c r="J387" s="4"/>
    </row>
    <row r="388">
      <c r="A388" s="4"/>
      <c r="B388" s="151"/>
      <c r="C388" s="151"/>
      <c r="D388" s="151"/>
      <c r="E388" s="4"/>
      <c r="F388" s="4"/>
      <c r="G388" s="4"/>
      <c r="H388" s="4"/>
      <c r="I388" s="4"/>
      <c r="J388" s="4"/>
    </row>
    <row r="389">
      <c r="A389" s="4"/>
      <c r="B389" s="151"/>
      <c r="C389" s="151"/>
      <c r="D389" s="151"/>
      <c r="E389" s="4"/>
      <c r="F389" s="4"/>
      <c r="G389" s="4"/>
      <c r="H389" s="4"/>
      <c r="I389" s="4"/>
      <c r="J389" s="4"/>
    </row>
    <row r="390">
      <c r="A390" s="4"/>
      <c r="B390" s="151"/>
      <c r="C390" s="151"/>
      <c r="D390" s="151"/>
      <c r="E390" s="4"/>
      <c r="F390" s="4"/>
      <c r="G390" s="4"/>
      <c r="H390" s="4"/>
      <c r="I390" s="4"/>
      <c r="J390" s="4"/>
    </row>
    <row r="391">
      <c r="A391" s="4"/>
      <c r="B391" s="151"/>
      <c r="C391" s="151"/>
      <c r="D391" s="151"/>
      <c r="E391" s="4"/>
      <c r="F391" s="4"/>
      <c r="G391" s="4"/>
      <c r="H391" s="4"/>
      <c r="I391" s="4"/>
      <c r="J391" s="4"/>
    </row>
    <row r="392">
      <c r="A392" s="4"/>
      <c r="B392" s="151"/>
      <c r="C392" s="151"/>
      <c r="D392" s="151"/>
      <c r="E392" s="4"/>
      <c r="F392" s="4"/>
      <c r="G392" s="4"/>
      <c r="H392" s="4"/>
      <c r="I392" s="4"/>
      <c r="J392" s="4"/>
    </row>
    <row r="393">
      <c r="A393" s="4"/>
      <c r="B393" s="151"/>
      <c r="C393" s="151"/>
      <c r="D393" s="151"/>
      <c r="E393" s="4"/>
      <c r="F393" s="4"/>
      <c r="G393" s="4"/>
      <c r="H393" s="4"/>
      <c r="I393" s="4"/>
      <c r="J393" s="4"/>
    </row>
    <row r="394">
      <c r="A394" s="4"/>
      <c r="B394" s="151"/>
      <c r="C394" s="151"/>
      <c r="D394" s="151"/>
      <c r="E394" s="4"/>
      <c r="F394" s="4"/>
      <c r="G394" s="4"/>
      <c r="H394" s="4"/>
      <c r="I394" s="4"/>
      <c r="J394" s="4"/>
    </row>
    <row r="395">
      <c r="A395" s="4"/>
      <c r="B395" s="151"/>
      <c r="C395" s="151"/>
      <c r="D395" s="151"/>
      <c r="E395" s="4"/>
      <c r="F395" s="4"/>
      <c r="G395" s="4"/>
      <c r="H395" s="4"/>
      <c r="I395" s="4"/>
      <c r="J395" s="4"/>
    </row>
    <row r="396">
      <c r="A396" s="4"/>
      <c r="B396" s="151"/>
      <c r="C396" s="151"/>
      <c r="D396" s="151"/>
      <c r="E396" s="4"/>
      <c r="F396" s="4"/>
      <c r="G396" s="4"/>
      <c r="H396" s="4"/>
      <c r="I396" s="4"/>
      <c r="J396" s="4"/>
    </row>
    <row r="397">
      <c r="A397" s="4"/>
      <c r="B397" s="151"/>
      <c r="C397" s="151"/>
      <c r="D397" s="151"/>
      <c r="E397" s="4"/>
      <c r="F397" s="4"/>
      <c r="G397" s="4"/>
      <c r="H397" s="4"/>
      <c r="I397" s="4"/>
      <c r="J397" s="4"/>
    </row>
    <row r="398">
      <c r="A398" s="4"/>
      <c r="B398" s="151"/>
      <c r="C398" s="151"/>
      <c r="D398" s="151"/>
      <c r="E398" s="4"/>
      <c r="F398" s="4"/>
      <c r="G398" s="4"/>
      <c r="H398" s="4"/>
      <c r="I398" s="4"/>
      <c r="J398" s="4"/>
    </row>
    <row r="399">
      <c r="A399" s="4"/>
      <c r="B399" s="151"/>
      <c r="C399" s="151"/>
      <c r="D399" s="151"/>
      <c r="E399" s="4"/>
      <c r="F399" s="4"/>
      <c r="G399" s="4"/>
      <c r="H399" s="4"/>
      <c r="I399" s="4"/>
      <c r="J399" s="4"/>
    </row>
    <row r="400">
      <c r="A400" s="4"/>
      <c r="B400" s="151"/>
      <c r="C400" s="151"/>
      <c r="D400" s="151"/>
      <c r="E400" s="4"/>
      <c r="F400" s="4"/>
      <c r="G400" s="4"/>
      <c r="H400" s="4"/>
      <c r="I400" s="4"/>
      <c r="J400" s="4"/>
    </row>
    <row r="401">
      <c r="A401" s="4"/>
      <c r="B401" s="151"/>
      <c r="C401" s="151"/>
      <c r="D401" s="151"/>
      <c r="E401" s="4"/>
      <c r="F401" s="4"/>
      <c r="G401" s="4"/>
      <c r="H401" s="4"/>
      <c r="I401" s="4"/>
      <c r="J401" s="4"/>
    </row>
    <row r="402">
      <c r="A402" s="4"/>
      <c r="B402" s="151"/>
      <c r="C402" s="151"/>
      <c r="D402" s="151"/>
      <c r="E402" s="4"/>
      <c r="F402" s="4"/>
      <c r="G402" s="4"/>
      <c r="H402" s="4"/>
      <c r="I402" s="4"/>
      <c r="J402" s="4"/>
    </row>
    <row r="403">
      <c r="A403" s="4"/>
      <c r="B403" s="151"/>
      <c r="C403" s="151"/>
      <c r="D403" s="151"/>
      <c r="E403" s="4"/>
      <c r="F403" s="4"/>
      <c r="G403" s="4"/>
      <c r="H403" s="4"/>
      <c r="I403" s="4"/>
      <c r="J403" s="4"/>
    </row>
    <row r="404">
      <c r="A404" s="4"/>
      <c r="B404" s="151"/>
      <c r="C404" s="151"/>
      <c r="D404" s="151"/>
      <c r="E404" s="4"/>
      <c r="F404" s="4"/>
      <c r="G404" s="4"/>
      <c r="H404" s="4"/>
      <c r="I404" s="4"/>
      <c r="J404" s="4"/>
    </row>
    <row r="405">
      <c r="A405" s="4"/>
      <c r="B405" s="151"/>
      <c r="C405" s="151"/>
      <c r="D405" s="151"/>
      <c r="E405" s="4"/>
      <c r="F405" s="4"/>
      <c r="G405" s="4"/>
      <c r="H405" s="4"/>
      <c r="I405" s="4"/>
      <c r="J405" s="4"/>
    </row>
    <row r="406">
      <c r="A406" s="4"/>
      <c r="B406" s="151"/>
      <c r="C406" s="151"/>
      <c r="D406" s="151"/>
      <c r="E406" s="4"/>
      <c r="F406" s="4"/>
      <c r="G406" s="4"/>
      <c r="H406" s="4"/>
      <c r="I406" s="4"/>
      <c r="J406" s="4"/>
    </row>
    <row r="407">
      <c r="A407" s="4"/>
      <c r="B407" s="151"/>
      <c r="C407" s="151"/>
      <c r="D407" s="151"/>
      <c r="E407" s="4"/>
      <c r="F407" s="4"/>
      <c r="G407" s="4"/>
      <c r="H407" s="4"/>
      <c r="I407" s="4"/>
      <c r="J407" s="4"/>
    </row>
    <row r="408">
      <c r="A408" s="4"/>
      <c r="B408" s="151"/>
      <c r="C408" s="151"/>
      <c r="D408" s="151"/>
      <c r="E408" s="4"/>
      <c r="F408" s="4"/>
      <c r="G408" s="4"/>
      <c r="H408" s="4"/>
      <c r="I408" s="4"/>
      <c r="J408" s="4"/>
    </row>
    <row r="409">
      <c r="A409" s="4"/>
      <c r="B409" s="151"/>
      <c r="C409" s="151"/>
      <c r="D409" s="151"/>
      <c r="E409" s="4"/>
      <c r="F409" s="4"/>
      <c r="G409" s="4"/>
      <c r="H409" s="4"/>
      <c r="I409" s="4"/>
      <c r="J409" s="4"/>
    </row>
    <row r="410">
      <c r="A410" s="4"/>
      <c r="B410" s="151"/>
      <c r="C410" s="151"/>
      <c r="D410" s="151"/>
      <c r="E410" s="4"/>
      <c r="F410" s="4"/>
      <c r="G410" s="4"/>
      <c r="H410" s="4"/>
      <c r="I410" s="4"/>
      <c r="J410" s="4"/>
    </row>
    <row r="411">
      <c r="A411" s="4"/>
      <c r="B411" s="151"/>
      <c r="C411" s="151"/>
      <c r="D411" s="151"/>
      <c r="E411" s="4"/>
      <c r="F411" s="4"/>
      <c r="G411" s="4"/>
      <c r="H411" s="4"/>
      <c r="I411" s="4"/>
      <c r="J411" s="4"/>
    </row>
    <row r="412">
      <c r="A412" s="4"/>
      <c r="B412" s="151"/>
      <c r="C412" s="151"/>
      <c r="D412" s="151"/>
      <c r="E412" s="4"/>
      <c r="F412" s="4"/>
      <c r="G412" s="4"/>
      <c r="H412" s="4"/>
      <c r="I412" s="4"/>
      <c r="J412" s="4"/>
    </row>
    <row r="413">
      <c r="A413" s="4"/>
      <c r="B413" s="151"/>
      <c r="C413" s="151"/>
      <c r="D413" s="151"/>
      <c r="E413" s="4"/>
      <c r="F413" s="4"/>
      <c r="G413" s="4"/>
      <c r="H413" s="4"/>
      <c r="I413" s="4"/>
      <c r="J413" s="4"/>
    </row>
    <row r="414">
      <c r="A414" s="4"/>
      <c r="B414" s="151"/>
      <c r="C414" s="151"/>
      <c r="D414" s="151"/>
      <c r="E414" s="4"/>
      <c r="F414" s="4"/>
      <c r="G414" s="4"/>
      <c r="H414" s="4"/>
      <c r="I414" s="4"/>
      <c r="J414" s="4"/>
    </row>
    <row r="415">
      <c r="A415" s="4"/>
      <c r="B415" s="151"/>
      <c r="C415" s="151"/>
      <c r="D415" s="151"/>
      <c r="E415" s="4"/>
      <c r="F415" s="4"/>
      <c r="G415" s="4"/>
      <c r="H415" s="4"/>
      <c r="I415" s="4"/>
      <c r="J415" s="4"/>
    </row>
    <row r="416">
      <c r="A416" s="4"/>
      <c r="B416" s="151"/>
      <c r="C416" s="151"/>
      <c r="D416" s="151"/>
      <c r="E416" s="4"/>
      <c r="F416" s="4"/>
      <c r="G416" s="4"/>
      <c r="H416" s="4"/>
      <c r="I416" s="4"/>
      <c r="J416" s="4"/>
    </row>
    <row r="417">
      <c r="A417" s="4"/>
      <c r="B417" s="151"/>
      <c r="C417" s="151"/>
      <c r="D417" s="151"/>
      <c r="E417" s="4"/>
      <c r="F417" s="4"/>
      <c r="G417" s="4"/>
      <c r="H417" s="4"/>
      <c r="I417" s="4"/>
      <c r="J417" s="4"/>
    </row>
    <row r="418">
      <c r="A418" s="4"/>
      <c r="B418" s="151"/>
      <c r="C418" s="151"/>
      <c r="D418" s="151"/>
      <c r="E418" s="4"/>
      <c r="F418" s="4"/>
      <c r="G418" s="4"/>
      <c r="H418" s="4"/>
      <c r="I418" s="4"/>
      <c r="J418" s="4"/>
    </row>
    <row r="419">
      <c r="A419" s="4"/>
      <c r="B419" s="151"/>
      <c r="C419" s="151"/>
      <c r="D419" s="151"/>
      <c r="E419" s="4"/>
      <c r="F419" s="4"/>
      <c r="G419" s="4"/>
      <c r="H419" s="4"/>
      <c r="I419" s="4"/>
      <c r="J419" s="4"/>
    </row>
    <row r="420">
      <c r="A420" s="4"/>
      <c r="B420" s="151"/>
      <c r="C420" s="151"/>
      <c r="D420" s="151"/>
      <c r="E420" s="4"/>
      <c r="F420" s="4"/>
      <c r="G420" s="4"/>
      <c r="H420" s="4"/>
      <c r="I420" s="4"/>
      <c r="J420" s="4"/>
    </row>
    <row r="421">
      <c r="A421" s="4"/>
      <c r="B421" s="151"/>
      <c r="C421" s="151"/>
      <c r="D421" s="151"/>
      <c r="E421" s="4"/>
      <c r="F421" s="4"/>
      <c r="G421" s="4"/>
      <c r="H421" s="4"/>
      <c r="I421" s="4"/>
      <c r="J421" s="4"/>
    </row>
    <row r="422">
      <c r="A422" s="4"/>
      <c r="B422" s="151"/>
      <c r="C422" s="151"/>
      <c r="D422" s="151"/>
      <c r="E422" s="4"/>
      <c r="F422" s="4"/>
      <c r="G422" s="4"/>
      <c r="H422" s="4"/>
      <c r="I422" s="4"/>
      <c r="J422" s="4"/>
    </row>
    <row r="423">
      <c r="A423" s="4"/>
      <c r="B423" s="151"/>
      <c r="C423" s="151"/>
      <c r="D423" s="151"/>
      <c r="E423" s="4"/>
      <c r="F423" s="4"/>
      <c r="G423" s="4"/>
      <c r="H423" s="4"/>
      <c r="I423" s="4"/>
      <c r="J423" s="4"/>
    </row>
    <row r="424">
      <c r="A424" s="4"/>
      <c r="B424" s="151"/>
      <c r="C424" s="151"/>
      <c r="D424" s="151"/>
      <c r="E424" s="4"/>
      <c r="F424" s="4"/>
      <c r="G424" s="4"/>
      <c r="H424" s="4"/>
      <c r="I424" s="4"/>
      <c r="J424" s="4"/>
    </row>
    <row r="425">
      <c r="A425" s="4"/>
      <c r="B425" s="151"/>
      <c r="C425" s="151"/>
      <c r="D425" s="151"/>
      <c r="E425" s="4"/>
      <c r="F425" s="4"/>
      <c r="G425" s="4"/>
      <c r="H425" s="4"/>
      <c r="I425" s="4"/>
      <c r="J425" s="4"/>
    </row>
    <row r="426">
      <c r="A426" s="4"/>
      <c r="B426" s="151"/>
      <c r="C426" s="151"/>
      <c r="D426" s="151"/>
      <c r="E426" s="4"/>
      <c r="F426" s="4"/>
      <c r="G426" s="4"/>
      <c r="H426" s="4"/>
      <c r="I426" s="4"/>
      <c r="J426" s="4"/>
    </row>
    <row r="427">
      <c r="A427" s="4"/>
      <c r="B427" s="151"/>
      <c r="C427" s="151"/>
      <c r="D427" s="151"/>
      <c r="E427" s="4"/>
      <c r="F427" s="4"/>
      <c r="G427" s="4"/>
      <c r="H427" s="4"/>
      <c r="I427" s="4"/>
      <c r="J427" s="4"/>
    </row>
    <row r="428">
      <c r="A428" s="4"/>
      <c r="B428" s="151"/>
      <c r="C428" s="151"/>
      <c r="D428" s="151"/>
      <c r="E428" s="4"/>
      <c r="F428" s="4"/>
      <c r="G428" s="4"/>
      <c r="H428" s="4"/>
      <c r="I428" s="4"/>
      <c r="J428" s="4"/>
    </row>
    <row r="429">
      <c r="A429" s="4"/>
      <c r="B429" s="151"/>
      <c r="C429" s="151"/>
      <c r="D429" s="151"/>
      <c r="E429" s="4"/>
      <c r="F429" s="4"/>
      <c r="G429" s="4"/>
      <c r="H429" s="4"/>
      <c r="I429" s="4"/>
      <c r="J429" s="4"/>
    </row>
    <row r="430">
      <c r="A430" s="4"/>
      <c r="B430" s="151"/>
      <c r="C430" s="151"/>
      <c r="D430" s="151"/>
      <c r="E430" s="4"/>
      <c r="F430" s="4"/>
      <c r="G430" s="4"/>
      <c r="H430" s="4"/>
      <c r="I430" s="4"/>
      <c r="J430" s="4"/>
    </row>
    <row r="431">
      <c r="A431" s="4"/>
      <c r="B431" s="151"/>
      <c r="C431" s="151"/>
      <c r="D431" s="151"/>
      <c r="E431" s="4"/>
      <c r="F431" s="4"/>
      <c r="G431" s="4"/>
      <c r="H431" s="4"/>
      <c r="I431" s="4"/>
      <c r="J431" s="4"/>
    </row>
    <row r="432">
      <c r="A432" s="4"/>
      <c r="B432" s="151"/>
      <c r="C432" s="151"/>
      <c r="D432" s="151"/>
      <c r="E432" s="4"/>
      <c r="F432" s="4"/>
      <c r="G432" s="4"/>
      <c r="H432" s="4"/>
      <c r="I432" s="4"/>
      <c r="J432" s="4"/>
    </row>
    <row r="433">
      <c r="A433" s="4"/>
      <c r="B433" s="151"/>
      <c r="C433" s="151"/>
      <c r="D433" s="151"/>
      <c r="E433" s="4"/>
      <c r="F433" s="4"/>
      <c r="G433" s="4"/>
      <c r="H433" s="4"/>
      <c r="I433" s="4"/>
      <c r="J433" s="4"/>
    </row>
    <row r="434">
      <c r="A434" s="4"/>
      <c r="B434" s="151"/>
      <c r="C434" s="151"/>
      <c r="D434" s="151"/>
      <c r="E434" s="4"/>
      <c r="F434" s="4"/>
      <c r="G434" s="4"/>
      <c r="H434" s="4"/>
      <c r="I434" s="4"/>
      <c r="J434" s="4"/>
    </row>
    <row r="435">
      <c r="A435" s="4"/>
      <c r="B435" s="151"/>
      <c r="C435" s="151"/>
      <c r="D435" s="151"/>
      <c r="E435" s="4"/>
      <c r="F435" s="4"/>
      <c r="G435" s="4"/>
      <c r="H435" s="4"/>
      <c r="I435" s="4"/>
      <c r="J435" s="4"/>
    </row>
    <row r="436">
      <c r="A436" s="4"/>
      <c r="B436" s="151"/>
      <c r="C436" s="151"/>
      <c r="D436" s="151"/>
      <c r="E436" s="4"/>
      <c r="F436" s="4"/>
      <c r="G436" s="4"/>
      <c r="H436" s="4"/>
      <c r="I436" s="4"/>
      <c r="J436" s="4"/>
    </row>
    <row r="437">
      <c r="A437" s="4"/>
      <c r="B437" s="151"/>
      <c r="C437" s="151"/>
      <c r="D437" s="151"/>
      <c r="E437" s="4"/>
      <c r="F437" s="4"/>
      <c r="G437" s="4"/>
      <c r="H437" s="4"/>
      <c r="I437" s="4"/>
      <c r="J437" s="4"/>
    </row>
    <row r="438">
      <c r="A438" s="4"/>
      <c r="B438" s="151"/>
      <c r="C438" s="151"/>
      <c r="D438" s="151"/>
      <c r="E438" s="4"/>
      <c r="F438" s="4"/>
      <c r="G438" s="4"/>
      <c r="H438" s="4"/>
      <c r="I438" s="4"/>
      <c r="J438" s="4"/>
    </row>
    <row r="439">
      <c r="A439" s="4"/>
      <c r="B439" s="151"/>
      <c r="C439" s="151"/>
      <c r="D439" s="151"/>
      <c r="E439" s="4"/>
      <c r="F439" s="4"/>
      <c r="G439" s="4"/>
      <c r="H439" s="4"/>
      <c r="I439" s="4"/>
      <c r="J439" s="4"/>
    </row>
    <row r="440">
      <c r="A440" s="4"/>
      <c r="B440" s="151"/>
      <c r="C440" s="151"/>
      <c r="D440" s="151"/>
      <c r="E440" s="4"/>
      <c r="F440" s="4"/>
      <c r="G440" s="4"/>
      <c r="H440" s="4"/>
      <c r="I440" s="4"/>
      <c r="J440" s="4"/>
    </row>
    <row r="441">
      <c r="A441" s="4"/>
      <c r="B441" s="151"/>
      <c r="C441" s="151"/>
      <c r="D441" s="151"/>
      <c r="E441" s="4"/>
      <c r="F441" s="4"/>
      <c r="G441" s="4"/>
      <c r="H441" s="4"/>
      <c r="I441" s="4"/>
      <c r="J441" s="4"/>
    </row>
    <row r="442">
      <c r="A442" s="4"/>
      <c r="B442" s="151"/>
      <c r="C442" s="151"/>
      <c r="D442" s="151"/>
      <c r="E442" s="4"/>
      <c r="F442" s="4"/>
      <c r="G442" s="4"/>
      <c r="H442" s="4"/>
      <c r="I442" s="4"/>
      <c r="J442" s="4"/>
    </row>
    <row r="443">
      <c r="A443" s="4"/>
      <c r="B443" s="151"/>
      <c r="C443" s="151"/>
      <c r="D443" s="151"/>
      <c r="E443" s="4"/>
      <c r="F443" s="4"/>
      <c r="G443" s="4"/>
      <c r="H443" s="4"/>
      <c r="I443" s="4"/>
      <c r="J443" s="4"/>
    </row>
    <row r="444">
      <c r="A444" s="4"/>
      <c r="B444" s="151"/>
      <c r="C444" s="151"/>
      <c r="D444" s="151"/>
      <c r="E444" s="4"/>
      <c r="F444" s="4"/>
      <c r="G444" s="4"/>
      <c r="H444" s="4"/>
      <c r="I444" s="4"/>
      <c r="J444" s="4"/>
    </row>
    <row r="445">
      <c r="A445" s="4"/>
      <c r="B445" s="151"/>
      <c r="C445" s="151"/>
      <c r="D445" s="151"/>
      <c r="E445" s="4"/>
      <c r="F445" s="4"/>
      <c r="G445" s="4"/>
      <c r="H445" s="4"/>
      <c r="I445" s="4"/>
      <c r="J445" s="4"/>
    </row>
    <row r="446">
      <c r="A446" s="4"/>
      <c r="B446" s="151"/>
      <c r="C446" s="151"/>
      <c r="D446" s="151"/>
      <c r="E446" s="4"/>
      <c r="F446" s="4"/>
      <c r="G446" s="4"/>
      <c r="H446" s="4"/>
      <c r="I446" s="4"/>
      <c r="J446" s="4"/>
    </row>
    <row r="447">
      <c r="A447" s="4"/>
      <c r="B447" s="151"/>
      <c r="C447" s="151"/>
      <c r="D447" s="151"/>
      <c r="E447" s="4"/>
      <c r="F447" s="4"/>
      <c r="G447" s="4"/>
      <c r="H447" s="4"/>
      <c r="I447" s="4"/>
      <c r="J447" s="4"/>
    </row>
    <row r="448">
      <c r="A448" s="4"/>
      <c r="B448" s="151"/>
      <c r="C448" s="151"/>
      <c r="D448" s="151"/>
      <c r="E448" s="4"/>
      <c r="F448" s="4"/>
      <c r="G448" s="4"/>
      <c r="H448" s="4"/>
      <c r="I448" s="4"/>
      <c r="J448" s="4"/>
    </row>
    <row r="449">
      <c r="A449" s="4"/>
      <c r="B449" s="151"/>
      <c r="C449" s="151"/>
      <c r="D449" s="151"/>
      <c r="E449" s="4"/>
      <c r="F449" s="4"/>
      <c r="G449" s="4"/>
      <c r="H449" s="4"/>
      <c r="I449" s="4"/>
      <c r="J449" s="4"/>
    </row>
    <row r="450">
      <c r="A450" s="4"/>
      <c r="B450" s="151"/>
      <c r="C450" s="151"/>
      <c r="D450" s="151"/>
      <c r="E450" s="4"/>
      <c r="F450" s="4"/>
      <c r="G450" s="4"/>
      <c r="H450" s="4"/>
      <c r="I450" s="4"/>
      <c r="J450" s="4"/>
    </row>
    <row r="451">
      <c r="A451" s="4"/>
      <c r="B451" s="151"/>
      <c r="C451" s="151"/>
      <c r="D451" s="151"/>
      <c r="E451" s="4"/>
      <c r="F451" s="4"/>
      <c r="G451" s="4"/>
      <c r="H451" s="4"/>
      <c r="I451" s="4"/>
      <c r="J451" s="4"/>
    </row>
    <row r="452">
      <c r="A452" s="4"/>
      <c r="B452" s="151"/>
      <c r="C452" s="151"/>
      <c r="D452" s="151"/>
      <c r="E452" s="4"/>
      <c r="F452" s="4"/>
      <c r="G452" s="4"/>
      <c r="H452" s="4"/>
      <c r="I452" s="4"/>
      <c r="J452" s="4"/>
    </row>
    <row r="453">
      <c r="A453" s="4"/>
      <c r="B453" s="151"/>
      <c r="C453" s="151"/>
      <c r="D453" s="151"/>
      <c r="E453" s="4"/>
      <c r="F453" s="4"/>
      <c r="G453" s="4"/>
      <c r="H453" s="4"/>
      <c r="I453" s="4"/>
      <c r="J453" s="4"/>
    </row>
    <row r="454">
      <c r="A454" s="4"/>
      <c r="B454" s="151"/>
      <c r="C454" s="151"/>
      <c r="D454" s="151"/>
      <c r="E454" s="4"/>
      <c r="F454" s="4"/>
      <c r="G454" s="4"/>
      <c r="H454" s="4"/>
      <c r="I454" s="4"/>
      <c r="J454" s="4"/>
    </row>
    <row r="455">
      <c r="A455" s="4"/>
      <c r="B455" s="151"/>
      <c r="C455" s="151"/>
      <c r="D455" s="151"/>
      <c r="E455" s="4"/>
      <c r="F455" s="4"/>
      <c r="G455" s="4"/>
      <c r="H455" s="4"/>
      <c r="I455" s="4"/>
      <c r="J455" s="4"/>
    </row>
    <row r="456">
      <c r="A456" s="4"/>
      <c r="B456" s="151"/>
      <c r="C456" s="151"/>
      <c r="D456" s="151"/>
      <c r="E456" s="4"/>
      <c r="F456" s="4"/>
      <c r="G456" s="4"/>
      <c r="H456" s="4"/>
      <c r="I456" s="4"/>
      <c r="J456" s="4"/>
    </row>
    <row r="457">
      <c r="A457" s="4"/>
      <c r="B457" s="151"/>
      <c r="C457" s="151"/>
      <c r="D457" s="151"/>
      <c r="E457" s="4"/>
      <c r="F457" s="4"/>
      <c r="G457" s="4"/>
      <c r="H457" s="4"/>
      <c r="I457" s="4"/>
      <c r="J457" s="4"/>
    </row>
    <row r="458">
      <c r="A458" s="4"/>
      <c r="B458" s="151"/>
      <c r="C458" s="151"/>
      <c r="D458" s="151"/>
      <c r="E458" s="4"/>
      <c r="F458" s="4"/>
      <c r="G458" s="4"/>
      <c r="H458" s="4"/>
      <c r="I458" s="4"/>
      <c r="J458" s="4"/>
    </row>
    <row r="459">
      <c r="A459" s="4"/>
      <c r="B459" s="151"/>
      <c r="C459" s="151"/>
      <c r="D459" s="151"/>
      <c r="E459" s="4"/>
      <c r="F459" s="4"/>
      <c r="G459" s="4"/>
      <c r="H459" s="4"/>
      <c r="I459" s="4"/>
      <c r="J459" s="4"/>
    </row>
    <row r="460">
      <c r="A460" s="4"/>
      <c r="B460" s="151"/>
      <c r="C460" s="151"/>
      <c r="D460" s="151"/>
      <c r="E460" s="4"/>
      <c r="F460" s="4"/>
      <c r="G460" s="4"/>
      <c r="H460" s="4"/>
      <c r="I460" s="4"/>
      <c r="J460" s="4"/>
    </row>
    <row r="461">
      <c r="A461" s="4"/>
      <c r="B461" s="151"/>
      <c r="C461" s="151"/>
      <c r="D461" s="151"/>
      <c r="E461" s="4"/>
      <c r="F461" s="4"/>
      <c r="G461" s="4"/>
      <c r="H461" s="4"/>
      <c r="I461" s="4"/>
      <c r="J461" s="4"/>
    </row>
    <row r="462">
      <c r="A462" s="4"/>
      <c r="B462" s="151"/>
      <c r="C462" s="151"/>
      <c r="D462" s="151"/>
      <c r="E462" s="4"/>
      <c r="F462" s="4"/>
      <c r="G462" s="4"/>
      <c r="H462" s="4"/>
      <c r="I462" s="4"/>
      <c r="J462" s="4"/>
    </row>
    <row r="463">
      <c r="A463" s="4"/>
      <c r="B463" s="151"/>
      <c r="C463" s="151"/>
      <c r="D463" s="151"/>
      <c r="E463" s="4"/>
      <c r="F463" s="4"/>
      <c r="G463" s="4"/>
      <c r="H463" s="4"/>
      <c r="I463" s="4"/>
      <c r="J463" s="4"/>
    </row>
    <row r="464">
      <c r="A464" s="4"/>
      <c r="B464" s="151"/>
      <c r="C464" s="151"/>
      <c r="D464" s="151"/>
      <c r="E464" s="4"/>
      <c r="F464" s="4"/>
      <c r="G464" s="4"/>
      <c r="H464" s="4"/>
      <c r="I464" s="4"/>
      <c r="J464" s="4"/>
    </row>
    <row r="465">
      <c r="A465" s="4"/>
      <c r="B465" s="151"/>
      <c r="C465" s="151"/>
      <c r="D465" s="151"/>
      <c r="E465" s="4"/>
      <c r="F465" s="4"/>
      <c r="G465" s="4"/>
      <c r="H465" s="4"/>
      <c r="I465" s="4"/>
      <c r="J465" s="4"/>
    </row>
    <row r="466">
      <c r="A466" s="4"/>
      <c r="B466" s="151"/>
      <c r="C466" s="151"/>
      <c r="D466" s="151"/>
      <c r="E466" s="4"/>
      <c r="F466" s="4"/>
      <c r="G466" s="4"/>
      <c r="H466" s="4"/>
      <c r="I466" s="4"/>
      <c r="J466" s="4"/>
    </row>
    <row r="467">
      <c r="A467" s="4"/>
      <c r="B467" s="151"/>
      <c r="C467" s="151"/>
      <c r="D467" s="151"/>
      <c r="E467" s="4"/>
      <c r="F467" s="4"/>
      <c r="G467" s="4"/>
      <c r="H467" s="4"/>
      <c r="I467" s="4"/>
      <c r="J467" s="4"/>
    </row>
    <row r="468">
      <c r="A468" s="4"/>
      <c r="B468" s="151"/>
      <c r="C468" s="151"/>
      <c r="D468" s="151"/>
      <c r="E468" s="4"/>
      <c r="F468" s="4"/>
      <c r="G468" s="4"/>
      <c r="H468" s="4"/>
      <c r="I468" s="4"/>
      <c r="J468" s="4"/>
    </row>
    <row r="469">
      <c r="A469" s="4"/>
      <c r="B469" s="151"/>
      <c r="C469" s="151"/>
      <c r="D469" s="151"/>
      <c r="E469" s="4"/>
      <c r="F469" s="4"/>
      <c r="G469" s="4"/>
      <c r="H469" s="4"/>
      <c r="I469" s="4"/>
      <c r="J469" s="4"/>
    </row>
    <row r="470">
      <c r="A470" s="4"/>
      <c r="B470" s="151"/>
      <c r="C470" s="151"/>
      <c r="D470" s="151"/>
      <c r="E470" s="4"/>
      <c r="F470" s="4"/>
      <c r="G470" s="4"/>
      <c r="H470" s="4"/>
      <c r="I470" s="4"/>
      <c r="J470" s="4"/>
    </row>
    <row r="471">
      <c r="A471" s="4"/>
      <c r="B471" s="151"/>
      <c r="C471" s="151"/>
      <c r="D471" s="151"/>
      <c r="E471" s="4"/>
      <c r="F471" s="4"/>
      <c r="G471" s="4"/>
      <c r="H471" s="4"/>
      <c r="I471" s="4"/>
      <c r="J471" s="4"/>
    </row>
    <row r="472">
      <c r="A472" s="4"/>
      <c r="B472" s="151"/>
      <c r="C472" s="151"/>
      <c r="D472" s="151"/>
      <c r="E472" s="4"/>
      <c r="F472" s="4"/>
      <c r="G472" s="4"/>
      <c r="H472" s="4"/>
      <c r="I472" s="4"/>
      <c r="J472" s="4"/>
    </row>
    <row r="473">
      <c r="A473" s="4"/>
      <c r="B473" s="151"/>
      <c r="C473" s="151"/>
      <c r="D473" s="151"/>
      <c r="E473" s="4"/>
      <c r="F473" s="4"/>
      <c r="G473" s="4"/>
      <c r="H473" s="4"/>
      <c r="I473" s="4"/>
      <c r="J473" s="4"/>
    </row>
    <row r="474">
      <c r="A474" s="4"/>
      <c r="B474" s="151"/>
      <c r="C474" s="151"/>
      <c r="D474" s="151"/>
      <c r="E474" s="4"/>
      <c r="F474" s="4"/>
      <c r="G474" s="4"/>
      <c r="H474" s="4"/>
      <c r="I474" s="4"/>
      <c r="J474" s="4"/>
    </row>
    <row r="475">
      <c r="A475" s="4"/>
      <c r="B475" s="151"/>
      <c r="C475" s="151"/>
      <c r="D475" s="151"/>
      <c r="E475" s="4"/>
      <c r="F475" s="4"/>
      <c r="G475" s="4"/>
      <c r="H475" s="4"/>
      <c r="I475" s="4"/>
      <c r="J475" s="4"/>
    </row>
    <row r="476">
      <c r="A476" s="4"/>
      <c r="B476" s="151"/>
      <c r="C476" s="151"/>
      <c r="D476" s="151"/>
      <c r="E476" s="4"/>
      <c r="F476" s="4"/>
      <c r="G476" s="4"/>
      <c r="H476" s="4"/>
      <c r="I476" s="4"/>
      <c r="J476" s="4"/>
    </row>
    <row r="477">
      <c r="A477" s="4"/>
      <c r="B477" s="151"/>
      <c r="C477" s="151"/>
      <c r="D477" s="151"/>
      <c r="E477" s="4"/>
      <c r="F477" s="4"/>
      <c r="G477" s="4"/>
      <c r="H477" s="4"/>
      <c r="I477" s="4"/>
      <c r="J477" s="4"/>
    </row>
    <row r="478">
      <c r="A478" s="4"/>
      <c r="B478" s="151"/>
      <c r="C478" s="151"/>
      <c r="D478" s="151"/>
      <c r="E478" s="4"/>
      <c r="F478" s="4"/>
      <c r="G478" s="4"/>
      <c r="H478" s="4"/>
      <c r="I478" s="4"/>
      <c r="J478" s="4"/>
    </row>
    <row r="479">
      <c r="A479" s="4"/>
      <c r="B479" s="151"/>
      <c r="C479" s="151"/>
      <c r="D479" s="151"/>
      <c r="E479" s="4"/>
      <c r="F479" s="4"/>
      <c r="G479" s="4"/>
      <c r="H479" s="4"/>
      <c r="I479" s="4"/>
      <c r="J479" s="4"/>
    </row>
    <row r="480">
      <c r="A480" s="4"/>
      <c r="B480" s="151"/>
      <c r="C480" s="151"/>
      <c r="D480" s="151"/>
      <c r="E480" s="4"/>
      <c r="F480" s="4"/>
      <c r="G480" s="4"/>
      <c r="H480" s="4"/>
      <c r="I480" s="4"/>
      <c r="J480" s="4"/>
    </row>
    <row r="481">
      <c r="A481" s="4"/>
      <c r="B481" s="151"/>
      <c r="C481" s="151"/>
      <c r="D481" s="151"/>
      <c r="E481" s="4"/>
      <c r="F481" s="4"/>
      <c r="G481" s="4"/>
      <c r="H481" s="4"/>
      <c r="I481" s="4"/>
      <c r="J481" s="4"/>
    </row>
    <row r="482">
      <c r="A482" s="4"/>
      <c r="B482" s="151"/>
      <c r="C482" s="151"/>
      <c r="D482" s="151"/>
      <c r="E482" s="4"/>
      <c r="F482" s="4"/>
      <c r="G482" s="4"/>
      <c r="H482" s="4"/>
      <c r="I482" s="4"/>
      <c r="J482" s="4"/>
    </row>
    <row r="483">
      <c r="A483" s="4"/>
      <c r="B483" s="151"/>
      <c r="C483" s="151"/>
      <c r="D483" s="151"/>
      <c r="E483" s="4"/>
      <c r="F483" s="4"/>
      <c r="G483" s="4"/>
      <c r="H483" s="4"/>
      <c r="I483" s="4"/>
      <c r="J483" s="4"/>
    </row>
    <row r="484">
      <c r="A484" s="4"/>
      <c r="B484" s="151"/>
      <c r="C484" s="151"/>
      <c r="D484" s="151"/>
      <c r="E484" s="4"/>
      <c r="F484" s="4"/>
      <c r="G484" s="4"/>
      <c r="H484" s="4"/>
      <c r="I484" s="4"/>
      <c r="J484" s="4"/>
    </row>
    <row r="485">
      <c r="A485" s="4"/>
      <c r="B485" s="151"/>
      <c r="C485" s="151"/>
      <c r="D485" s="151"/>
      <c r="E485" s="4"/>
      <c r="F485" s="4"/>
      <c r="G485" s="4"/>
      <c r="H485" s="4"/>
      <c r="I485" s="4"/>
      <c r="J485" s="4"/>
    </row>
    <row r="486">
      <c r="A486" s="4"/>
      <c r="B486" s="151"/>
      <c r="C486" s="151"/>
      <c r="D486" s="151"/>
      <c r="E486" s="4"/>
      <c r="F486" s="4"/>
      <c r="G486" s="4"/>
      <c r="H486" s="4"/>
      <c r="I486" s="4"/>
      <c r="J486" s="4"/>
    </row>
    <row r="487">
      <c r="A487" s="4"/>
      <c r="B487" s="151"/>
      <c r="C487" s="151"/>
      <c r="D487" s="151"/>
      <c r="E487" s="4"/>
      <c r="F487" s="4"/>
      <c r="G487" s="4"/>
      <c r="H487" s="4"/>
      <c r="I487" s="4"/>
      <c r="J487" s="4"/>
    </row>
    <row r="488">
      <c r="A488" s="4"/>
      <c r="B488" s="151"/>
      <c r="C488" s="151"/>
      <c r="D488" s="151"/>
      <c r="E488" s="4"/>
      <c r="F488" s="4"/>
      <c r="G488" s="4"/>
      <c r="H488" s="4"/>
      <c r="I488" s="4"/>
      <c r="J488" s="4"/>
    </row>
    <row r="489">
      <c r="A489" s="4"/>
      <c r="B489" s="151"/>
      <c r="C489" s="151"/>
      <c r="D489" s="151"/>
      <c r="E489" s="4"/>
      <c r="F489" s="4"/>
      <c r="G489" s="4"/>
      <c r="H489" s="4"/>
      <c r="I489" s="4"/>
      <c r="J489" s="4"/>
    </row>
    <row r="490">
      <c r="A490" s="4"/>
      <c r="B490" s="151"/>
      <c r="C490" s="151"/>
      <c r="D490" s="151"/>
      <c r="E490" s="4"/>
      <c r="F490" s="4"/>
      <c r="G490" s="4"/>
      <c r="H490" s="4"/>
      <c r="I490" s="4"/>
      <c r="J490" s="4"/>
    </row>
    <row r="491">
      <c r="A491" s="4"/>
      <c r="B491" s="151"/>
      <c r="C491" s="151"/>
      <c r="D491" s="151"/>
      <c r="E491" s="4"/>
      <c r="F491" s="4"/>
      <c r="G491" s="4"/>
      <c r="H491" s="4"/>
      <c r="I491" s="4"/>
      <c r="J491" s="4"/>
    </row>
    <row r="492">
      <c r="A492" s="4"/>
      <c r="B492" s="151"/>
      <c r="C492" s="151"/>
      <c r="D492" s="151"/>
      <c r="E492" s="4"/>
      <c r="F492" s="4"/>
      <c r="G492" s="4"/>
      <c r="H492" s="4"/>
      <c r="I492" s="4"/>
      <c r="J492" s="4"/>
    </row>
    <row r="493">
      <c r="A493" s="4"/>
      <c r="B493" s="151"/>
      <c r="C493" s="151"/>
      <c r="D493" s="151"/>
      <c r="E493" s="4"/>
      <c r="F493" s="4"/>
      <c r="G493" s="4"/>
      <c r="H493" s="4"/>
      <c r="I493" s="4"/>
      <c r="J493" s="4"/>
    </row>
    <row r="494">
      <c r="A494" s="4"/>
      <c r="B494" s="151"/>
      <c r="C494" s="151"/>
      <c r="D494" s="151"/>
      <c r="E494" s="4"/>
      <c r="F494" s="4"/>
      <c r="G494" s="4"/>
      <c r="H494" s="4"/>
      <c r="I494" s="4"/>
      <c r="J494" s="4"/>
    </row>
    <row r="495">
      <c r="A495" s="4"/>
      <c r="B495" s="151"/>
      <c r="C495" s="151"/>
      <c r="D495" s="151"/>
      <c r="E495" s="4"/>
      <c r="F495" s="4"/>
      <c r="G495" s="4"/>
      <c r="H495" s="4"/>
      <c r="I495" s="4"/>
      <c r="J495" s="4"/>
    </row>
    <row r="496">
      <c r="A496" s="4"/>
      <c r="B496" s="151"/>
      <c r="C496" s="151"/>
      <c r="D496" s="151"/>
      <c r="E496" s="4"/>
      <c r="F496" s="4"/>
      <c r="G496" s="4"/>
      <c r="H496" s="4"/>
      <c r="I496" s="4"/>
      <c r="J496" s="4"/>
    </row>
    <row r="497">
      <c r="A497" s="4"/>
      <c r="B497" s="151"/>
      <c r="C497" s="151"/>
      <c r="D497" s="151"/>
      <c r="E497" s="4"/>
      <c r="F497" s="4"/>
      <c r="G497" s="4"/>
      <c r="H497" s="4"/>
      <c r="I497" s="4"/>
      <c r="J497" s="4"/>
    </row>
    <row r="498">
      <c r="A498" s="4"/>
      <c r="B498" s="151"/>
      <c r="C498" s="151"/>
      <c r="D498" s="151"/>
      <c r="E498" s="4"/>
      <c r="F498" s="4"/>
      <c r="G498" s="4"/>
      <c r="H498" s="4"/>
      <c r="I498" s="4"/>
      <c r="J498" s="4"/>
    </row>
    <row r="499">
      <c r="A499" s="4"/>
      <c r="B499" s="151"/>
      <c r="C499" s="151"/>
      <c r="D499" s="151"/>
      <c r="E499" s="4"/>
      <c r="F499" s="4"/>
      <c r="G499" s="4"/>
      <c r="H499" s="4"/>
      <c r="I499" s="4"/>
      <c r="J499" s="4"/>
    </row>
    <row r="500">
      <c r="A500" s="4"/>
      <c r="B500" s="151"/>
      <c r="C500" s="151"/>
      <c r="D500" s="151"/>
      <c r="E500" s="4"/>
      <c r="F500" s="4"/>
      <c r="G500" s="4"/>
      <c r="H500" s="4"/>
      <c r="I500" s="4"/>
      <c r="J500" s="4"/>
    </row>
    <row r="501">
      <c r="A501" s="4"/>
      <c r="B501" s="151"/>
      <c r="C501" s="151"/>
      <c r="D501" s="151"/>
      <c r="E501" s="4"/>
      <c r="F501" s="4"/>
      <c r="G501" s="4"/>
      <c r="H501" s="4"/>
      <c r="I501" s="4"/>
      <c r="J501" s="4"/>
    </row>
    <row r="502">
      <c r="A502" s="4"/>
      <c r="B502" s="151"/>
      <c r="C502" s="151"/>
      <c r="D502" s="151"/>
      <c r="E502" s="4"/>
      <c r="F502" s="4"/>
      <c r="G502" s="4"/>
      <c r="H502" s="4"/>
      <c r="I502" s="4"/>
      <c r="J502" s="4"/>
    </row>
    <row r="503">
      <c r="A503" s="4"/>
      <c r="B503" s="151"/>
      <c r="C503" s="151"/>
      <c r="D503" s="151"/>
      <c r="E503" s="4"/>
      <c r="F503" s="4"/>
      <c r="G503" s="4"/>
      <c r="H503" s="4"/>
      <c r="I503" s="4"/>
      <c r="J503" s="4"/>
    </row>
    <row r="504">
      <c r="A504" s="4"/>
      <c r="B504" s="151"/>
      <c r="C504" s="151"/>
      <c r="D504" s="151"/>
      <c r="E504" s="4"/>
      <c r="F504" s="4"/>
      <c r="G504" s="4"/>
      <c r="H504" s="4"/>
      <c r="I504" s="4"/>
      <c r="J504" s="4"/>
    </row>
    <row r="505">
      <c r="A505" s="4"/>
      <c r="B505" s="151"/>
      <c r="C505" s="151"/>
      <c r="D505" s="151"/>
      <c r="E505" s="4"/>
      <c r="F505" s="4"/>
      <c r="G505" s="4"/>
      <c r="H505" s="4"/>
      <c r="I505" s="4"/>
      <c r="J505" s="4"/>
    </row>
    <row r="506">
      <c r="A506" s="4"/>
      <c r="B506" s="151"/>
      <c r="C506" s="151"/>
      <c r="D506" s="151"/>
      <c r="E506" s="4"/>
      <c r="F506" s="4"/>
      <c r="G506" s="4"/>
      <c r="H506" s="4"/>
      <c r="I506" s="4"/>
      <c r="J506" s="4"/>
    </row>
    <row r="507">
      <c r="A507" s="4"/>
      <c r="B507" s="151"/>
      <c r="C507" s="151"/>
      <c r="D507" s="151"/>
      <c r="E507" s="4"/>
      <c r="F507" s="4"/>
      <c r="G507" s="4"/>
      <c r="H507" s="4"/>
      <c r="I507" s="4"/>
      <c r="J507" s="4"/>
    </row>
    <row r="508">
      <c r="A508" s="4"/>
      <c r="B508" s="151"/>
      <c r="C508" s="151"/>
      <c r="D508" s="151"/>
      <c r="E508" s="4"/>
      <c r="F508" s="4"/>
      <c r="G508" s="4"/>
      <c r="H508" s="4"/>
      <c r="I508" s="4"/>
      <c r="J508" s="4"/>
    </row>
    <row r="509">
      <c r="A509" s="4"/>
      <c r="B509" s="151"/>
      <c r="C509" s="151"/>
      <c r="D509" s="151"/>
      <c r="E509" s="4"/>
      <c r="F509" s="4"/>
      <c r="G509" s="4"/>
      <c r="H509" s="4"/>
      <c r="I509" s="4"/>
      <c r="J509" s="4"/>
    </row>
    <row r="510">
      <c r="A510" s="4"/>
      <c r="B510" s="151"/>
      <c r="C510" s="151"/>
      <c r="D510" s="151"/>
      <c r="E510" s="4"/>
      <c r="F510" s="4"/>
      <c r="G510" s="4"/>
      <c r="H510" s="4"/>
      <c r="I510" s="4"/>
      <c r="J510" s="4"/>
    </row>
    <row r="511">
      <c r="A511" s="4"/>
      <c r="B511" s="151"/>
      <c r="C511" s="151"/>
      <c r="D511" s="151"/>
      <c r="E511" s="4"/>
      <c r="F511" s="4"/>
      <c r="G511" s="4"/>
      <c r="H511" s="4"/>
      <c r="I511" s="4"/>
      <c r="J511" s="4"/>
    </row>
    <row r="512">
      <c r="A512" s="4"/>
      <c r="B512" s="151"/>
      <c r="C512" s="151"/>
      <c r="D512" s="151"/>
      <c r="E512" s="4"/>
      <c r="F512" s="4"/>
      <c r="G512" s="4"/>
      <c r="H512" s="4"/>
      <c r="I512" s="4"/>
      <c r="J512" s="4"/>
    </row>
    <row r="513">
      <c r="A513" s="4"/>
      <c r="B513" s="151"/>
      <c r="C513" s="151"/>
      <c r="D513" s="151"/>
      <c r="E513" s="4"/>
      <c r="F513" s="4"/>
      <c r="G513" s="4"/>
      <c r="H513" s="4"/>
      <c r="I513" s="4"/>
      <c r="J513" s="4"/>
    </row>
    <row r="514">
      <c r="A514" s="4"/>
      <c r="B514" s="151"/>
      <c r="C514" s="151"/>
      <c r="D514" s="151"/>
      <c r="E514" s="4"/>
      <c r="F514" s="4"/>
      <c r="G514" s="4"/>
      <c r="H514" s="4"/>
      <c r="I514" s="4"/>
      <c r="J514" s="4"/>
    </row>
    <row r="515">
      <c r="A515" s="4"/>
      <c r="B515" s="151"/>
      <c r="C515" s="151"/>
      <c r="D515" s="151"/>
      <c r="E515" s="4"/>
      <c r="F515" s="4"/>
      <c r="G515" s="4"/>
      <c r="H515" s="4"/>
      <c r="I515" s="4"/>
      <c r="J515" s="4"/>
    </row>
    <row r="516">
      <c r="A516" s="4"/>
      <c r="B516" s="151"/>
      <c r="C516" s="151"/>
      <c r="D516" s="151"/>
      <c r="E516" s="4"/>
      <c r="F516" s="4"/>
      <c r="G516" s="4"/>
      <c r="H516" s="4"/>
      <c r="I516" s="4"/>
      <c r="J516" s="4"/>
    </row>
    <row r="517">
      <c r="A517" s="4"/>
      <c r="B517" s="151"/>
      <c r="C517" s="151"/>
      <c r="D517" s="151"/>
      <c r="E517" s="4"/>
      <c r="F517" s="4"/>
      <c r="G517" s="4"/>
      <c r="H517" s="4"/>
      <c r="I517" s="4"/>
      <c r="J517" s="4"/>
    </row>
    <row r="518">
      <c r="A518" s="4"/>
      <c r="B518" s="151"/>
      <c r="C518" s="151"/>
      <c r="D518" s="151"/>
      <c r="E518" s="4"/>
      <c r="F518" s="4"/>
      <c r="G518" s="4"/>
      <c r="H518" s="4"/>
      <c r="I518" s="4"/>
      <c r="J518" s="4"/>
    </row>
    <row r="519">
      <c r="A519" s="4"/>
      <c r="B519" s="151"/>
      <c r="C519" s="151"/>
      <c r="D519" s="151"/>
      <c r="E519" s="4"/>
      <c r="F519" s="4"/>
      <c r="G519" s="4"/>
      <c r="H519" s="4"/>
      <c r="I519" s="4"/>
      <c r="J519" s="4"/>
    </row>
    <row r="520">
      <c r="A520" s="4"/>
      <c r="B520" s="151"/>
      <c r="C520" s="151"/>
      <c r="D520" s="151"/>
      <c r="E520" s="4"/>
      <c r="F520" s="4"/>
      <c r="G520" s="4"/>
      <c r="H520" s="4"/>
      <c r="I520" s="4"/>
      <c r="J520" s="4"/>
    </row>
    <row r="521">
      <c r="A521" s="4"/>
      <c r="B521" s="151"/>
      <c r="C521" s="151"/>
      <c r="D521" s="151"/>
      <c r="E521" s="4"/>
      <c r="F521" s="4"/>
      <c r="G521" s="4"/>
      <c r="H521" s="4"/>
      <c r="I521" s="4"/>
      <c r="J521" s="4"/>
    </row>
    <row r="522">
      <c r="A522" s="4"/>
      <c r="B522" s="151"/>
      <c r="C522" s="151"/>
      <c r="D522" s="151"/>
      <c r="E522" s="4"/>
      <c r="F522" s="4"/>
      <c r="G522" s="4"/>
      <c r="H522" s="4"/>
      <c r="I522" s="4"/>
      <c r="J522" s="4"/>
    </row>
    <row r="523">
      <c r="A523" s="4"/>
      <c r="B523" s="151"/>
      <c r="C523" s="151"/>
      <c r="D523" s="151"/>
      <c r="E523" s="4"/>
      <c r="F523" s="4"/>
      <c r="G523" s="4"/>
      <c r="H523" s="4"/>
      <c r="I523" s="4"/>
      <c r="J523" s="4"/>
    </row>
    <row r="524">
      <c r="A524" s="4"/>
      <c r="B524" s="151"/>
      <c r="C524" s="151"/>
      <c r="D524" s="151"/>
      <c r="E524" s="4"/>
      <c r="F524" s="4"/>
      <c r="G524" s="4"/>
      <c r="H524" s="4"/>
      <c r="I524" s="4"/>
      <c r="J524" s="4"/>
    </row>
    <row r="525">
      <c r="A525" s="4"/>
      <c r="B525" s="151"/>
      <c r="C525" s="151"/>
      <c r="D525" s="151"/>
      <c r="E525" s="4"/>
      <c r="F525" s="4"/>
      <c r="G525" s="4"/>
      <c r="H525" s="4"/>
      <c r="I525" s="4"/>
      <c r="J525" s="4"/>
    </row>
    <row r="526">
      <c r="A526" s="4"/>
      <c r="B526" s="151"/>
      <c r="C526" s="151"/>
      <c r="D526" s="151"/>
      <c r="E526" s="4"/>
      <c r="F526" s="4"/>
      <c r="G526" s="4"/>
      <c r="H526" s="4"/>
      <c r="I526" s="4"/>
      <c r="J526" s="4"/>
    </row>
    <row r="527">
      <c r="A527" s="4"/>
      <c r="B527" s="151"/>
      <c r="C527" s="151"/>
      <c r="D527" s="151"/>
      <c r="E527" s="4"/>
      <c r="F527" s="4"/>
      <c r="G527" s="4"/>
      <c r="H527" s="4"/>
      <c r="I527" s="4"/>
      <c r="J527" s="4"/>
    </row>
    <row r="528">
      <c r="A528" s="4"/>
      <c r="B528" s="151"/>
      <c r="C528" s="151"/>
      <c r="D528" s="151"/>
      <c r="E528" s="4"/>
      <c r="F528" s="4"/>
      <c r="G528" s="4"/>
      <c r="H528" s="4"/>
      <c r="I528" s="4"/>
      <c r="J528" s="4"/>
    </row>
    <row r="529">
      <c r="A529" s="4"/>
      <c r="B529" s="151"/>
      <c r="C529" s="151"/>
      <c r="D529" s="151"/>
      <c r="E529" s="4"/>
      <c r="F529" s="4"/>
      <c r="G529" s="4"/>
      <c r="H529" s="4"/>
      <c r="I529" s="4"/>
      <c r="J529" s="4"/>
    </row>
    <row r="530">
      <c r="A530" s="4"/>
      <c r="B530" s="151"/>
      <c r="C530" s="151"/>
      <c r="D530" s="151"/>
      <c r="E530" s="4"/>
      <c r="F530" s="4"/>
      <c r="G530" s="4"/>
      <c r="H530" s="4"/>
      <c r="I530" s="4"/>
      <c r="J530" s="4"/>
    </row>
    <row r="531">
      <c r="A531" s="4"/>
      <c r="B531" s="151"/>
      <c r="C531" s="151"/>
      <c r="D531" s="151"/>
      <c r="E531" s="4"/>
      <c r="F531" s="4"/>
      <c r="G531" s="4"/>
      <c r="H531" s="4"/>
      <c r="I531" s="4"/>
      <c r="J531" s="4"/>
    </row>
    <row r="532">
      <c r="A532" s="4"/>
      <c r="B532" s="151"/>
      <c r="C532" s="151"/>
      <c r="D532" s="151"/>
      <c r="E532" s="4"/>
      <c r="F532" s="4"/>
      <c r="G532" s="4"/>
      <c r="H532" s="4"/>
      <c r="I532" s="4"/>
      <c r="J532" s="4"/>
    </row>
    <row r="533">
      <c r="A533" s="4"/>
      <c r="B533" s="151"/>
      <c r="C533" s="151"/>
      <c r="D533" s="151"/>
      <c r="E533" s="4"/>
      <c r="F533" s="4"/>
      <c r="G533" s="4"/>
      <c r="H533" s="4"/>
      <c r="I533" s="4"/>
      <c r="J533" s="4"/>
    </row>
    <row r="534">
      <c r="A534" s="4"/>
      <c r="B534" s="151"/>
      <c r="C534" s="151"/>
      <c r="D534" s="151"/>
      <c r="E534" s="4"/>
      <c r="F534" s="4"/>
      <c r="G534" s="4"/>
      <c r="H534" s="4"/>
      <c r="I534" s="4"/>
      <c r="J534" s="4"/>
    </row>
    <row r="535">
      <c r="A535" s="4"/>
      <c r="B535" s="151"/>
      <c r="C535" s="151"/>
      <c r="D535" s="151"/>
      <c r="E535" s="4"/>
      <c r="F535" s="4"/>
      <c r="G535" s="4"/>
      <c r="H535" s="4"/>
      <c r="I535" s="4"/>
      <c r="J535" s="4"/>
    </row>
    <row r="536">
      <c r="A536" s="4"/>
      <c r="B536" s="151"/>
      <c r="C536" s="151"/>
      <c r="D536" s="151"/>
      <c r="E536" s="4"/>
      <c r="F536" s="4"/>
      <c r="G536" s="4"/>
      <c r="H536" s="4"/>
      <c r="I536" s="4"/>
      <c r="J536" s="4"/>
    </row>
    <row r="537">
      <c r="A537" s="4"/>
      <c r="B537" s="151"/>
      <c r="C537" s="151"/>
      <c r="D537" s="151"/>
      <c r="E537" s="4"/>
      <c r="F537" s="4"/>
      <c r="G537" s="4"/>
      <c r="H537" s="4"/>
      <c r="I537" s="4"/>
      <c r="J537" s="4"/>
    </row>
    <row r="538">
      <c r="A538" s="4"/>
      <c r="B538" s="151"/>
      <c r="C538" s="151"/>
      <c r="D538" s="151"/>
      <c r="E538" s="4"/>
      <c r="F538" s="4"/>
      <c r="G538" s="4"/>
      <c r="H538" s="4"/>
      <c r="I538" s="4"/>
      <c r="J538" s="4"/>
    </row>
    <row r="539">
      <c r="A539" s="4"/>
      <c r="B539" s="151"/>
      <c r="C539" s="151"/>
      <c r="D539" s="151"/>
      <c r="E539" s="4"/>
      <c r="F539" s="4"/>
      <c r="G539" s="4"/>
      <c r="H539" s="4"/>
      <c r="I539" s="4"/>
      <c r="J539" s="4"/>
    </row>
    <row r="540">
      <c r="A540" s="4"/>
      <c r="B540" s="151"/>
      <c r="C540" s="151"/>
      <c r="D540" s="151"/>
      <c r="E540" s="4"/>
      <c r="F540" s="4"/>
      <c r="G540" s="4"/>
      <c r="H540" s="4"/>
      <c r="I540" s="4"/>
      <c r="J540" s="4"/>
    </row>
    <row r="541">
      <c r="A541" s="4"/>
      <c r="B541" s="151"/>
      <c r="C541" s="151"/>
      <c r="D541" s="151"/>
      <c r="E541" s="4"/>
      <c r="F541" s="4"/>
      <c r="G541" s="4"/>
      <c r="H541" s="4"/>
      <c r="I541" s="4"/>
      <c r="J541" s="4"/>
    </row>
    <row r="542">
      <c r="A542" s="4"/>
      <c r="B542" s="151"/>
      <c r="C542" s="151"/>
      <c r="D542" s="151"/>
      <c r="E542" s="4"/>
      <c r="F542" s="4"/>
      <c r="G542" s="4"/>
      <c r="H542" s="4"/>
      <c r="I542" s="4"/>
      <c r="J542" s="4"/>
    </row>
    <row r="543">
      <c r="A543" s="4"/>
      <c r="B543" s="151"/>
      <c r="C543" s="151"/>
      <c r="D543" s="151"/>
      <c r="E543" s="4"/>
      <c r="F543" s="4"/>
      <c r="G543" s="4"/>
      <c r="H543" s="4"/>
      <c r="I543" s="4"/>
      <c r="J543" s="4"/>
    </row>
    <row r="544">
      <c r="A544" s="4"/>
      <c r="B544" s="151"/>
      <c r="C544" s="151"/>
      <c r="D544" s="151"/>
      <c r="E544" s="4"/>
      <c r="F544" s="4"/>
      <c r="G544" s="4"/>
      <c r="H544" s="4"/>
      <c r="I544" s="4"/>
      <c r="J544" s="4"/>
    </row>
    <row r="545">
      <c r="A545" s="4"/>
      <c r="B545" s="151"/>
      <c r="C545" s="151"/>
      <c r="D545" s="151"/>
      <c r="E545" s="4"/>
      <c r="F545" s="4"/>
      <c r="G545" s="4"/>
      <c r="H545" s="4"/>
      <c r="I545" s="4"/>
      <c r="J545" s="4"/>
    </row>
    <row r="546">
      <c r="A546" s="4"/>
      <c r="B546" s="151"/>
      <c r="C546" s="151"/>
      <c r="D546" s="151"/>
      <c r="E546" s="4"/>
      <c r="F546" s="4"/>
      <c r="G546" s="4"/>
      <c r="H546" s="4"/>
      <c r="I546" s="4"/>
      <c r="J546" s="4"/>
    </row>
    <row r="547">
      <c r="A547" s="4"/>
      <c r="B547" s="151"/>
      <c r="C547" s="151"/>
      <c r="D547" s="151"/>
      <c r="E547" s="4"/>
      <c r="F547" s="4"/>
      <c r="G547" s="4"/>
      <c r="H547" s="4"/>
      <c r="I547" s="4"/>
      <c r="J547" s="4"/>
    </row>
    <row r="548">
      <c r="A548" s="4"/>
      <c r="B548" s="151"/>
      <c r="C548" s="151"/>
      <c r="D548" s="151"/>
      <c r="E548" s="4"/>
      <c r="F548" s="4"/>
      <c r="G548" s="4"/>
      <c r="H548" s="4"/>
      <c r="I548" s="4"/>
      <c r="J548" s="4"/>
    </row>
    <row r="549">
      <c r="A549" s="4"/>
      <c r="B549" s="151"/>
      <c r="C549" s="151"/>
      <c r="D549" s="151"/>
      <c r="E549" s="4"/>
      <c r="F549" s="4"/>
      <c r="G549" s="4"/>
      <c r="H549" s="4"/>
      <c r="I549" s="4"/>
      <c r="J549" s="4"/>
    </row>
    <row r="550">
      <c r="A550" s="4"/>
      <c r="B550" s="151"/>
      <c r="C550" s="151"/>
      <c r="D550" s="151"/>
      <c r="E550" s="4"/>
      <c r="F550" s="4"/>
      <c r="G550" s="4"/>
      <c r="H550" s="4"/>
      <c r="I550" s="4"/>
      <c r="J550" s="4"/>
    </row>
    <row r="551">
      <c r="A551" s="4"/>
      <c r="B551" s="151"/>
      <c r="C551" s="151"/>
      <c r="D551" s="151"/>
      <c r="E551" s="4"/>
      <c r="F551" s="4"/>
      <c r="G551" s="4"/>
      <c r="H551" s="4"/>
      <c r="I551" s="4"/>
      <c r="J551" s="4"/>
    </row>
    <row r="552">
      <c r="A552" s="4"/>
      <c r="B552" s="151"/>
      <c r="C552" s="151"/>
      <c r="D552" s="151"/>
      <c r="E552" s="4"/>
      <c r="F552" s="4"/>
      <c r="G552" s="4"/>
      <c r="H552" s="4"/>
      <c r="I552" s="4"/>
      <c r="J552" s="4"/>
    </row>
    <row r="553">
      <c r="A553" s="4"/>
      <c r="B553" s="151"/>
      <c r="C553" s="151"/>
      <c r="D553" s="151"/>
      <c r="E553" s="4"/>
      <c r="F553" s="4"/>
      <c r="G553" s="4"/>
      <c r="H553" s="4"/>
      <c r="I553" s="4"/>
      <c r="J553" s="4"/>
    </row>
    <row r="554">
      <c r="A554" s="4"/>
      <c r="B554" s="151"/>
      <c r="C554" s="151"/>
      <c r="D554" s="151"/>
      <c r="E554" s="4"/>
      <c r="F554" s="4"/>
      <c r="G554" s="4"/>
      <c r="H554" s="4"/>
      <c r="I554" s="4"/>
      <c r="J554" s="4"/>
    </row>
    <row r="555">
      <c r="A555" s="4"/>
      <c r="B555" s="151"/>
      <c r="C555" s="151"/>
      <c r="D555" s="151"/>
      <c r="E555" s="4"/>
      <c r="F555" s="4"/>
      <c r="G555" s="4"/>
      <c r="H555" s="4"/>
      <c r="I555" s="4"/>
      <c r="J555" s="4"/>
    </row>
    <row r="556">
      <c r="A556" s="4"/>
      <c r="B556" s="151"/>
      <c r="C556" s="151"/>
      <c r="D556" s="151"/>
      <c r="E556" s="4"/>
      <c r="F556" s="4"/>
      <c r="G556" s="4"/>
      <c r="H556" s="4"/>
      <c r="I556" s="4"/>
      <c r="J556" s="4"/>
    </row>
    <row r="557">
      <c r="A557" s="4"/>
      <c r="B557" s="151"/>
      <c r="C557" s="151"/>
      <c r="D557" s="151"/>
      <c r="E557" s="4"/>
      <c r="F557" s="4"/>
      <c r="G557" s="4"/>
      <c r="H557" s="4"/>
      <c r="I557" s="4"/>
      <c r="J557" s="4"/>
    </row>
    <row r="558">
      <c r="A558" s="4"/>
      <c r="B558" s="151"/>
      <c r="C558" s="151"/>
      <c r="D558" s="151"/>
      <c r="E558" s="4"/>
      <c r="F558" s="4"/>
      <c r="G558" s="4"/>
      <c r="H558" s="4"/>
      <c r="I558" s="4"/>
      <c r="J558" s="4"/>
    </row>
    <row r="559">
      <c r="A559" s="4"/>
      <c r="B559" s="151"/>
      <c r="C559" s="151"/>
      <c r="D559" s="151"/>
      <c r="E559" s="4"/>
      <c r="F559" s="4"/>
      <c r="G559" s="4"/>
      <c r="H559" s="4"/>
      <c r="I559" s="4"/>
      <c r="J559" s="4"/>
    </row>
    <row r="560">
      <c r="A560" s="4"/>
      <c r="B560" s="151"/>
      <c r="C560" s="151"/>
      <c r="D560" s="151"/>
      <c r="E560" s="4"/>
      <c r="F560" s="4"/>
      <c r="G560" s="4"/>
      <c r="H560" s="4"/>
      <c r="I560" s="4"/>
      <c r="J560" s="4"/>
    </row>
    <row r="561">
      <c r="A561" s="4"/>
      <c r="B561" s="151"/>
      <c r="C561" s="151"/>
      <c r="D561" s="151"/>
      <c r="E561" s="4"/>
      <c r="F561" s="4"/>
      <c r="G561" s="4"/>
      <c r="H561" s="4"/>
      <c r="I561" s="4"/>
      <c r="J561" s="4"/>
    </row>
    <row r="562">
      <c r="A562" s="4"/>
      <c r="B562" s="151"/>
      <c r="C562" s="151"/>
      <c r="D562" s="151"/>
      <c r="E562" s="4"/>
      <c r="F562" s="4"/>
      <c r="G562" s="4"/>
      <c r="H562" s="4"/>
      <c r="I562" s="4"/>
      <c r="J562" s="4"/>
    </row>
    <row r="563">
      <c r="A563" s="4"/>
      <c r="B563" s="151"/>
      <c r="C563" s="151"/>
      <c r="D563" s="151"/>
      <c r="E563" s="4"/>
      <c r="F563" s="4"/>
      <c r="G563" s="4"/>
      <c r="H563" s="4"/>
      <c r="I563" s="4"/>
      <c r="J563" s="4"/>
    </row>
    <row r="564">
      <c r="A564" s="4"/>
      <c r="B564" s="151"/>
      <c r="C564" s="151"/>
      <c r="D564" s="151"/>
      <c r="E564" s="4"/>
      <c r="F564" s="4"/>
      <c r="G564" s="4"/>
      <c r="H564" s="4"/>
      <c r="I564" s="4"/>
      <c r="J564" s="4"/>
    </row>
    <row r="565">
      <c r="A565" s="4"/>
      <c r="B565" s="151"/>
      <c r="C565" s="151"/>
      <c r="D565" s="151"/>
      <c r="E565" s="4"/>
      <c r="F565" s="4"/>
      <c r="G565" s="4"/>
      <c r="H565" s="4"/>
      <c r="I565" s="4"/>
      <c r="J565" s="4"/>
    </row>
    <row r="566">
      <c r="A566" s="4"/>
      <c r="B566" s="151"/>
      <c r="C566" s="151"/>
      <c r="D566" s="151"/>
      <c r="E566" s="4"/>
      <c r="F566" s="4"/>
      <c r="G566" s="4"/>
      <c r="H566" s="4"/>
      <c r="I566" s="4"/>
      <c r="J566" s="4"/>
    </row>
    <row r="567">
      <c r="A567" s="4"/>
      <c r="B567" s="151"/>
      <c r="C567" s="151"/>
      <c r="D567" s="151"/>
      <c r="E567" s="4"/>
      <c r="F567" s="4"/>
      <c r="G567" s="4"/>
      <c r="H567" s="4"/>
      <c r="I567" s="4"/>
      <c r="J567" s="4"/>
    </row>
    <row r="568">
      <c r="A568" s="4"/>
      <c r="B568" s="151"/>
      <c r="C568" s="151"/>
      <c r="D568" s="151"/>
      <c r="E568" s="4"/>
      <c r="F568" s="4"/>
      <c r="G568" s="4"/>
      <c r="H568" s="4"/>
      <c r="I568" s="4"/>
      <c r="J568" s="4"/>
    </row>
    <row r="569">
      <c r="A569" s="4"/>
      <c r="B569" s="151"/>
      <c r="C569" s="151"/>
      <c r="D569" s="151"/>
      <c r="E569" s="4"/>
      <c r="F569" s="4"/>
      <c r="G569" s="4"/>
      <c r="H569" s="4"/>
      <c r="I569" s="4"/>
      <c r="J569" s="4"/>
    </row>
    <row r="570">
      <c r="A570" s="4"/>
      <c r="B570" s="151"/>
      <c r="C570" s="151"/>
      <c r="D570" s="151"/>
      <c r="E570" s="4"/>
      <c r="F570" s="4"/>
      <c r="G570" s="4"/>
      <c r="H570" s="4"/>
      <c r="I570" s="4"/>
      <c r="J570" s="4"/>
    </row>
    <row r="571">
      <c r="A571" s="4"/>
      <c r="B571" s="151"/>
      <c r="C571" s="151"/>
      <c r="D571" s="151"/>
      <c r="E571" s="4"/>
      <c r="F571" s="4"/>
      <c r="G571" s="4"/>
      <c r="H571" s="4"/>
      <c r="I571" s="4"/>
      <c r="J571" s="4"/>
    </row>
    <row r="572">
      <c r="A572" s="4"/>
      <c r="B572" s="151"/>
      <c r="C572" s="151"/>
      <c r="D572" s="151"/>
      <c r="E572" s="4"/>
      <c r="F572" s="4"/>
      <c r="G572" s="4"/>
      <c r="H572" s="4"/>
      <c r="I572" s="4"/>
      <c r="J572" s="4"/>
    </row>
    <row r="573">
      <c r="A573" s="4"/>
      <c r="B573" s="151"/>
      <c r="C573" s="151"/>
      <c r="D573" s="151"/>
      <c r="E573" s="4"/>
      <c r="F573" s="4"/>
      <c r="G573" s="4"/>
      <c r="H573" s="4"/>
      <c r="I573" s="4"/>
      <c r="J573" s="4"/>
    </row>
    <row r="574">
      <c r="A574" s="4"/>
      <c r="B574" s="151"/>
      <c r="C574" s="151"/>
      <c r="D574" s="151"/>
      <c r="E574" s="4"/>
      <c r="F574" s="4"/>
      <c r="G574" s="4"/>
      <c r="H574" s="4"/>
      <c r="I574" s="4"/>
      <c r="J574" s="4"/>
    </row>
    <row r="575">
      <c r="A575" s="4"/>
      <c r="B575" s="151"/>
      <c r="C575" s="151"/>
      <c r="D575" s="151"/>
      <c r="E575" s="4"/>
      <c r="F575" s="4"/>
      <c r="G575" s="4"/>
      <c r="H575" s="4"/>
      <c r="I575" s="4"/>
      <c r="J575" s="4"/>
    </row>
    <row r="576">
      <c r="A576" s="4"/>
      <c r="B576" s="151"/>
      <c r="C576" s="151"/>
      <c r="D576" s="151"/>
      <c r="E576" s="4"/>
      <c r="F576" s="4"/>
      <c r="G576" s="4"/>
      <c r="H576" s="4"/>
      <c r="I576" s="4"/>
      <c r="J576" s="4"/>
    </row>
    <row r="577">
      <c r="A577" s="4"/>
      <c r="B577" s="151"/>
      <c r="C577" s="151"/>
      <c r="D577" s="151"/>
      <c r="E577" s="4"/>
      <c r="F577" s="4"/>
      <c r="G577" s="4"/>
      <c r="H577" s="4"/>
      <c r="I577" s="4"/>
      <c r="J577" s="4"/>
    </row>
    <row r="578">
      <c r="A578" s="4"/>
      <c r="B578" s="151"/>
      <c r="C578" s="151"/>
      <c r="D578" s="151"/>
      <c r="E578" s="4"/>
      <c r="F578" s="4"/>
      <c r="G578" s="4"/>
      <c r="H578" s="4"/>
      <c r="I578" s="4"/>
      <c r="J578" s="4"/>
    </row>
    <row r="579">
      <c r="A579" s="4"/>
      <c r="B579" s="151"/>
      <c r="C579" s="151"/>
      <c r="D579" s="151"/>
      <c r="E579" s="4"/>
      <c r="F579" s="4"/>
      <c r="G579" s="4"/>
      <c r="H579" s="4"/>
      <c r="I579" s="4"/>
      <c r="J579" s="4"/>
    </row>
    <row r="580">
      <c r="A580" s="4"/>
      <c r="B580" s="151"/>
      <c r="C580" s="151"/>
      <c r="D580" s="151"/>
      <c r="E580" s="4"/>
      <c r="F580" s="4"/>
      <c r="G580" s="4"/>
      <c r="H580" s="4"/>
      <c r="I580" s="4"/>
      <c r="J580" s="4"/>
    </row>
    <row r="581">
      <c r="A581" s="4"/>
      <c r="B581" s="151"/>
      <c r="C581" s="151"/>
      <c r="D581" s="151"/>
      <c r="E581" s="4"/>
      <c r="F581" s="4"/>
      <c r="G581" s="4"/>
      <c r="H581" s="4"/>
      <c r="I581" s="4"/>
      <c r="J581" s="4"/>
    </row>
    <row r="582">
      <c r="A582" s="4"/>
      <c r="B582" s="151"/>
      <c r="C582" s="151"/>
      <c r="D582" s="151"/>
      <c r="E582" s="4"/>
      <c r="F582" s="4"/>
      <c r="G582" s="4"/>
      <c r="H582" s="4"/>
      <c r="I582" s="4"/>
      <c r="J582" s="4"/>
    </row>
    <row r="583">
      <c r="A583" s="4"/>
      <c r="B583" s="151"/>
      <c r="C583" s="151"/>
      <c r="D583" s="151"/>
      <c r="E583" s="4"/>
      <c r="F583" s="4"/>
      <c r="G583" s="4"/>
      <c r="H583" s="4"/>
      <c r="I583" s="4"/>
      <c r="J583" s="4"/>
    </row>
    <row r="584">
      <c r="A584" s="4"/>
      <c r="B584" s="151"/>
      <c r="C584" s="151"/>
      <c r="D584" s="151"/>
      <c r="E584" s="4"/>
      <c r="F584" s="4"/>
      <c r="G584" s="4"/>
      <c r="H584" s="4"/>
      <c r="I584" s="4"/>
      <c r="J584" s="4"/>
    </row>
    <row r="585">
      <c r="A585" s="4"/>
      <c r="B585" s="151"/>
      <c r="C585" s="151"/>
      <c r="D585" s="151"/>
      <c r="E585" s="4"/>
      <c r="F585" s="4"/>
      <c r="G585" s="4"/>
      <c r="H585" s="4"/>
      <c r="I585" s="4"/>
      <c r="J585" s="4"/>
    </row>
    <row r="586">
      <c r="A586" s="4"/>
      <c r="B586" s="151"/>
      <c r="C586" s="151"/>
      <c r="D586" s="151"/>
      <c r="E586" s="4"/>
      <c r="F586" s="4"/>
      <c r="G586" s="4"/>
      <c r="H586" s="4"/>
      <c r="I586" s="4"/>
      <c r="J586" s="4"/>
    </row>
    <row r="587">
      <c r="A587" s="4"/>
      <c r="B587" s="151"/>
      <c r="C587" s="151"/>
      <c r="D587" s="151"/>
      <c r="E587" s="4"/>
      <c r="F587" s="4"/>
      <c r="G587" s="4"/>
      <c r="H587" s="4"/>
      <c r="I587" s="4"/>
      <c r="J587" s="4"/>
    </row>
    <row r="588">
      <c r="A588" s="4"/>
      <c r="B588" s="151"/>
      <c r="C588" s="151"/>
      <c r="D588" s="151"/>
      <c r="E588" s="4"/>
      <c r="F588" s="4"/>
      <c r="G588" s="4"/>
      <c r="H588" s="4"/>
      <c r="I588" s="4"/>
      <c r="J588" s="4"/>
    </row>
    <row r="589">
      <c r="A589" s="4"/>
      <c r="B589" s="151"/>
      <c r="C589" s="151"/>
      <c r="D589" s="151"/>
      <c r="E589" s="4"/>
      <c r="F589" s="4"/>
      <c r="G589" s="4"/>
      <c r="H589" s="4"/>
      <c r="I589" s="4"/>
      <c r="J589" s="4"/>
    </row>
    <row r="590">
      <c r="A590" s="4"/>
      <c r="B590" s="151"/>
      <c r="C590" s="151"/>
      <c r="D590" s="151"/>
      <c r="E590" s="4"/>
      <c r="F590" s="4"/>
      <c r="G590" s="4"/>
      <c r="H590" s="4"/>
      <c r="I590" s="4"/>
      <c r="J590" s="4"/>
    </row>
    <row r="591">
      <c r="A591" s="4"/>
      <c r="B591" s="151"/>
      <c r="C591" s="151"/>
      <c r="D591" s="151"/>
      <c r="E591" s="4"/>
      <c r="F591" s="4"/>
      <c r="G591" s="4"/>
      <c r="H591" s="4"/>
      <c r="I591" s="4"/>
      <c r="J591" s="4"/>
    </row>
    <row r="592">
      <c r="A592" s="4"/>
      <c r="B592" s="151"/>
      <c r="C592" s="151"/>
      <c r="D592" s="151"/>
      <c r="E592" s="4"/>
      <c r="F592" s="4"/>
      <c r="G592" s="4"/>
      <c r="H592" s="4"/>
      <c r="I592" s="4"/>
      <c r="J592" s="4"/>
    </row>
    <row r="593">
      <c r="A593" s="4"/>
      <c r="B593" s="151"/>
      <c r="C593" s="151"/>
      <c r="D593" s="151"/>
      <c r="E593" s="4"/>
      <c r="F593" s="4"/>
      <c r="G593" s="4"/>
      <c r="H593" s="4"/>
      <c r="I593" s="4"/>
      <c r="J593" s="4"/>
    </row>
    <row r="594">
      <c r="A594" s="4"/>
      <c r="B594" s="151"/>
      <c r="C594" s="151"/>
      <c r="D594" s="151"/>
      <c r="E594" s="4"/>
      <c r="F594" s="4"/>
      <c r="G594" s="4"/>
      <c r="H594" s="4"/>
      <c r="I594" s="4"/>
      <c r="J594" s="4"/>
    </row>
    <row r="595">
      <c r="A595" s="4"/>
      <c r="B595" s="151"/>
      <c r="C595" s="151"/>
      <c r="D595" s="151"/>
      <c r="E595" s="4"/>
      <c r="F595" s="4"/>
      <c r="G595" s="4"/>
      <c r="H595" s="4"/>
      <c r="I595" s="4"/>
      <c r="J595" s="4"/>
    </row>
    <row r="596">
      <c r="A596" s="4"/>
      <c r="B596" s="151"/>
      <c r="C596" s="151"/>
      <c r="D596" s="151"/>
      <c r="E596" s="4"/>
      <c r="F596" s="4"/>
      <c r="G596" s="4"/>
      <c r="H596" s="4"/>
      <c r="I596" s="4"/>
      <c r="J596" s="4"/>
    </row>
    <row r="597">
      <c r="A597" s="4"/>
      <c r="B597" s="151"/>
      <c r="C597" s="151"/>
      <c r="D597" s="151"/>
      <c r="E597" s="4"/>
      <c r="F597" s="4"/>
      <c r="G597" s="4"/>
      <c r="H597" s="4"/>
      <c r="I597" s="4"/>
      <c r="J597" s="4"/>
    </row>
    <row r="598">
      <c r="A598" s="4"/>
      <c r="B598" s="151"/>
      <c r="C598" s="151"/>
      <c r="D598" s="151"/>
      <c r="E598" s="4"/>
      <c r="F598" s="4"/>
      <c r="G598" s="4"/>
      <c r="H598" s="4"/>
      <c r="I598" s="4"/>
      <c r="J598" s="4"/>
    </row>
    <row r="599">
      <c r="A599" s="4"/>
      <c r="B599" s="151"/>
      <c r="C599" s="151"/>
      <c r="D599" s="151"/>
      <c r="E599" s="4"/>
      <c r="F599" s="4"/>
      <c r="G599" s="4"/>
      <c r="H599" s="4"/>
      <c r="I599" s="4"/>
      <c r="J599" s="4"/>
    </row>
    <row r="600">
      <c r="A600" s="4"/>
      <c r="B600" s="151"/>
      <c r="C600" s="151"/>
      <c r="D600" s="151"/>
      <c r="E600" s="4"/>
      <c r="F600" s="4"/>
      <c r="G600" s="4"/>
      <c r="H600" s="4"/>
      <c r="I600" s="4"/>
      <c r="J600" s="4"/>
    </row>
    <row r="601">
      <c r="A601" s="4"/>
      <c r="B601" s="151"/>
      <c r="C601" s="151"/>
      <c r="D601" s="151"/>
      <c r="E601" s="4"/>
      <c r="F601" s="4"/>
      <c r="G601" s="4"/>
      <c r="H601" s="4"/>
      <c r="I601" s="4"/>
      <c r="J601" s="4"/>
    </row>
    <row r="602">
      <c r="A602" s="4"/>
      <c r="B602" s="151"/>
      <c r="C602" s="151"/>
      <c r="D602" s="151"/>
      <c r="E602" s="4"/>
      <c r="F602" s="4"/>
      <c r="G602" s="4"/>
      <c r="H602" s="4"/>
      <c r="I602" s="4"/>
      <c r="J602" s="4"/>
    </row>
    <row r="603">
      <c r="A603" s="4"/>
      <c r="B603" s="151"/>
      <c r="C603" s="151"/>
      <c r="D603" s="151"/>
      <c r="E603" s="4"/>
      <c r="F603" s="4"/>
      <c r="G603" s="4"/>
      <c r="H603" s="4"/>
      <c r="I603" s="4"/>
      <c r="J603" s="4"/>
    </row>
    <row r="604">
      <c r="A604" s="4"/>
      <c r="B604" s="151"/>
      <c r="C604" s="151"/>
      <c r="D604" s="151"/>
      <c r="E604" s="4"/>
      <c r="F604" s="4"/>
      <c r="G604" s="4"/>
      <c r="H604" s="4"/>
      <c r="I604" s="4"/>
      <c r="J604" s="4"/>
    </row>
    <row r="605">
      <c r="A605" s="4"/>
      <c r="B605" s="151"/>
      <c r="C605" s="151"/>
      <c r="D605" s="151"/>
      <c r="E605" s="4"/>
      <c r="F605" s="4"/>
      <c r="G605" s="4"/>
      <c r="H605" s="4"/>
      <c r="I605" s="4"/>
      <c r="J605" s="4"/>
    </row>
    <row r="606">
      <c r="A606" s="4"/>
      <c r="B606" s="151"/>
      <c r="C606" s="151"/>
      <c r="D606" s="151"/>
      <c r="E606" s="4"/>
      <c r="F606" s="4"/>
      <c r="G606" s="4"/>
      <c r="H606" s="4"/>
      <c r="I606" s="4"/>
      <c r="J606" s="4"/>
    </row>
    <row r="607">
      <c r="A607" s="4"/>
      <c r="B607" s="151"/>
      <c r="C607" s="151"/>
      <c r="D607" s="151"/>
      <c r="E607" s="4"/>
      <c r="F607" s="4"/>
      <c r="G607" s="4"/>
      <c r="H607" s="4"/>
      <c r="I607" s="4"/>
      <c r="J607" s="4"/>
    </row>
    <row r="608">
      <c r="A608" s="4"/>
      <c r="B608" s="151"/>
      <c r="C608" s="151"/>
      <c r="D608" s="151"/>
      <c r="E608" s="4"/>
      <c r="F608" s="4"/>
      <c r="G608" s="4"/>
      <c r="H608" s="4"/>
      <c r="I608" s="4"/>
      <c r="J608" s="4"/>
    </row>
    <row r="609">
      <c r="A609" s="4"/>
      <c r="B609" s="151"/>
      <c r="C609" s="151"/>
      <c r="D609" s="151"/>
      <c r="E609" s="4"/>
      <c r="F609" s="4"/>
      <c r="G609" s="4"/>
      <c r="H609" s="4"/>
      <c r="I609" s="4"/>
      <c r="J609" s="4"/>
    </row>
    <row r="610">
      <c r="A610" s="4"/>
      <c r="B610" s="151"/>
      <c r="C610" s="151"/>
      <c r="D610" s="151"/>
      <c r="E610" s="4"/>
      <c r="F610" s="4"/>
      <c r="G610" s="4"/>
      <c r="H610" s="4"/>
      <c r="I610" s="4"/>
      <c r="J610" s="4"/>
    </row>
    <row r="611">
      <c r="A611" s="4"/>
      <c r="B611" s="151"/>
      <c r="C611" s="151"/>
      <c r="D611" s="151"/>
      <c r="E611" s="4"/>
      <c r="F611" s="4"/>
      <c r="G611" s="4"/>
      <c r="H611" s="4"/>
      <c r="I611" s="4"/>
      <c r="J611" s="4"/>
    </row>
    <row r="612">
      <c r="A612" s="4"/>
      <c r="B612" s="151"/>
      <c r="C612" s="151"/>
      <c r="D612" s="151"/>
      <c r="E612" s="4"/>
      <c r="F612" s="4"/>
      <c r="G612" s="4"/>
      <c r="H612" s="4"/>
      <c r="I612" s="4"/>
      <c r="J612" s="4"/>
    </row>
    <row r="613">
      <c r="A613" s="4"/>
      <c r="B613" s="151"/>
      <c r="C613" s="151"/>
      <c r="D613" s="151"/>
      <c r="E613" s="4"/>
      <c r="F613" s="4"/>
      <c r="G613" s="4"/>
      <c r="H613" s="4"/>
      <c r="I613" s="4"/>
      <c r="J613" s="4"/>
    </row>
    <row r="614">
      <c r="A614" s="4"/>
      <c r="B614" s="151"/>
      <c r="C614" s="151"/>
      <c r="D614" s="151"/>
      <c r="E614" s="4"/>
      <c r="F614" s="4"/>
      <c r="G614" s="4"/>
      <c r="H614" s="4"/>
      <c r="I614" s="4"/>
      <c r="J614" s="4"/>
    </row>
    <row r="615">
      <c r="A615" s="4"/>
      <c r="B615" s="151"/>
      <c r="C615" s="151"/>
      <c r="D615" s="151"/>
      <c r="E615" s="4"/>
      <c r="F615" s="4"/>
      <c r="G615" s="4"/>
      <c r="H615" s="4"/>
      <c r="I615" s="4"/>
      <c r="J615" s="4"/>
    </row>
    <row r="616">
      <c r="A616" s="4"/>
      <c r="B616" s="151"/>
      <c r="C616" s="151"/>
      <c r="D616" s="151"/>
      <c r="E616" s="4"/>
      <c r="F616" s="4"/>
      <c r="G616" s="4"/>
      <c r="H616" s="4"/>
      <c r="I616" s="4"/>
      <c r="J616" s="4"/>
    </row>
    <row r="617">
      <c r="A617" s="4"/>
      <c r="B617" s="151"/>
      <c r="C617" s="151"/>
      <c r="D617" s="151"/>
      <c r="E617" s="4"/>
      <c r="F617" s="4"/>
      <c r="G617" s="4"/>
      <c r="H617" s="4"/>
      <c r="I617" s="4"/>
      <c r="J617" s="4"/>
    </row>
    <row r="618">
      <c r="A618" s="4"/>
      <c r="B618" s="151"/>
      <c r="C618" s="151"/>
      <c r="D618" s="151"/>
      <c r="E618" s="4"/>
      <c r="F618" s="4"/>
      <c r="G618" s="4"/>
      <c r="H618" s="4"/>
      <c r="I618" s="4"/>
      <c r="J618" s="4"/>
    </row>
    <row r="619">
      <c r="A619" s="4"/>
      <c r="B619" s="151"/>
      <c r="C619" s="151"/>
      <c r="D619" s="151"/>
      <c r="E619" s="4"/>
      <c r="F619" s="4"/>
      <c r="G619" s="4"/>
      <c r="H619" s="4"/>
      <c r="I619" s="4"/>
      <c r="J619" s="4"/>
    </row>
    <row r="620">
      <c r="A620" s="4"/>
      <c r="B620" s="151"/>
      <c r="C620" s="151"/>
      <c r="D620" s="151"/>
      <c r="E620" s="4"/>
      <c r="F620" s="4"/>
      <c r="G620" s="4"/>
      <c r="H620" s="4"/>
      <c r="I620" s="4"/>
      <c r="J620" s="4"/>
    </row>
    <row r="621">
      <c r="A621" s="4"/>
      <c r="B621" s="151"/>
      <c r="C621" s="151"/>
      <c r="D621" s="151"/>
      <c r="E621" s="4"/>
      <c r="F621" s="4"/>
      <c r="G621" s="4"/>
      <c r="H621" s="4"/>
      <c r="I621" s="4"/>
      <c r="J621" s="4"/>
    </row>
    <row r="622">
      <c r="A622" s="4"/>
      <c r="B622" s="151"/>
      <c r="C622" s="151"/>
      <c r="D622" s="151"/>
      <c r="E622" s="4"/>
      <c r="F622" s="4"/>
      <c r="G622" s="4"/>
      <c r="H622" s="4"/>
      <c r="I622" s="4"/>
      <c r="J622" s="4"/>
    </row>
    <row r="623">
      <c r="A623" s="4"/>
      <c r="B623" s="151"/>
      <c r="C623" s="151"/>
      <c r="D623" s="151"/>
      <c r="E623" s="4"/>
      <c r="F623" s="4"/>
      <c r="G623" s="4"/>
      <c r="H623" s="4"/>
      <c r="I623" s="4"/>
      <c r="J623" s="4"/>
    </row>
    <row r="624">
      <c r="A624" s="4"/>
      <c r="B624" s="151"/>
      <c r="C624" s="151"/>
      <c r="D624" s="151"/>
      <c r="E624" s="4"/>
      <c r="F624" s="4"/>
      <c r="G624" s="4"/>
      <c r="H624" s="4"/>
      <c r="I624" s="4"/>
      <c r="J624" s="4"/>
    </row>
    <row r="625">
      <c r="A625" s="4"/>
      <c r="B625" s="151"/>
      <c r="C625" s="151"/>
      <c r="D625" s="151"/>
      <c r="E625" s="4"/>
      <c r="F625" s="4"/>
      <c r="G625" s="4"/>
      <c r="H625" s="4"/>
      <c r="I625" s="4"/>
      <c r="J625" s="4"/>
    </row>
    <row r="626">
      <c r="A626" s="4"/>
      <c r="B626" s="151"/>
      <c r="C626" s="151"/>
      <c r="D626" s="151"/>
      <c r="E626" s="4"/>
      <c r="F626" s="4"/>
      <c r="G626" s="4"/>
      <c r="H626" s="4"/>
      <c r="I626" s="4"/>
      <c r="J626" s="4"/>
    </row>
    <row r="627">
      <c r="A627" s="4"/>
      <c r="B627" s="151"/>
      <c r="C627" s="151"/>
      <c r="D627" s="151"/>
      <c r="E627" s="4"/>
      <c r="F627" s="4"/>
      <c r="G627" s="4"/>
      <c r="H627" s="4"/>
      <c r="I627" s="4"/>
      <c r="J627" s="4"/>
    </row>
    <row r="628">
      <c r="A628" s="4"/>
      <c r="B628" s="151"/>
      <c r="C628" s="151"/>
      <c r="D628" s="151"/>
      <c r="E628" s="4"/>
      <c r="F628" s="4"/>
      <c r="G628" s="4"/>
      <c r="H628" s="4"/>
      <c r="I628" s="4"/>
      <c r="J628" s="4"/>
    </row>
    <row r="629">
      <c r="A629" s="4"/>
      <c r="B629" s="151"/>
      <c r="C629" s="151"/>
      <c r="D629" s="151"/>
      <c r="E629" s="4"/>
      <c r="F629" s="4"/>
      <c r="G629" s="4"/>
      <c r="H629" s="4"/>
      <c r="I629" s="4"/>
      <c r="J629" s="4"/>
    </row>
    <row r="630">
      <c r="A630" s="4"/>
      <c r="B630" s="151"/>
      <c r="C630" s="151"/>
      <c r="D630" s="151"/>
      <c r="E630" s="4"/>
      <c r="F630" s="4"/>
      <c r="G630" s="4"/>
      <c r="H630" s="4"/>
      <c r="I630" s="4"/>
      <c r="J630" s="4"/>
    </row>
    <row r="631">
      <c r="A631" s="4"/>
      <c r="B631" s="151"/>
      <c r="C631" s="151"/>
      <c r="D631" s="151"/>
      <c r="E631" s="4"/>
      <c r="F631" s="4"/>
      <c r="G631" s="4"/>
      <c r="H631" s="4"/>
      <c r="I631" s="4"/>
      <c r="J631" s="4"/>
    </row>
    <row r="632">
      <c r="A632" s="4"/>
      <c r="B632" s="151"/>
      <c r="C632" s="151"/>
      <c r="D632" s="151"/>
      <c r="E632" s="4"/>
      <c r="F632" s="4"/>
      <c r="G632" s="4"/>
      <c r="H632" s="4"/>
      <c r="I632" s="4"/>
      <c r="J632" s="4"/>
    </row>
    <row r="633">
      <c r="A633" s="4"/>
      <c r="B633" s="151"/>
      <c r="C633" s="151"/>
      <c r="D633" s="151"/>
      <c r="E633" s="4"/>
      <c r="F633" s="4"/>
      <c r="G633" s="4"/>
      <c r="H633" s="4"/>
      <c r="I633" s="4"/>
      <c r="J633" s="4"/>
    </row>
    <row r="634">
      <c r="A634" s="4"/>
      <c r="B634" s="151"/>
      <c r="C634" s="151"/>
      <c r="D634" s="151"/>
      <c r="E634" s="4"/>
      <c r="F634" s="4"/>
      <c r="G634" s="4"/>
      <c r="H634" s="4"/>
      <c r="I634" s="4"/>
      <c r="J634" s="4"/>
    </row>
    <row r="635">
      <c r="A635" s="4"/>
      <c r="B635" s="151"/>
      <c r="C635" s="151"/>
      <c r="D635" s="151"/>
      <c r="E635" s="4"/>
      <c r="F635" s="4"/>
      <c r="G635" s="4"/>
      <c r="H635" s="4"/>
      <c r="I635" s="4"/>
      <c r="J635" s="4"/>
    </row>
    <row r="636">
      <c r="A636" s="4"/>
      <c r="B636" s="151"/>
      <c r="C636" s="151"/>
      <c r="D636" s="151"/>
      <c r="E636" s="4"/>
      <c r="F636" s="4"/>
      <c r="G636" s="4"/>
      <c r="H636" s="4"/>
      <c r="I636" s="4"/>
      <c r="J636" s="4"/>
    </row>
    <row r="637">
      <c r="A637" s="4"/>
      <c r="B637" s="151"/>
      <c r="C637" s="151"/>
      <c r="D637" s="151"/>
      <c r="E637" s="4"/>
      <c r="F637" s="4"/>
      <c r="G637" s="4"/>
      <c r="H637" s="4"/>
      <c r="I637" s="4"/>
      <c r="J637" s="4"/>
    </row>
    <row r="638">
      <c r="A638" s="4"/>
      <c r="B638" s="151"/>
      <c r="C638" s="151"/>
      <c r="D638" s="151"/>
      <c r="E638" s="4"/>
      <c r="F638" s="4"/>
      <c r="G638" s="4"/>
      <c r="H638" s="4"/>
      <c r="I638" s="4"/>
      <c r="J638" s="4"/>
    </row>
    <row r="639">
      <c r="A639" s="4"/>
      <c r="B639" s="151"/>
      <c r="C639" s="151"/>
      <c r="D639" s="151"/>
      <c r="E639" s="4"/>
      <c r="F639" s="4"/>
      <c r="G639" s="4"/>
      <c r="H639" s="4"/>
      <c r="I639" s="4"/>
      <c r="J639" s="4"/>
    </row>
    <row r="640">
      <c r="A640" s="4"/>
      <c r="B640" s="151"/>
      <c r="C640" s="151"/>
      <c r="D640" s="151"/>
      <c r="E640" s="4"/>
      <c r="F640" s="4"/>
      <c r="G640" s="4"/>
      <c r="H640" s="4"/>
      <c r="I640" s="4"/>
      <c r="J640" s="4"/>
    </row>
    <row r="641">
      <c r="A641" s="4"/>
      <c r="B641" s="151"/>
      <c r="C641" s="151"/>
      <c r="D641" s="151"/>
      <c r="E641" s="4"/>
      <c r="F641" s="4"/>
      <c r="G641" s="4"/>
      <c r="H641" s="4"/>
      <c r="I641" s="4"/>
      <c r="J641" s="4"/>
    </row>
    <row r="642">
      <c r="A642" s="4"/>
      <c r="B642" s="151"/>
      <c r="C642" s="151"/>
      <c r="D642" s="151"/>
      <c r="E642" s="4"/>
      <c r="F642" s="4"/>
      <c r="G642" s="4"/>
      <c r="H642" s="4"/>
      <c r="I642" s="4"/>
      <c r="J642" s="4"/>
    </row>
    <row r="643">
      <c r="A643" s="4"/>
      <c r="B643" s="151"/>
      <c r="C643" s="151"/>
      <c r="D643" s="151"/>
      <c r="E643" s="4"/>
      <c r="F643" s="4"/>
      <c r="G643" s="4"/>
      <c r="H643" s="4"/>
      <c r="I643" s="4"/>
      <c r="J643" s="4"/>
    </row>
    <row r="644">
      <c r="A644" s="4"/>
      <c r="B644" s="151"/>
      <c r="C644" s="151"/>
      <c r="D644" s="151"/>
      <c r="E644" s="4"/>
      <c r="F644" s="4"/>
      <c r="G644" s="4"/>
      <c r="H644" s="4"/>
      <c r="I644" s="4"/>
      <c r="J644" s="4"/>
    </row>
    <row r="645">
      <c r="A645" s="4"/>
      <c r="B645" s="151"/>
      <c r="C645" s="151"/>
      <c r="D645" s="151"/>
      <c r="E645" s="4"/>
      <c r="F645" s="4"/>
      <c r="G645" s="4"/>
      <c r="H645" s="4"/>
      <c r="I645" s="4"/>
      <c r="J645" s="4"/>
    </row>
    <row r="646">
      <c r="A646" s="4"/>
      <c r="B646" s="151"/>
      <c r="C646" s="151"/>
      <c r="D646" s="151"/>
      <c r="E646" s="4"/>
      <c r="F646" s="4"/>
      <c r="G646" s="4"/>
      <c r="H646" s="4"/>
      <c r="I646" s="4"/>
      <c r="J646" s="4"/>
    </row>
    <row r="647">
      <c r="A647" s="4"/>
      <c r="B647" s="151"/>
      <c r="C647" s="151"/>
      <c r="D647" s="151"/>
      <c r="E647" s="4"/>
      <c r="F647" s="4"/>
      <c r="G647" s="4"/>
      <c r="H647" s="4"/>
      <c r="I647" s="4"/>
      <c r="J647" s="4"/>
    </row>
    <row r="648">
      <c r="A648" s="4"/>
      <c r="B648" s="151"/>
      <c r="C648" s="151"/>
      <c r="D648" s="151"/>
      <c r="E648" s="4"/>
      <c r="F648" s="4"/>
      <c r="G648" s="4"/>
      <c r="H648" s="4"/>
      <c r="I648" s="4"/>
      <c r="J648" s="4"/>
    </row>
    <row r="649">
      <c r="A649" s="4"/>
      <c r="B649" s="151"/>
      <c r="C649" s="151"/>
      <c r="D649" s="151"/>
      <c r="E649" s="4"/>
      <c r="F649" s="4"/>
      <c r="G649" s="4"/>
      <c r="H649" s="4"/>
      <c r="I649" s="4"/>
      <c r="J649" s="4"/>
    </row>
    <row r="650">
      <c r="A650" s="4"/>
      <c r="B650" s="151"/>
      <c r="C650" s="151"/>
      <c r="D650" s="151"/>
      <c r="E650" s="4"/>
      <c r="F650" s="4"/>
      <c r="G650" s="4"/>
      <c r="H650" s="4"/>
      <c r="I650" s="4"/>
      <c r="J650" s="4"/>
    </row>
    <row r="651">
      <c r="A651" s="4"/>
      <c r="B651" s="151"/>
      <c r="C651" s="151"/>
      <c r="D651" s="151"/>
      <c r="E651" s="4"/>
      <c r="F651" s="4"/>
      <c r="G651" s="4"/>
      <c r="H651" s="4"/>
      <c r="I651" s="4"/>
      <c r="J651" s="4"/>
    </row>
    <row r="652">
      <c r="A652" s="4"/>
      <c r="B652" s="151"/>
      <c r="C652" s="151"/>
      <c r="D652" s="151"/>
      <c r="E652" s="4"/>
      <c r="F652" s="4"/>
      <c r="G652" s="4"/>
      <c r="H652" s="4"/>
      <c r="I652" s="4"/>
      <c r="J652" s="4"/>
    </row>
    <row r="653">
      <c r="A653" s="4"/>
      <c r="B653" s="151"/>
      <c r="C653" s="151"/>
      <c r="D653" s="151"/>
      <c r="E653" s="4"/>
      <c r="F653" s="4"/>
      <c r="G653" s="4"/>
      <c r="H653" s="4"/>
      <c r="I653" s="4"/>
      <c r="J653" s="4"/>
    </row>
    <row r="654">
      <c r="A654" s="4"/>
      <c r="B654" s="151"/>
      <c r="C654" s="151"/>
      <c r="D654" s="151"/>
      <c r="E654" s="4"/>
      <c r="F654" s="4"/>
      <c r="G654" s="4"/>
      <c r="H654" s="4"/>
      <c r="I654" s="4"/>
      <c r="J654" s="4"/>
    </row>
    <row r="655">
      <c r="A655" s="4"/>
      <c r="B655" s="151"/>
      <c r="C655" s="151"/>
      <c r="D655" s="151"/>
      <c r="E655" s="4"/>
      <c r="F655" s="4"/>
      <c r="G655" s="4"/>
      <c r="H655" s="4"/>
      <c r="I655" s="4"/>
      <c r="J655" s="4"/>
    </row>
    <row r="656">
      <c r="A656" s="4"/>
      <c r="B656" s="151"/>
      <c r="C656" s="151"/>
      <c r="D656" s="151"/>
      <c r="E656" s="4"/>
      <c r="F656" s="4"/>
      <c r="G656" s="4"/>
      <c r="H656" s="4"/>
      <c r="I656" s="4"/>
      <c r="J656" s="4"/>
    </row>
    <row r="657">
      <c r="A657" s="4"/>
      <c r="B657" s="151"/>
      <c r="C657" s="151"/>
      <c r="D657" s="151"/>
      <c r="E657" s="4"/>
      <c r="F657" s="4"/>
      <c r="G657" s="4"/>
      <c r="H657" s="4"/>
      <c r="I657" s="4"/>
      <c r="J657" s="4"/>
    </row>
    <row r="658">
      <c r="A658" s="4"/>
      <c r="B658" s="151"/>
      <c r="C658" s="151"/>
      <c r="D658" s="151"/>
      <c r="E658" s="4"/>
      <c r="F658" s="4"/>
      <c r="G658" s="4"/>
      <c r="H658" s="4"/>
      <c r="I658" s="4"/>
      <c r="J658" s="4"/>
    </row>
    <row r="659">
      <c r="A659" s="4"/>
      <c r="B659" s="151"/>
      <c r="C659" s="151"/>
      <c r="D659" s="151"/>
      <c r="E659" s="4"/>
      <c r="F659" s="4"/>
      <c r="G659" s="4"/>
      <c r="H659" s="4"/>
      <c r="I659" s="4"/>
      <c r="J659" s="4"/>
    </row>
    <row r="660">
      <c r="A660" s="4"/>
      <c r="B660" s="151"/>
      <c r="C660" s="151"/>
      <c r="D660" s="151"/>
      <c r="E660" s="4"/>
      <c r="F660" s="4"/>
      <c r="G660" s="4"/>
      <c r="H660" s="4"/>
      <c r="I660" s="4"/>
      <c r="J660" s="4"/>
    </row>
    <row r="661">
      <c r="A661" s="4"/>
      <c r="B661" s="151"/>
      <c r="C661" s="151"/>
      <c r="D661" s="151"/>
      <c r="E661" s="4"/>
      <c r="F661" s="4"/>
      <c r="G661" s="4"/>
      <c r="H661" s="4"/>
      <c r="I661" s="4"/>
      <c r="J661" s="4"/>
    </row>
    <row r="662">
      <c r="A662" s="4"/>
      <c r="B662" s="151"/>
      <c r="C662" s="151"/>
      <c r="D662" s="151"/>
      <c r="E662" s="4"/>
      <c r="F662" s="4"/>
      <c r="G662" s="4"/>
      <c r="H662" s="4"/>
      <c r="I662" s="4"/>
      <c r="J662" s="4"/>
    </row>
    <row r="663">
      <c r="A663" s="4"/>
      <c r="B663" s="151"/>
      <c r="C663" s="151"/>
      <c r="D663" s="151"/>
      <c r="E663" s="4"/>
      <c r="F663" s="4"/>
      <c r="G663" s="4"/>
      <c r="H663" s="4"/>
      <c r="I663" s="4"/>
      <c r="J663" s="4"/>
    </row>
    <row r="664">
      <c r="A664" s="4"/>
      <c r="B664" s="151"/>
      <c r="C664" s="151"/>
      <c r="D664" s="151"/>
      <c r="E664" s="4"/>
      <c r="F664" s="4"/>
      <c r="G664" s="4"/>
      <c r="H664" s="4"/>
      <c r="I664" s="4"/>
      <c r="J664" s="4"/>
    </row>
    <row r="665">
      <c r="A665" s="4"/>
      <c r="B665" s="151"/>
      <c r="C665" s="151"/>
      <c r="D665" s="151"/>
      <c r="E665" s="4"/>
      <c r="F665" s="4"/>
      <c r="G665" s="4"/>
      <c r="H665" s="4"/>
      <c r="I665" s="4"/>
      <c r="J665" s="4"/>
    </row>
    <row r="666">
      <c r="A666" s="4"/>
      <c r="B666" s="151"/>
      <c r="C666" s="151"/>
      <c r="D666" s="151"/>
      <c r="E666" s="4"/>
      <c r="F666" s="4"/>
      <c r="G666" s="4"/>
      <c r="H666" s="4"/>
      <c r="I666" s="4"/>
      <c r="J666" s="4"/>
    </row>
    <row r="667">
      <c r="A667" s="4"/>
      <c r="B667" s="151"/>
      <c r="C667" s="151"/>
      <c r="D667" s="151"/>
      <c r="E667" s="4"/>
      <c r="F667" s="4"/>
      <c r="G667" s="4"/>
      <c r="H667" s="4"/>
      <c r="I667" s="4"/>
      <c r="J667" s="4"/>
    </row>
    <row r="668">
      <c r="A668" s="4"/>
      <c r="B668" s="151"/>
      <c r="C668" s="151"/>
      <c r="D668" s="151"/>
      <c r="E668" s="4"/>
      <c r="F668" s="4"/>
      <c r="G668" s="4"/>
      <c r="H668" s="4"/>
      <c r="I668" s="4"/>
      <c r="J668" s="4"/>
    </row>
    <row r="669">
      <c r="A669" s="4"/>
      <c r="B669" s="151"/>
      <c r="C669" s="151"/>
      <c r="D669" s="151"/>
      <c r="E669" s="4"/>
      <c r="F669" s="4"/>
      <c r="G669" s="4"/>
      <c r="H669" s="4"/>
      <c r="I669" s="4"/>
      <c r="J669" s="4"/>
    </row>
    <row r="670">
      <c r="A670" s="4"/>
      <c r="B670" s="151"/>
      <c r="C670" s="151"/>
      <c r="D670" s="151"/>
      <c r="E670" s="4"/>
      <c r="F670" s="4"/>
      <c r="G670" s="4"/>
      <c r="H670" s="4"/>
      <c r="I670" s="4"/>
      <c r="J670" s="4"/>
    </row>
    <row r="671">
      <c r="A671" s="4"/>
      <c r="B671" s="151"/>
      <c r="C671" s="151"/>
      <c r="D671" s="151"/>
      <c r="E671" s="4"/>
      <c r="F671" s="4"/>
      <c r="G671" s="4"/>
      <c r="H671" s="4"/>
      <c r="I671" s="4"/>
      <c r="J671" s="4"/>
    </row>
    <row r="672">
      <c r="A672" s="4"/>
      <c r="B672" s="151"/>
      <c r="C672" s="151"/>
      <c r="D672" s="151"/>
      <c r="E672" s="4"/>
      <c r="F672" s="4"/>
      <c r="G672" s="4"/>
      <c r="H672" s="4"/>
      <c r="I672" s="4"/>
      <c r="J672" s="4"/>
    </row>
    <row r="673">
      <c r="A673" s="4"/>
      <c r="B673" s="151"/>
      <c r="C673" s="151"/>
      <c r="D673" s="151"/>
      <c r="E673" s="4"/>
      <c r="F673" s="4"/>
      <c r="G673" s="4"/>
      <c r="H673" s="4"/>
      <c r="I673" s="4"/>
      <c r="J673" s="4"/>
    </row>
    <row r="674">
      <c r="A674" s="4"/>
      <c r="B674" s="151"/>
      <c r="C674" s="151"/>
      <c r="D674" s="151"/>
      <c r="E674" s="4"/>
      <c r="F674" s="4"/>
      <c r="G674" s="4"/>
      <c r="H674" s="4"/>
      <c r="I674" s="4"/>
      <c r="J674" s="4"/>
    </row>
    <row r="675">
      <c r="A675" s="4"/>
      <c r="B675" s="151"/>
      <c r="C675" s="151"/>
      <c r="D675" s="151"/>
      <c r="E675" s="4"/>
      <c r="F675" s="4"/>
      <c r="G675" s="4"/>
      <c r="H675" s="4"/>
      <c r="I675" s="4"/>
      <c r="J675" s="4"/>
    </row>
    <row r="676">
      <c r="A676" s="4"/>
      <c r="B676" s="151"/>
      <c r="C676" s="151"/>
      <c r="D676" s="151"/>
      <c r="E676" s="4"/>
      <c r="F676" s="4"/>
      <c r="G676" s="4"/>
      <c r="H676" s="4"/>
      <c r="I676" s="4"/>
      <c r="J676" s="4"/>
    </row>
    <row r="677">
      <c r="A677" s="4"/>
      <c r="B677" s="151"/>
      <c r="C677" s="151"/>
      <c r="D677" s="151"/>
      <c r="E677" s="4"/>
      <c r="F677" s="4"/>
      <c r="G677" s="4"/>
      <c r="H677" s="4"/>
      <c r="I677" s="4"/>
      <c r="J677" s="4"/>
    </row>
    <row r="678">
      <c r="A678" s="4"/>
      <c r="B678" s="151"/>
      <c r="C678" s="151"/>
      <c r="D678" s="151"/>
      <c r="E678" s="4"/>
      <c r="F678" s="4"/>
      <c r="G678" s="4"/>
      <c r="H678" s="4"/>
      <c r="I678" s="4"/>
      <c r="J678" s="4"/>
    </row>
    <row r="679">
      <c r="A679" s="4"/>
      <c r="B679" s="151"/>
      <c r="C679" s="151"/>
      <c r="D679" s="151"/>
      <c r="E679" s="4"/>
      <c r="F679" s="4"/>
      <c r="G679" s="4"/>
      <c r="H679" s="4"/>
      <c r="I679" s="4"/>
      <c r="J679" s="4"/>
    </row>
    <row r="680">
      <c r="A680" s="4"/>
      <c r="B680" s="151"/>
      <c r="C680" s="151"/>
      <c r="D680" s="151"/>
      <c r="E680" s="4"/>
      <c r="F680" s="4"/>
      <c r="G680" s="4"/>
      <c r="H680" s="4"/>
      <c r="I680" s="4"/>
      <c r="J680" s="4"/>
    </row>
    <row r="681">
      <c r="A681" s="4"/>
      <c r="B681" s="151"/>
      <c r="C681" s="151"/>
      <c r="D681" s="151"/>
      <c r="E681" s="4"/>
      <c r="F681" s="4"/>
      <c r="G681" s="4"/>
      <c r="H681" s="4"/>
      <c r="I681" s="4"/>
      <c r="J681" s="4"/>
    </row>
    <row r="682">
      <c r="A682" s="4"/>
      <c r="B682" s="151"/>
      <c r="C682" s="151"/>
      <c r="D682" s="151"/>
      <c r="E682" s="4"/>
      <c r="F682" s="4"/>
      <c r="G682" s="4"/>
      <c r="H682" s="4"/>
      <c r="I682" s="4"/>
      <c r="J682" s="4"/>
    </row>
    <row r="683">
      <c r="A683" s="4"/>
      <c r="B683" s="151"/>
      <c r="C683" s="151"/>
      <c r="D683" s="151"/>
      <c r="E683" s="4"/>
      <c r="F683" s="4"/>
      <c r="G683" s="4"/>
      <c r="H683" s="4"/>
      <c r="I683" s="4"/>
      <c r="J683" s="4"/>
    </row>
    <row r="684">
      <c r="A684" s="4"/>
      <c r="B684" s="151"/>
      <c r="C684" s="151"/>
      <c r="D684" s="151"/>
      <c r="E684" s="4"/>
      <c r="F684" s="4"/>
      <c r="G684" s="4"/>
      <c r="H684" s="4"/>
      <c r="I684" s="4"/>
      <c r="J684" s="4"/>
    </row>
    <row r="685">
      <c r="A685" s="4"/>
      <c r="B685" s="151"/>
      <c r="C685" s="151"/>
      <c r="D685" s="151"/>
      <c r="E685" s="4"/>
      <c r="F685" s="4"/>
      <c r="G685" s="4"/>
      <c r="H685" s="4"/>
      <c r="I685" s="4"/>
      <c r="J685" s="4"/>
    </row>
    <row r="686">
      <c r="A686" s="4"/>
      <c r="B686" s="151"/>
      <c r="C686" s="151"/>
      <c r="D686" s="151"/>
      <c r="E686" s="4"/>
      <c r="F686" s="4"/>
      <c r="G686" s="4"/>
      <c r="H686" s="4"/>
      <c r="I686" s="4"/>
      <c r="J686" s="4"/>
    </row>
    <row r="687">
      <c r="A687" s="4"/>
      <c r="B687" s="151"/>
      <c r="C687" s="151"/>
      <c r="D687" s="151"/>
      <c r="E687" s="4"/>
      <c r="F687" s="4"/>
      <c r="G687" s="4"/>
      <c r="H687" s="4"/>
      <c r="I687" s="4"/>
      <c r="J687" s="4"/>
    </row>
    <row r="688">
      <c r="A688" s="4"/>
      <c r="B688" s="151"/>
      <c r="C688" s="151"/>
      <c r="D688" s="151"/>
      <c r="E688" s="4"/>
      <c r="F688" s="4"/>
      <c r="G688" s="4"/>
      <c r="H688" s="4"/>
      <c r="I688" s="4"/>
      <c r="J688" s="4"/>
    </row>
    <row r="689">
      <c r="A689" s="4"/>
      <c r="B689" s="151"/>
      <c r="C689" s="151"/>
      <c r="D689" s="151"/>
      <c r="E689" s="4"/>
      <c r="F689" s="4"/>
      <c r="G689" s="4"/>
      <c r="H689" s="4"/>
      <c r="I689" s="4"/>
      <c r="J689" s="4"/>
    </row>
    <row r="690">
      <c r="A690" s="4"/>
      <c r="B690" s="151"/>
      <c r="C690" s="151"/>
      <c r="D690" s="151"/>
      <c r="E690" s="4"/>
      <c r="F690" s="4"/>
      <c r="G690" s="4"/>
      <c r="H690" s="4"/>
      <c r="I690" s="4"/>
      <c r="J690" s="4"/>
    </row>
    <row r="691">
      <c r="A691" s="4"/>
      <c r="B691" s="151"/>
      <c r="C691" s="151"/>
      <c r="D691" s="151"/>
      <c r="E691" s="4"/>
      <c r="F691" s="4"/>
      <c r="G691" s="4"/>
      <c r="H691" s="4"/>
      <c r="I691" s="4"/>
      <c r="J691" s="4"/>
    </row>
    <row r="692">
      <c r="A692" s="4"/>
      <c r="B692" s="151"/>
      <c r="C692" s="151"/>
      <c r="D692" s="151"/>
      <c r="E692" s="4"/>
      <c r="F692" s="4"/>
      <c r="G692" s="4"/>
      <c r="H692" s="4"/>
      <c r="I692" s="4"/>
      <c r="J692" s="4"/>
    </row>
    <row r="693">
      <c r="A693" s="4"/>
      <c r="B693" s="151"/>
      <c r="C693" s="151"/>
      <c r="D693" s="151"/>
      <c r="E693" s="4"/>
      <c r="F693" s="4"/>
      <c r="G693" s="4"/>
      <c r="H693" s="4"/>
      <c r="I693" s="4"/>
      <c r="J693" s="4"/>
    </row>
    <row r="694">
      <c r="A694" s="4"/>
      <c r="B694" s="151"/>
      <c r="C694" s="151"/>
      <c r="D694" s="151"/>
      <c r="E694" s="4"/>
      <c r="F694" s="4"/>
      <c r="G694" s="4"/>
      <c r="H694" s="4"/>
      <c r="I694" s="4"/>
      <c r="J694" s="4"/>
    </row>
    <row r="695">
      <c r="A695" s="4"/>
      <c r="B695" s="151"/>
      <c r="C695" s="151"/>
      <c r="D695" s="151"/>
      <c r="E695" s="4"/>
      <c r="F695" s="4"/>
      <c r="G695" s="4"/>
      <c r="H695" s="4"/>
      <c r="I695" s="4"/>
      <c r="J695" s="4"/>
    </row>
    <row r="696">
      <c r="A696" s="4"/>
      <c r="B696" s="151"/>
      <c r="C696" s="151"/>
      <c r="D696" s="151"/>
      <c r="E696" s="4"/>
      <c r="F696" s="4"/>
      <c r="G696" s="4"/>
      <c r="H696" s="4"/>
      <c r="I696" s="4"/>
      <c r="J696" s="4"/>
    </row>
    <row r="697">
      <c r="A697" s="4"/>
      <c r="B697" s="151"/>
      <c r="C697" s="151"/>
      <c r="D697" s="151"/>
      <c r="E697" s="4"/>
      <c r="F697" s="4"/>
      <c r="G697" s="4"/>
      <c r="H697" s="4"/>
      <c r="I697" s="4"/>
      <c r="J697" s="4"/>
    </row>
    <row r="698">
      <c r="A698" s="4"/>
      <c r="B698" s="151"/>
      <c r="C698" s="151"/>
      <c r="D698" s="151"/>
      <c r="E698" s="4"/>
      <c r="F698" s="4"/>
      <c r="G698" s="4"/>
      <c r="H698" s="4"/>
      <c r="I698" s="4"/>
      <c r="J698" s="4"/>
    </row>
    <row r="699">
      <c r="A699" s="4"/>
      <c r="B699" s="151"/>
      <c r="C699" s="151"/>
      <c r="D699" s="151"/>
      <c r="E699" s="4"/>
      <c r="F699" s="4"/>
      <c r="G699" s="4"/>
      <c r="H699" s="4"/>
      <c r="I699" s="4"/>
      <c r="J699" s="4"/>
    </row>
    <row r="700">
      <c r="A700" s="4"/>
      <c r="B700" s="151"/>
      <c r="C700" s="151"/>
      <c r="D700" s="151"/>
      <c r="E700" s="4"/>
      <c r="F700" s="4"/>
      <c r="G700" s="4"/>
      <c r="H700" s="4"/>
      <c r="I700" s="4"/>
      <c r="J700" s="4"/>
    </row>
    <row r="701">
      <c r="A701" s="4"/>
      <c r="B701" s="151"/>
      <c r="C701" s="151"/>
      <c r="D701" s="151"/>
      <c r="E701" s="4"/>
      <c r="F701" s="4"/>
      <c r="G701" s="4"/>
      <c r="H701" s="4"/>
      <c r="I701" s="4"/>
      <c r="J701" s="4"/>
    </row>
    <row r="702">
      <c r="A702" s="4"/>
      <c r="B702" s="151"/>
      <c r="C702" s="151"/>
      <c r="D702" s="151"/>
      <c r="E702" s="4"/>
      <c r="F702" s="4"/>
      <c r="G702" s="4"/>
      <c r="H702" s="4"/>
      <c r="I702" s="4"/>
      <c r="J702" s="4"/>
    </row>
    <row r="703">
      <c r="A703" s="4"/>
      <c r="B703" s="151"/>
      <c r="C703" s="151"/>
      <c r="D703" s="151"/>
      <c r="E703" s="4"/>
      <c r="F703" s="4"/>
      <c r="G703" s="4"/>
      <c r="H703" s="4"/>
      <c r="I703" s="4"/>
      <c r="J703" s="4"/>
    </row>
    <row r="704">
      <c r="A704" s="4"/>
      <c r="B704" s="151"/>
      <c r="C704" s="151"/>
      <c r="D704" s="151"/>
      <c r="E704" s="4"/>
      <c r="F704" s="4"/>
      <c r="G704" s="4"/>
      <c r="H704" s="4"/>
      <c r="I704" s="4"/>
      <c r="J704" s="4"/>
    </row>
    <row r="705">
      <c r="A705" s="4"/>
      <c r="B705" s="151"/>
      <c r="C705" s="151"/>
      <c r="D705" s="151"/>
      <c r="E705" s="4"/>
      <c r="F705" s="4"/>
      <c r="G705" s="4"/>
      <c r="H705" s="4"/>
      <c r="I705" s="4"/>
      <c r="J705" s="4"/>
    </row>
    <row r="706">
      <c r="A706" s="4"/>
      <c r="B706" s="151"/>
      <c r="C706" s="151"/>
      <c r="D706" s="151"/>
      <c r="E706" s="4"/>
      <c r="F706" s="4"/>
      <c r="G706" s="4"/>
      <c r="H706" s="4"/>
      <c r="I706" s="4"/>
      <c r="J706" s="4"/>
    </row>
    <row r="707">
      <c r="A707" s="4"/>
      <c r="B707" s="151"/>
      <c r="C707" s="151"/>
      <c r="D707" s="151"/>
      <c r="E707" s="4"/>
      <c r="F707" s="4"/>
      <c r="G707" s="4"/>
      <c r="H707" s="4"/>
      <c r="I707" s="4"/>
      <c r="J707" s="4"/>
    </row>
    <row r="708">
      <c r="A708" s="4"/>
      <c r="B708" s="151"/>
      <c r="C708" s="151"/>
      <c r="D708" s="151"/>
      <c r="E708" s="4"/>
      <c r="F708" s="4"/>
      <c r="G708" s="4"/>
      <c r="H708" s="4"/>
      <c r="I708" s="4"/>
      <c r="J708" s="4"/>
    </row>
    <row r="709">
      <c r="A709" s="4"/>
      <c r="B709" s="151"/>
      <c r="C709" s="151"/>
      <c r="D709" s="151"/>
      <c r="E709" s="4"/>
      <c r="F709" s="4"/>
      <c r="G709" s="4"/>
      <c r="H709" s="4"/>
      <c r="I709" s="4"/>
      <c r="J709" s="4"/>
    </row>
    <row r="710">
      <c r="A710" s="4"/>
      <c r="B710" s="151"/>
      <c r="C710" s="151"/>
      <c r="D710" s="151"/>
      <c r="E710" s="4"/>
      <c r="F710" s="4"/>
      <c r="G710" s="4"/>
      <c r="H710" s="4"/>
      <c r="I710" s="4"/>
      <c r="J710" s="4"/>
    </row>
    <row r="711">
      <c r="A711" s="4"/>
      <c r="B711" s="151"/>
      <c r="C711" s="151"/>
      <c r="D711" s="151"/>
      <c r="E711" s="4"/>
      <c r="F711" s="4"/>
      <c r="G711" s="4"/>
      <c r="H711" s="4"/>
      <c r="I711" s="4"/>
      <c r="J711" s="4"/>
    </row>
    <row r="712">
      <c r="A712" s="4"/>
      <c r="B712" s="151"/>
      <c r="C712" s="151"/>
      <c r="D712" s="151"/>
      <c r="E712" s="4"/>
      <c r="F712" s="4"/>
      <c r="G712" s="4"/>
      <c r="H712" s="4"/>
      <c r="I712" s="4"/>
      <c r="J712" s="4"/>
    </row>
    <row r="713">
      <c r="A713" s="4"/>
      <c r="B713" s="151"/>
      <c r="C713" s="151"/>
      <c r="D713" s="151"/>
      <c r="E713" s="4"/>
      <c r="F713" s="4"/>
      <c r="G713" s="4"/>
      <c r="H713" s="4"/>
      <c r="I713" s="4"/>
      <c r="J713" s="4"/>
    </row>
    <row r="714">
      <c r="A714" s="4"/>
      <c r="B714" s="151"/>
      <c r="C714" s="151"/>
      <c r="D714" s="151"/>
      <c r="E714" s="4"/>
      <c r="F714" s="4"/>
      <c r="G714" s="4"/>
      <c r="H714" s="4"/>
      <c r="I714" s="4"/>
      <c r="J714" s="4"/>
    </row>
    <row r="715">
      <c r="A715" s="4"/>
      <c r="B715" s="151"/>
      <c r="C715" s="151"/>
      <c r="D715" s="151"/>
      <c r="E715" s="4"/>
      <c r="F715" s="4"/>
      <c r="G715" s="4"/>
      <c r="H715" s="4"/>
      <c r="I715" s="4"/>
      <c r="J715" s="4"/>
    </row>
    <row r="716">
      <c r="A716" s="4"/>
      <c r="B716" s="151"/>
      <c r="C716" s="151"/>
      <c r="D716" s="151"/>
      <c r="E716" s="4"/>
      <c r="F716" s="4"/>
      <c r="G716" s="4"/>
      <c r="H716" s="4"/>
      <c r="I716" s="4"/>
      <c r="J716" s="4"/>
    </row>
    <row r="717">
      <c r="A717" s="4"/>
      <c r="B717" s="151"/>
      <c r="C717" s="151"/>
      <c r="D717" s="151"/>
      <c r="E717" s="4"/>
      <c r="F717" s="4"/>
      <c r="G717" s="4"/>
      <c r="H717" s="4"/>
      <c r="I717" s="4"/>
      <c r="J717" s="4"/>
    </row>
    <row r="718">
      <c r="A718" s="4"/>
      <c r="B718" s="151"/>
      <c r="C718" s="151"/>
      <c r="D718" s="151"/>
      <c r="E718" s="4"/>
      <c r="F718" s="4"/>
      <c r="G718" s="4"/>
      <c r="H718" s="4"/>
      <c r="I718" s="4"/>
      <c r="J718" s="4"/>
    </row>
    <row r="719">
      <c r="A719" s="4"/>
      <c r="B719" s="151"/>
      <c r="C719" s="151"/>
      <c r="D719" s="151"/>
      <c r="E719" s="4"/>
      <c r="F719" s="4"/>
      <c r="G719" s="4"/>
      <c r="H719" s="4"/>
      <c r="I719" s="4"/>
      <c r="J719" s="4"/>
    </row>
    <row r="720">
      <c r="A720" s="4"/>
      <c r="B720" s="151"/>
      <c r="C720" s="151"/>
      <c r="D720" s="151"/>
      <c r="E720" s="4"/>
      <c r="F720" s="4"/>
      <c r="G720" s="4"/>
      <c r="H720" s="4"/>
      <c r="I720" s="4"/>
      <c r="J720" s="4"/>
    </row>
    <row r="721">
      <c r="A721" s="4"/>
      <c r="B721" s="151"/>
      <c r="C721" s="151"/>
      <c r="D721" s="151"/>
      <c r="E721" s="4"/>
      <c r="F721" s="4"/>
      <c r="G721" s="4"/>
      <c r="H721" s="4"/>
      <c r="I721" s="4"/>
      <c r="J721" s="4"/>
    </row>
    <row r="722">
      <c r="A722" s="4"/>
      <c r="B722" s="151"/>
      <c r="C722" s="151"/>
      <c r="D722" s="151"/>
      <c r="E722" s="4"/>
      <c r="F722" s="4"/>
      <c r="G722" s="4"/>
      <c r="H722" s="4"/>
      <c r="I722" s="4"/>
      <c r="J722" s="4"/>
    </row>
    <row r="723">
      <c r="A723" s="4"/>
      <c r="B723" s="151"/>
      <c r="C723" s="151"/>
      <c r="D723" s="151"/>
      <c r="E723" s="4"/>
      <c r="F723" s="4"/>
      <c r="G723" s="4"/>
      <c r="H723" s="4"/>
      <c r="I723" s="4"/>
      <c r="J723" s="4"/>
    </row>
    <row r="724">
      <c r="A724" s="4"/>
      <c r="B724" s="151"/>
      <c r="C724" s="151"/>
      <c r="D724" s="151"/>
      <c r="E724" s="4"/>
      <c r="F724" s="4"/>
      <c r="G724" s="4"/>
      <c r="H724" s="4"/>
      <c r="I724" s="4"/>
      <c r="J724" s="4"/>
    </row>
    <row r="725">
      <c r="A725" s="4"/>
      <c r="B725" s="151"/>
      <c r="C725" s="151"/>
      <c r="D725" s="151"/>
      <c r="E725" s="4"/>
      <c r="F725" s="4"/>
      <c r="G725" s="4"/>
      <c r="H725" s="4"/>
      <c r="I725" s="4"/>
      <c r="J725" s="4"/>
    </row>
    <row r="726">
      <c r="A726" s="4"/>
      <c r="B726" s="151"/>
      <c r="C726" s="151"/>
      <c r="D726" s="151"/>
      <c r="E726" s="4"/>
      <c r="F726" s="4"/>
      <c r="G726" s="4"/>
      <c r="H726" s="4"/>
      <c r="I726" s="4"/>
      <c r="J726" s="4"/>
    </row>
    <row r="727">
      <c r="A727" s="4"/>
      <c r="B727" s="151"/>
      <c r="C727" s="151"/>
      <c r="D727" s="151"/>
      <c r="E727" s="4"/>
      <c r="F727" s="4"/>
      <c r="G727" s="4"/>
      <c r="H727" s="4"/>
      <c r="I727" s="4"/>
      <c r="J727" s="4"/>
    </row>
    <row r="728">
      <c r="A728" s="4"/>
      <c r="B728" s="151"/>
      <c r="C728" s="151"/>
      <c r="D728" s="151"/>
      <c r="E728" s="4"/>
      <c r="F728" s="4"/>
      <c r="G728" s="4"/>
      <c r="H728" s="4"/>
      <c r="I728" s="4"/>
      <c r="J728" s="4"/>
    </row>
    <row r="729">
      <c r="A729" s="4"/>
      <c r="B729" s="151"/>
      <c r="C729" s="151"/>
      <c r="D729" s="151"/>
      <c r="E729" s="4"/>
      <c r="F729" s="4"/>
      <c r="G729" s="4"/>
      <c r="H729" s="4"/>
      <c r="I729" s="4"/>
      <c r="J729" s="4"/>
    </row>
    <row r="730">
      <c r="A730" s="4"/>
      <c r="B730" s="151"/>
      <c r="C730" s="151"/>
      <c r="D730" s="151"/>
      <c r="E730" s="4"/>
      <c r="F730" s="4"/>
      <c r="G730" s="4"/>
      <c r="H730" s="4"/>
      <c r="I730" s="4"/>
      <c r="J730" s="4"/>
    </row>
    <row r="731">
      <c r="A731" s="4"/>
      <c r="B731" s="151"/>
      <c r="C731" s="151"/>
      <c r="D731" s="151"/>
      <c r="E731" s="4"/>
      <c r="F731" s="4"/>
      <c r="G731" s="4"/>
      <c r="H731" s="4"/>
      <c r="I731" s="4"/>
      <c r="J731" s="4"/>
    </row>
    <row r="732">
      <c r="A732" s="4"/>
      <c r="B732" s="151"/>
      <c r="C732" s="151"/>
      <c r="D732" s="151"/>
      <c r="E732" s="4"/>
      <c r="F732" s="4"/>
      <c r="G732" s="4"/>
      <c r="H732" s="4"/>
      <c r="I732" s="4"/>
      <c r="J732" s="4"/>
    </row>
    <row r="733">
      <c r="A733" s="4"/>
      <c r="B733" s="151"/>
      <c r="C733" s="151"/>
      <c r="D733" s="151"/>
      <c r="E733" s="4"/>
      <c r="F733" s="4"/>
      <c r="G733" s="4"/>
      <c r="H733" s="4"/>
      <c r="I733" s="4"/>
      <c r="J733" s="4"/>
    </row>
    <row r="734">
      <c r="A734" s="4"/>
      <c r="B734" s="151"/>
      <c r="C734" s="151"/>
      <c r="D734" s="151"/>
      <c r="E734" s="4"/>
      <c r="F734" s="4"/>
      <c r="G734" s="4"/>
      <c r="H734" s="4"/>
      <c r="I734" s="4"/>
      <c r="J734" s="4"/>
    </row>
    <row r="735">
      <c r="A735" s="4"/>
      <c r="B735" s="151"/>
      <c r="C735" s="151"/>
      <c r="D735" s="151"/>
      <c r="E735" s="4"/>
      <c r="F735" s="4"/>
      <c r="G735" s="4"/>
      <c r="H735" s="4"/>
      <c r="I735" s="4"/>
      <c r="J735" s="4"/>
    </row>
    <row r="736">
      <c r="A736" s="4"/>
      <c r="B736" s="151"/>
      <c r="C736" s="151"/>
      <c r="D736" s="151"/>
      <c r="E736" s="4"/>
      <c r="F736" s="4"/>
      <c r="G736" s="4"/>
      <c r="H736" s="4"/>
      <c r="I736" s="4"/>
      <c r="J736" s="4"/>
    </row>
    <row r="737">
      <c r="A737" s="4"/>
      <c r="B737" s="151"/>
      <c r="C737" s="151"/>
      <c r="D737" s="151"/>
      <c r="E737" s="4"/>
      <c r="F737" s="4"/>
      <c r="G737" s="4"/>
      <c r="H737" s="4"/>
      <c r="I737" s="4"/>
      <c r="J737" s="4"/>
    </row>
    <row r="738">
      <c r="A738" s="4"/>
      <c r="B738" s="151"/>
      <c r="C738" s="151"/>
      <c r="D738" s="151"/>
      <c r="E738" s="4"/>
      <c r="F738" s="4"/>
      <c r="G738" s="4"/>
      <c r="H738" s="4"/>
      <c r="I738" s="4"/>
      <c r="J738" s="4"/>
    </row>
    <row r="739">
      <c r="A739" s="4"/>
      <c r="B739" s="151"/>
      <c r="C739" s="151"/>
      <c r="D739" s="151"/>
      <c r="E739" s="4"/>
      <c r="F739" s="4"/>
      <c r="G739" s="4"/>
      <c r="H739" s="4"/>
      <c r="I739" s="4"/>
      <c r="J739" s="4"/>
    </row>
    <row r="740">
      <c r="A740" s="4"/>
      <c r="B740" s="151"/>
      <c r="C740" s="151"/>
      <c r="D740" s="151"/>
      <c r="E740" s="4"/>
      <c r="F740" s="4"/>
      <c r="G740" s="4"/>
      <c r="H740" s="4"/>
      <c r="I740" s="4"/>
      <c r="J740" s="4"/>
    </row>
    <row r="741">
      <c r="A741" s="4"/>
      <c r="B741" s="151"/>
      <c r="C741" s="151"/>
      <c r="D741" s="151"/>
      <c r="E741" s="4"/>
      <c r="F741" s="4"/>
      <c r="G741" s="4"/>
      <c r="H741" s="4"/>
      <c r="I741" s="4"/>
      <c r="J741" s="4"/>
    </row>
    <row r="742">
      <c r="A742" s="4"/>
      <c r="B742" s="151"/>
      <c r="C742" s="151"/>
      <c r="D742" s="151"/>
      <c r="E742" s="4"/>
      <c r="F742" s="4"/>
      <c r="G742" s="4"/>
      <c r="H742" s="4"/>
      <c r="I742" s="4"/>
      <c r="J742" s="4"/>
    </row>
    <row r="743">
      <c r="A743" s="4"/>
      <c r="B743" s="151"/>
      <c r="C743" s="151"/>
      <c r="D743" s="151"/>
      <c r="E743" s="4"/>
      <c r="F743" s="4"/>
      <c r="G743" s="4"/>
      <c r="H743" s="4"/>
      <c r="I743" s="4"/>
      <c r="J743" s="4"/>
    </row>
    <row r="744">
      <c r="A744" s="4"/>
      <c r="B744" s="151"/>
      <c r="C744" s="151"/>
      <c r="D744" s="151"/>
      <c r="E744" s="4"/>
      <c r="F744" s="4"/>
      <c r="G744" s="4"/>
      <c r="H744" s="4"/>
      <c r="I744" s="4"/>
      <c r="J744" s="4"/>
    </row>
    <row r="745">
      <c r="A745" s="4"/>
      <c r="B745" s="151"/>
      <c r="C745" s="151"/>
      <c r="D745" s="151"/>
      <c r="E745" s="4"/>
      <c r="F745" s="4"/>
      <c r="G745" s="4"/>
      <c r="H745" s="4"/>
      <c r="I745" s="4"/>
      <c r="J745" s="4"/>
    </row>
    <row r="746">
      <c r="A746" s="4"/>
      <c r="B746" s="151"/>
      <c r="C746" s="151"/>
      <c r="D746" s="151"/>
      <c r="E746" s="4"/>
      <c r="F746" s="4"/>
      <c r="G746" s="4"/>
      <c r="H746" s="4"/>
      <c r="I746" s="4"/>
      <c r="J746" s="4"/>
    </row>
    <row r="747">
      <c r="A747" s="4"/>
      <c r="B747" s="151"/>
      <c r="C747" s="151"/>
      <c r="D747" s="151"/>
      <c r="E747" s="4"/>
      <c r="F747" s="4"/>
      <c r="G747" s="4"/>
      <c r="H747" s="4"/>
      <c r="I747" s="4"/>
      <c r="J747" s="4"/>
    </row>
    <row r="748">
      <c r="A748" s="4"/>
      <c r="B748" s="151"/>
      <c r="C748" s="151"/>
      <c r="D748" s="151"/>
      <c r="E748" s="4"/>
      <c r="F748" s="4"/>
      <c r="G748" s="4"/>
      <c r="H748" s="4"/>
      <c r="I748" s="4"/>
      <c r="J748" s="4"/>
    </row>
    <row r="749">
      <c r="A749" s="4"/>
      <c r="B749" s="151"/>
      <c r="C749" s="151"/>
      <c r="D749" s="151"/>
      <c r="E749" s="4"/>
      <c r="F749" s="4"/>
      <c r="G749" s="4"/>
      <c r="H749" s="4"/>
      <c r="I749" s="4"/>
      <c r="J749" s="4"/>
    </row>
    <row r="750">
      <c r="A750" s="4"/>
      <c r="B750" s="151"/>
      <c r="C750" s="151"/>
      <c r="D750" s="151"/>
      <c r="E750" s="4"/>
      <c r="F750" s="4"/>
      <c r="G750" s="4"/>
      <c r="H750" s="4"/>
      <c r="I750" s="4"/>
      <c r="J750" s="4"/>
    </row>
    <row r="751">
      <c r="A751" s="4"/>
      <c r="B751" s="151"/>
      <c r="C751" s="151"/>
      <c r="D751" s="151"/>
      <c r="E751" s="4"/>
      <c r="F751" s="4"/>
      <c r="G751" s="4"/>
      <c r="H751" s="4"/>
      <c r="I751" s="4"/>
      <c r="J751" s="4"/>
    </row>
    <row r="752">
      <c r="A752" s="4"/>
      <c r="B752" s="151"/>
      <c r="C752" s="151"/>
      <c r="D752" s="151"/>
      <c r="E752" s="4"/>
      <c r="F752" s="4"/>
      <c r="G752" s="4"/>
      <c r="H752" s="4"/>
      <c r="I752" s="4"/>
      <c r="J752" s="4"/>
    </row>
    <row r="753">
      <c r="A753" s="4"/>
      <c r="B753" s="151"/>
      <c r="C753" s="151"/>
      <c r="D753" s="151"/>
      <c r="E753" s="4"/>
      <c r="F753" s="4"/>
      <c r="G753" s="4"/>
      <c r="H753" s="4"/>
      <c r="I753" s="4"/>
      <c r="J753" s="4"/>
    </row>
    <row r="754">
      <c r="A754" s="4"/>
      <c r="B754" s="151"/>
      <c r="C754" s="151"/>
      <c r="D754" s="151"/>
      <c r="E754" s="4"/>
      <c r="F754" s="4"/>
      <c r="G754" s="4"/>
      <c r="H754" s="4"/>
      <c r="I754" s="4"/>
      <c r="J754" s="4"/>
    </row>
    <row r="755">
      <c r="A755" s="4"/>
      <c r="B755" s="151"/>
      <c r="C755" s="151"/>
      <c r="D755" s="151"/>
      <c r="E755" s="4"/>
      <c r="F755" s="4"/>
      <c r="G755" s="4"/>
      <c r="H755" s="4"/>
      <c r="I755" s="4"/>
      <c r="J755" s="4"/>
    </row>
    <row r="756">
      <c r="A756" s="4"/>
      <c r="B756" s="151"/>
      <c r="C756" s="151"/>
      <c r="D756" s="151"/>
      <c r="E756" s="4"/>
      <c r="F756" s="4"/>
      <c r="G756" s="4"/>
      <c r="H756" s="4"/>
      <c r="I756" s="4"/>
      <c r="J756" s="4"/>
    </row>
    <row r="757">
      <c r="A757" s="4"/>
      <c r="B757" s="151"/>
      <c r="C757" s="151"/>
      <c r="D757" s="151"/>
      <c r="E757" s="4"/>
      <c r="F757" s="4"/>
      <c r="G757" s="4"/>
      <c r="H757" s="4"/>
      <c r="I757" s="4"/>
      <c r="J757" s="4"/>
    </row>
    <row r="758">
      <c r="A758" s="4"/>
      <c r="B758" s="151"/>
      <c r="C758" s="151"/>
      <c r="D758" s="151"/>
      <c r="E758" s="4"/>
      <c r="F758" s="4"/>
      <c r="G758" s="4"/>
      <c r="H758" s="4"/>
      <c r="I758" s="4"/>
      <c r="J758" s="4"/>
    </row>
    <row r="759">
      <c r="A759" s="4"/>
      <c r="B759" s="151"/>
      <c r="C759" s="151"/>
      <c r="D759" s="151"/>
      <c r="E759" s="4"/>
      <c r="F759" s="4"/>
      <c r="G759" s="4"/>
      <c r="H759" s="4"/>
      <c r="I759" s="4"/>
      <c r="J759" s="4"/>
    </row>
    <row r="760">
      <c r="A760" s="4"/>
      <c r="B760" s="151"/>
      <c r="C760" s="151"/>
      <c r="D760" s="151"/>
      <c r="E760" s="4"/>
      <c r="F760" s="4"/>
      <c r="G760" s="4"/>
      <c r="H760" s="4"/>
      <c r="I760" s="4"/>
      <c r="J760" s="4"/>
    </row>
    <row r="761">
      <c r="A761" s="4"/>
      <c r="B761" s="151"/>
      <c r="C761" s="151"/>
      <c r="D761" s="151"/>
      <c r="E761" s="4"/>
      <c r="F761" s="4"/>
      <c r="G761" s="4"/>
      <c r="H761" s="4"/>
      <c r="I761" s="4"/>
      <c r="J761" s="4"/>
    </row>
    <row r="762">
      <c r="A762" s="4"/>
      <c r="B762" s="151"/>
      <c r="C762" s="151"/>
      <c r="D762" s="151"/>
      <c r="E762" s="4"/>
      <c r="F762" s="4"/>
      <c r="G762" s="4"/>
      <c r="H762" s="4"/>
      <c r="I762" s="4"/>
      <c r="J762" s="4"/>
    </row>
    <row r="763">
      <c r="A763" s="4"/>
      <c r="B763" s="151"/>
      <c r="C763" s="151"/>
      <c r="D763" s="151"/>
      <c r="E763" s="4"/>
      <c r="F763" s="4"/>
      <c r="G763" s="4"/>
      <c r="H763" s="4"/>
      <c r="I763" s="4"/>
      <c r="J763" s="4"/>
    </row>
    <row r="764">
      <c r="A764" s="4"/>
      <c r="B764" s="151"/>
      <c r="C764" s="151"/>
      <c r="D764" s="151"/>
      <c r="E764" s="4"/>
      <c r="F764" s="4"/>
      <c r="G764" s="4"/>
      <c r="H764" s="4"/>
      <c r="I764" s="4"/>
      <c r="J764" s="4"/>
    </row>
    <row r="765">
      <c r="A765" s="4"/>
      <c r="B765" s="151"/>
      <c r="C765" s="151"/>
      <c r="D765" s="151"/>
      <c r="E765" s="4"/>
      <c r="F765" s="4"/>
      <c r="G765" s="4"/>
      <c r="H765" s="4"/>
      <c r="I765" s="4"/>
      <c r="J765" s="4"/>
    </row>
    <row r="766">
      <c r="A766" s="4"/>
      <c r="B766" s="151"/>
      <c r="C766" s="151"/>
      <c r="D766" s="151"/>
      <c r="E766" s="4"/>
      <c r="F766" s="4"/>
      <c r="G766" s="4"/>
      <c r="H766" s="4"/>
      <c r="I766" s="4"/>
      <c r="J766" s="4"/>
    </row>
    <row r="767">
      <c r="A767" s="4"/>
      <c r="B767" s="151"/>
      <c r="C767" s="151"/>
      <c r="D767" s="151"/>
      <c r="E767" s="4"/>
      <c r="F767" s="4"/>
      <c r="G767" s="4"/>
      <c r="H767" s="4"/>
      <c r="I767" s="4"/>
      <c r="J767" s="4"/>
    </row>
    <row r="768">
      <c r="A768" s="4"/>
      <c r="B768" s="151"/>
      <c r="C768" s="151"/>
      <c r="D768" s="151"/>
      <c r="E768" s="4"/>
      <c r="F768" s="4"/>
      <c r="G768" s="4"/>
      <c r="H768" s="4"/>
      <c r="I768" s="4"/>
      <c r="J768" s="4"/>
    </row>
    <row r="769">
      <c r="A769" s="4"/>
      <c r="B769" s="151"/>
      <c r="C769" s="151"/>
      <c r="D769" s="151"/>
      <c r="E769" s="4"/>
      <c r="F769" s="4"/>
      <c r="G769" s="4"/>
      <c r="H769" s="4"/>
      <c r="I769" s="4"/>
      <c r="J769" s="4"/>
    </row>
    <row r="770">
      <c r="A770" s="4"/>
      <c r="B770" s="151"/>
      <c r="C770" s="151"/>
      <c r="D770" s="151"/>
      <c r="E770" s="4"/>
      <c r="F770" s="4"/>
      <c r="G770" s="4"/>
      <c r="H770" s="4"/>
      <c r="I770" s="4"/>
      <c r="J770" s="4"/>
    </row>
    <row r="771">
      <c r="A771" s="4"/>
      <c r="B771" s="151"/>
      <c r="C771" s="151"/>
      <c r="D771" s="151"/>
      <c r="E771" s="4"/>
      <c r="F771" s="4"/>
      <c r="G771" s="4"/>
      <c r="H771" s="4"/>
      <c r="I771" s="4"/>
      <c r="J771" s="4"/>
    </row>
    <row r="772">
      <c r="A772" s="4"/>
      <c r="B772" s="151"/>
      <c r="C772" s="151"/>
      <c r="D772" s="151"/>
      <c r="E772" s="4"/>
      <c r="F772" s="4"/>
      <c r="G772" s="4"/>
      <c r="H772" s="4"/>
      <c r="I772" s="4"/>
      <c r="J772" s="4"/>
    </row>
    <row r="773">
      <c r="A773" s="4"/>
      <c r="B773" s="151"/>
      <c r="C773" s="151"/>
      <c r="D773" s="151"/>
      <c r="E773" s="4"/>
      <c r="F773" s="4"/>
      <c r="G773" s="4"/>
      <c r="H773" s="4"/>
      <c r="I773" s="4"/>
      <c r="J773" s="4"/>
    </row>
    <row r="774">
      <c r="A774" s="4"/>
      <c r="B774" s="151"/>
      <c r="C774" s="151"/>
      <c r="D774" s="151"/>
      <c r="E774" s="4"/>
      <c r="F774" s="4"/>
      <c r="G774" s="4"/>
      <c r="H774" s="4"/>
      <c r="I774" s="4"/>
      <c r="J774" s="4"/>
    </row>
    <row r="775">
      <c r="A775" s="4"/>
      <c r="B775" s="151"/>
      <c r="C775" s="151"/>
      <c r="D775" s="151"/>
      <c r="E775" s="4"/>
      <c r="F775" s="4"/>
      <c r="G775" s="4"/>
      <c r="H775" s="4"/>
      <c r="I775" s="4"/>
      <c r="J775" s="4"/>
    </row>
    <row r="776">
      <c r="A776" s="4"/>
      <c r="B776" s="151"/>
      <c r="C776" s="151"/>
      <c r="D776" s="151"/>
      <c r="E776" s="4"/>
      <c r="F776" s="4"/>
      <c r="G776" s="4"/>
      <c r="H776" s="4"/>
      <c r="I776" s="4"/>
      <c r="J776" s="4"/>
    </row>
    <row r="777">
      <c r="A777" s="4"/>
      <c r="B777" s="151"/>
      <c r="C777" s="151"/>
      <c r="D777" s="151"/>
      <c r="E777" s="4"/>
      <c r="F777" s="4"/>
      <c r="G777" s="4"/>
      <c r="H777" s="4"/>
      <c r="I777" s="4"/>
      <c r="J777" s="4"/>
    </row>
    <row r="778">
      <c r="A778" s="4"/>
      <c r="B778" s="151"/>
      <c r="C778" s="151"/>
      <c r="D778" s="151"/>
      <c r="E778" s="4"/>
      <c r="F778" s="4"/>
      <c r="G778" s="4"/>
      <c r="H778" s="4"/>
      <c r="I778" s="4"/>
      <c r="J778" s="4"/>
    </row>
    <row r="779">
      <c r="A779" s="4"/>
      <c r="B779" s="151"/>
      <c r="C779" s="151"/>
      <c r="D779" s="151"/>
      <c r="E779" s="4"/>
      <c r="F779" s="4"/>
      <c r="G779" s="4"/>
      <c r="H779" s="4"/>
      <c r="I779" s="4"/>
      <c r="J779" s="4"/>
    </row>
    <row r="780">
      <c r="A780" s="4"/>
      <c r="B780" s="151"/>
      <c r="C780" s="151"/>
      <c r="D780" s="151"/>
      <c r="E780" s="4"/>
      <c r="F780" s="4"/>
      <c r="G780" s="4"/>
      <c r="H780" s="4"/>
      <c r="I780" s="4"/>
      <c r="J780" s="4"/>
    </row>
    <row r="781">
      <c r="A781" s="4"/>
      <c r="B781" s="151"/>
      <c r="C781" s="151"/>
      <c r="D781" s="151"/>
      <c r="E781" s="4"/>
      <c r="F781" s="4"/>
      <c r="G781" s="4"/>
      <c r="H781" s="4"/>
      <c r="I781" s="4"/>
      <c r="J781" s="4"/>
    </row>
    <row r="782">
      <c r="A782" s="4"/>
      <c r="B782" s="151"/>
      <c r="C782" s="151"/>
      <c r="D782" s="151"/>
      <c r="E782" s="4"/>
      <c r="F782" s="4"/>
      <c r="G782" s="4"/>
      <c r="H782" s="4"/>
      <c r="I782" s="4"/>
      <c r="J782" s="4"/>
    </row>
    <row r="783">
      <c r="A783" s="4"/>
      <c r="B783" s="151"/>
      <c r="C783" s="151"/>
      <c r="D783" s="151"/>
      <c r="E783" s="4"/>
      <c r="F783" s="4"/>
      <c r="G783" s="4"/>
      <c r="H783" s="4"/>
      <c r="I783" s="4"/>
      <c r="J783" s="4"/>
    </row>
    <row r="784">
      <c r="A784" s="4"/>
      <c r="B784" s="151"/>
      <c r="C784" s="151"/>
      <c r="D784" s="151"/>
      <c r="E784" s="4"/>
      <c r="F784" s="4"/>
      <c r="G784" s="4"/>
      <c r="H784" s="4"/>
      <c r="I784" s="4"/>
      <c r="J784" s="4"/>
    </row>
    <row r="785">
      <c r="A785" s="4"/>
      <c r="B785" s="151"/>
      <c r="C785" s="151"/>
      <c r="D785" s="151"/>
      <c r="E785" s="4"/>
      <c r="F785" s="4"/>
      <c r="G785" s="4"/>
      <c r="H785" s="4"/>
      <c r="I785" s="4"/>
      <c r="J785" s="4"/>
    </row>
    <row r="786">
      <c r="A786" s="4"/>
      <c r="B786" s="151"/>
      <c r="C786" s="151"/>
      <c r="D786" s="151"/>
      <c r="E786" s="4"/>
      <c r="F786" s="4"/>
      <c r="G786" s="4"/>
      <c r="H786" s="4"/>
      <c r="I786" s="4"/>
      <c r="J786" s="4"/>
    </row>
    <row r="787">
      <c r="A787" s="4"/>
      <c r="B787" s="151"/>
      <c r="C787" s="151"/>
      <c r="D787" s="151"/>
      <c r="E787" s="4"/>
      <c r="F787" s="4"/>
      <c r="G787" s="4"/>
      <c r="H787" s="4"/>
      <c r="I787" s="4"/>
      <c r="J787" s="4"/>
    </row>
    <row r="788">
      <c r="A788" s="4"/>
      <c r="B788" s="151"/>
      <c r="C788" s="151"/>
      <c r="D788" s="151"/>
      <c r="E788" s="4"/>
      <c r="F788" s="4"/>
      <c r="G788" s="4"/>
      <c r="H788" s="4"/>
      <c r="I788" s="4"/>
      <c r="J788" s="4"/>
    </row>
    <row r="789">
      <c r="A789" s="4"/>
      <c r="B789" s="151"/>
      <c r="C789" s="151"/>
      <c r="D789" s="151"/>
      <c r="E789" s="4"/>
      <c r="F789" s="4"/>
      <c r="G789" s="4"/>
      <c r="H789" s="4"/>
      <c r="I789" s="4"/>
      <c r="J789" s="4"/>
    </row>
    <row r="790">
      <c r="A790" s="4"/>
      <c r="B790" s="151"/>
      <c r="C790" s="151"/>
      <c r="D790" s="151"/>
      <c r="E790" s="4"/>
      <c r="F790" s="4"/>
      <c r="G790" s="4"/>
      <c r="H790" s="4"/>
      <c r="I790" s="4"/>
      <c r="J790" s="4"/>
    </row>
    <row r="791">
      <c r="A791" s="4"/>
      <c r="B791" s="151"/>
      <c r="C791" s="151"/>
      <c r="D791" s="151"/>
      <c r="E791" s="4"/>
      <c r="F791" s="4"/>
      <c r="G791" s="4"/>
      <c r="H791" s="4"/>
      <c r="I791" s="4"/>
      <c r="J791" s="4"/>
    </row>
    <row r="792">
      <c r="A792" s="4"/>
      <c r="B792" s="151"/>
      <c r="C792" s="151"/>
      <c r="D792" s="151"/>
      <c r="E792" s="4"/>
      <c r="F792" s="4"/>
      <c r="G792" s="4"/>
      <c r="H792" s="4"/>
      <c r="I792" s="4"/>
      <c r="J792" s="4"/>
    </row>
    <row r="793">
      <c r="A793" s="4"/>
      <c r="B793" s="151"/>
      <c r="C793" s="151"/>
      <c r="D793" s="151"/>
      <c r="E793" s="4"/>
      <c r="F793" s="4"/>
      <c r="G793" s="4"/>
      <c r="H793" s="4"/>
      <c r="I793" s="4"/>
      <c r="J793" s="4"/>
    </row>
    <row r="794">
      <c r="A794" s="4"/>
      <c r="B794" s="151"/>
      <c r="C794" s="151"/>
      <c r="D794" s="151"/>
      <c r="E794" s="4"/>
      <c r="F794" s="4"/>
      <c r="G794" s="4"/>
      <c r="H794" s="4"/>
      <c r="I794" s="4"/>
      <c r="J794" s="4"/>
    </row>
    <row r="795">
      <c r="A795" s="4"/>
      <c r="B795" s="151"/>
      <c r="C795" s="151"/>
      <c r="D795" s="151"/>
      <c r="E795" s="4"/>
      <c r="F795" s="4"/>
      <c r="G795" s="4"/>
      <c r="H795" s="4"/>
      <c r="I795" s="4"/>
      <c r="J795" s="4"/>
    </row>
    <row r="796">
      <c r="A796" s="4"/>
      <c r="B796" s="151"/>
      <c r="C796" s="151"/>
      <c r="D796" s="151"/>
      <c r="E796" s="4"/>
      <c r="F796" s="4"/>
      <c r="G796" s="4"/>
      <c r="H796" s="4"/>
      <c r="I796" s="4"/>
      <c r="J796" s="4"/>
    </row>
    <row r="797">
      <c r="A797" s="4"/>
      <c r="B797" s="151"/>
      <c r="C797" s="151"/>
      <c r="D797" s="151"/>
      <c r="E797" s="4"/>
      <c r="F797" s="4"/>
      <c r="G797" s="4"/>
      <c r="H797" s="4"/>
      <c r="I797" s="4"/>
      <c r="J797" s="4"/>
    </row>
    <row r="798">
      <c r="A798" s="4"/>
      <c r="B798" s="151"/>
      <c r="C798" s="151"/>
      <c r="D798" s="151"/>
      <c r="E798" s="4"/>
      <c r="F798" s="4"/>
      <c r="G798" s="4"/>
      <c r="H798" s="4"/>
      <c r="I798" s="4"/>
      <c r="J798" s="4"/>
    </row>
    <row r="799">
      <c r="A799" s="4"/>
      <c r="B799" s="151"/>
      <c r="C799" s="151"/>
      <c r="D799" s="151"/>
      <c r="E799" s="4"/>
      <c r="F799" s="4"/>
      <c r="G799" s="4"/>
      <c r="H799" s="4"/>
      <c r="I799" s="4"/>
      <c r="J799" s="4"/>
    </row>
    <row r="800">
      <c r="A800" s="4"/>
      <c r="B800" s="151"/>
      <c r="C800" s="151"/>
      <c r="D800" s="151"/>
      <c r="E800" s="4"/>
      <c r="F800" s="4"/>
      <c r="G800" s="4"/>
      <c r="H800" s="4"/>
      <c r="I800" s="4"/>
      <c r="J800" s="4"/>
    </row>
    <row r="801">
      <c r="A801" s="4"/>
      <c r="B801" s="151"/>
      <c r="C801" s="151"/>
      <c r="D801" s="151"/>
      <c r="E801" s="4"/>
      <c r="F801" s="4"/>
      <c r="G801" s="4"/>
      <c r="H801" s="4"/>
      <c r="I801" s="4"/>
      <c r="J801" s="4"/>
    </row>
    <row r="802">
      <c r="A802" s="4"/>
      <c r="B802" s="151"/>
      <c r="C802" s="151"/>
      <c r="D802" s="151"/>
      <c r="E802" s="4"/>
      <c r="F802" s="4"/>
      <c r="G802" s="4"/>
      <c r="H802" s="4"/>
      <c r="I802" s="4"/>
      <c r="J802" s="4"/>
    </row>
    <row r="803">
      <c r="A803" s="4"/>
      <c r="B803" s="151"/>
      <c r="C803" s="151"/>
      <c r="D803" s="151"/>
      <c r="E803" s="4"/>
      <c r="F803" s="4"/>
      <c r="G803" s="4"/>
      <c r="H803" s="4"/>
      <c r="I803" s="4"/>
      <c r="J803" s="4"/>
    </row>
    <row r="804">
      <c r="A804" s="4"/>
      <c r="B804" s="151"/>
      <c r="C804" s="151"/>
      <c r="D804" s="151"/>
      <c r="E804" s="4"/>
      <c r="F804" s="4"/>
      <c r="G804" s="4"/>
      <c r="H804" s="4"/>
      <c r="I804" s="4"/>
      <c r="J804" s="4"/>
    </row>
    <row r="805">
      <c r="A805" s="4"/>
      <c r="B805" s="151"/>
      <c r="C805" s="151"/>
      <c r="D805" s="151"/>
      <c r="E805" s="4"/>
      <c r="F805" s="4"/>
      <c r="G805" s="4"/>
      <c r="H805" s="4"/>
      <c r="I805" s="4"/>
      <c r="J805" s="4"/>
    </row>
    <row r="806">
      <c r="A806" s="4"/>
      <c r="B806" s="151"/>
      <c r="C806" s="151"/>
      <c r="D806" s="151"/>
      <c r="E806" s="4"/>
      <c r="F806" s="4"/>
      <c r="G806" s="4"/>
      <c r="H806" s="4"/>
      <c r="I806" s="4"/>
      <c r="J806" s="4"/>
    </row>
    <row r="807">
      <c r="A807" s="4"/>
      <c r="B807" s="151"/>
      <c r="C807" s="151"/>
      <c r="D807" s="151"/>
      <c r="E807" s="4"/>
      <c r="F807" s="4"/>
      <c r="G807" s="4"/>
      <c r="H807" s="4"/>
      <c r="I807" s="4"/>
      <c r="J807" s="4"/>
    </row>
    <row r="808">
      <c r="A808" s="66"/>
      <c r="B808" s="160"/>
      <c r="C808" s="160"/>
      <c r="D808" s="160"/>
      <c r="E808" s="66"/>
      <c r="F808" s="66"/>
      <c r="G808" s="66"/>
      <c r="H808" s="66"/>
      <c r="I808" s="66"/>
      <c r="J808" s="66"/>
    </row>
    <row r="809">
      <c r="A809" s="66"/>
      <c r="B809" s="160"/>
      <c r="C809" s="160"/>
      <c r="D809" s="160"/>
      <c r="E809" s="66"/>
      <c r="F809" s="66"/>
      <c r="G809" s="66"/>
      <c r="H809" s="66"/>
      <c r="I809" s="66"/>
      <c r="J809" s="66"/>
    </row>
    <row r="810">
      <c r="A810" s="66"/>
      <c r="B810" s="160"/>
      <c r="C810" s="160"/>
      <c r="D810" s="160"/>
      <c r="E810" s="66"/>
      <c r="F810" s="66"/>
      <c r="G810" s="66"/>
      <c r="H810" s="66"/>
      <c r="I810" s="66"/>
      <c r="J810" s="66"/>
    </row>
    <row r="811">
      <c r="A811" s="66"/>
      <c r="B811" s="160"/>
      <c r="C811" s="160"/>
      <c r="D811" s="160"/>
      <c r="E811" s="66"/>
      <c r="F811" s="66"/>
      <c r="G811" s="66"/>
      <c r="H811" s="66"/>
      <c r="I811" s="66"/>
      <c r="J811" s="66"/>
    </row>
    <row r="812">
      <c r="A812" s="66"/>
      <c r="B812" s="160"/>
      <c r="C812" s="160"/>
      <c r="D812" s="160"/>
      <c r="E812" s="66"/>
      <c r="F812" s="66"/>
      <c r="G812" s="66"/>
      <c r="H812" s="66"/>
      <c r="I812" s="66"/>
      <c r="J812" s="66"/>
    </row>
    <row r="813">
      <c r="A813" s="66"/>
      <c r="B813" s="160"/>
      <c r="C813" s="160"/>
      <c r="D813" s="160"/>
      <c r="E813" s="66"/>
      <c r="F813" s="66"/>
      <c r="G813" s="66"/>
      <c r="H813" s="66"/>
      <c r="I813" s="66"/>
      <c r="J813" s="66"/>
    </row>
    <row r="814">
      <c r="A814" s="66"/>
      <c r="B814" s="160"/>
      <c r="C814" s="160"/>
      <c r="D814" s="160"/>
      <c r="E814" s="66"/>
      <c r="F814" s="66"/>
      <c r="G814" s="66"/>
      <c r="H814" s="66"/>
      <c r="I814" s="66"/>
      <c r="J814" s="66"/>
    </row>
    <row r="815">
      <c r="A815" s="66"/>
      <c r="B815" s="160"/>
      <c r="C815" s="160"/>
      <c r="D815" s="160"/>
      <c r="E815" s="66"/>
      <c r="F815" s="66"/>
      <c r="G815" s="66"/>
      <c r="H815" s="66"/>
      <c r="I815" s="66"/>
      <c r="J815" s="66"/>
    </row>
    <row r="816">
      <c r="A816" s="66"/>
      <c r="B816" s="160"/>
      <c r="C816" s="160"/>
      <c r="D816" s="160"/>
      <c r="E816" s="66"/>
      <c r="F816" s="66"/>
      <c r="G816" s="66"/>
      <c r="H816" s="66"/>
      <c r="I816" s="66"/>
      <c r="J816" s="66"/>
    </row>
    <row r="817">
      <c r="A817" s="66"/>
      <c r="B817" s="160"/>
      <c r="C817" s="160"/>
      <c r="D817" s="160"/>
      <c r="E817" s="66"/>
      <c r="F817" s="66"/>
      <c r="G817" s="66"/>
      <c r="H817" s="66"/>
      <c r="I817" s="66"/>
      <c r="J817" s="66"/>
    </row>
    <row r="818">
      <c r="A818" s="66"/>
      <c r="B818" s="160"/>
      <c r="C818" s="160"/>
      <c r="D818" s="160"/>
      <c r="E818" s="66"/>
      <c r="F818" s="66"/>
      <c r="G818" s="66"/>
      <c r="H818" s="66"/>
      <c r="I818" s="66"/>
      <c r="J818" s="66"/>
    </row>
    <row r="819">
      <c r="A819" s="66"/>
      <c r="B819" s="160"/>
      <c r="C819" s="160"/>
      <c r="D819" s="160"/>
      <c r="E819" s="66"/>
      <c r="F819" s="66"/>
      <c r="G819" s="66"/>
      <c r="H819" s="66"/>
      <c r="I819" s="66"/>
      <c r="J819" s="66"/>
    </row>
    <row r="820">
      <c r="A820" s="66"/>
      <c r="B820" s="160"/>
      <c r="C820" s="160"/>
      <c r="D820" s="160"/>
      <c r="E820" s="66"/>
      <c r="F820" s="66"/>
      <c r="G820" s="66"/>
      <c r="H820" s="66"/>
      <c r="I820" s="66"/>
      <c r="J820" s="66"/>
    </row>
    <row r="821">
      <c r="A821" s="66"/>
      <c r="B821" s="160"/>
      <c r="C821" s="160"/>
      <c r="D821" s="160"/>
      <c r="E821" s="66"/>
      <c r="F821" s="66"/>
      <c r="G821" s="66"/>
      <c r="H821" s="66"/>
      <c r="I821" s="66"/>
      <c r="J821" s="66"/>
    </row>
    <row r="822">
      <c r="A822" s="66"/>
      <c r="B822" s="160"/>
      <c r="C822" s="160"/>
      <c r="D822" s="160"/>
      <c r="E822" s="66"/>
      <c r="F822" s="66"/>
      <c r="G822" s="66"/>
      <c r="H822" s="66"/>
      <c r="I822" s="66"/>
      <c r="J822" s="66"/>
    </row>
    <row r="823">
      <c r="A823" s="66"/>
      <c r="B823" s="160"/>
      <c r="C823" s="160"/>
      <c r="D823" s="160"/>
      <c r="E823" s="66"/>
      <c r="F823" s="66"/>
      <c r="G823" s="66"/>
      <c r="H823" s="66"/>
      <c r="I823" s="66"/>
      <c r="J823" s="66"/>
    </row>
    <row r="824">
      <c r="A824" s="66"/>
      <c r="B824" s="160"/>
      <c r="C824" s="160"/>
      <c r="D824" s="160"/>
      <c r="E824" s="66"/>
      <c r="F824" s="66"/>
      <c r="G824" s="66"/>
      <c r="H824" s="66"/>
      <c r="I824" s="66"/>
      <c r="J824" s="66"/>
    </row>
    <row r="825">
      <c r="A825" s="66"/>
      <c r="B825" s="160"/>
      <c r="C825" s="160"/>
      <c r="D825" s="160"/>
      <c r="E825" s="66"/>
      <c r="F825" s="66"/>
      <c r="G825" s="66"/>
      <c r="H825" s="66"/>
      <c r="I825" s="66"/>
      <c r="J825" s="66"/>
    </row>
    <row r="826">
      <c r="A826" s="66"/>
      <c r="B826" s="160"/>
      <c r="C826" s="160"/>
      <c r="D826" s="160"/>
      <c r="E826" s="66"/>
      <c r="F826" s="66"/>
      <c r="G826" s="66"/>
      <c r="H826" s="66"/>
      <c r="I826" s="66"/>
      <c r="J826" s="66"/>
    </row>
    <row r="827">
      <c r="A827" s="66"/>
      <c r="B827" s="160"/>
      <c r="C827" s="160"/>
      <c r="D827" s="160"/>
      <c r="E827" s="66"/>
      <c r="F827" s="66"/>
      <c r="G827" s="66"/>
      <c r="H827" s="66"/>
      <c r="I827" s="66"/>
      <c r="J827" s="66"/>
    </row>
    <row r="828">
      <c r="A828" s="66"/>
      <c r="B828" s="160"/>
      <c r="C828" s="160"/>
      <c r="D828" s="160"/>
      <c r="E828" s="66"/>
      <c r="F828" s="66"/>
      <c r="G828" s="66"/>
      <c r="H828" s="66"/>
      <c r="I828" s="66"/>
      <c r="J828" s="66"/>
    </row>
    <row r="829">
      <c r="A829" s="66"/>
      <c r="B829" s="160"/>
      <c r="C829" s="160"/>
      <c r="D829" s="160"/>
      <c r="E829" s="66"/>
      <c r="F829" s="66"/>
      <c r="G829" s="66"/>
      <c r="H829" s="66"/>
      <c r="I829" s="66"/>
      <c r="J829" s="66"/>
    </row>
    <row r="830">
      <c r="A830" s="66"/>
      <c r="B830" s="160"/>
      <c r="C830" s="160"/>
      <c r="D830" s="160"/>
      <c r="E830" s="66"/>
      <c r="F830" s="66"/>
      <c r="G830" s="66"/>
      <c r="H830" s="66"/>
      <c r="I830" s="66"/>
      <c r="J830" s="66"/>
    </row>
    <row r="831">
      <c r="A831" s="66"/>
      <c r="B831" s="160"/>
      <c r="C831" s="160"/>
      <c r="D831" s="160"/>
      <c r="E831" s="66"/>
      <c r="F831" s="66"/>
      <c r="G831" s="66"/>
      <c r="H831" s="66"/>
      <c r="I831" s="66"/>
      <c r="J831" s="66"/>
    </row>
    <row r="832">
      <c r="A832" s="66"/>
      <c r="B832" s="160"/>
      <c r="C832" s="160"/>
      <c r="D832" s="160"/>
      <c r="E832" s="66"/>
      <c r="F832" s="66"/>
      <c r="G832" s="66"/>
      <c r="H832" s="66"/>
      <c r="I832" s="66"/>
      <c r="J832" s="66"/>
    </row>
    <row r="833">
      <c r="A833" s="66"/>
      <c r="B833" s="160"/>
      <c r="C833" s="160"/>
      <c r="D833" s="160"/>
      <c r="E833" s="66"/>
      <c r="F833" s="66"/>
      <c r="G833" s="66"/>
      <c r="H833" s="66"/>
      <c r="I833" s="66"/>
      <c r="J833" s="66"/>
    </row>
    <row r="834">
      <c r="A834" s="66"/>
      <c r="B834" s="160"/>
      <c r="C834" s="160"/>
      <c r="D834" s="160"/>
      <c r="E834" s="66"/>
      <c r="F834" s="66"/>
      <c r="G834" s="66"/>
      <c r="H834" s="66"/>
      <c r="I834" s="66"/>
      <c r="J834" s="66"/>
    </row>
    <row r="835">
      <c r="A835" s="66"/>
      <c r="B835" s="160"/>
      <c r="C835" s="160"/>
      <c r="D835" s="160"/>
      <c r="E835" s="66"/>
      <c r="F835" s="66"/>
      <c r="G835" s="66"/>
      <c r="H835" s="66"/>
      <c r="I835" s="66"/>
      <c r="J835" s="66"/>
    </row>
    <row r="836">
      <c r="A836" s="66"/>
      <c r="B836" s="160"/>
      <c r="C836" s="160"/>
      <c r="D836" s="160"/>
      <c r="E836" s="66"/>
      <c r="F836" s="66"/>
      <c r="G836" s="66"/>
      <c r="H836" s="66"/>
      <c r="I836" s="66"/>
      <c r="J836" s="66"/>
    </row>
    <row r="837">
      <c r="A837" s="66"/>
      <c r="B837" s="160"/>
      <c r="C837" s="160"/>
      <c r="D837" s="160"/>
      <c r="E837" s="66"/>
      <c r="F837" s="66"/>
      <c r="G837" s="66"/>
      <c r="H837" s="66"/>
      <c r="I837" s="66"/>
      <c r="J837" s="66"/>
    </row>
    <row r="838">
      <c r="A838" s="66"/>
      <c r="B838" s="160"/>
      <c r="C838" s="160"/>
      <c r="D838" s="160"/>
      <c r="E838" s="66"/>
      <c r="F838" s="66"/>
      <c r="G838" s="66"/>
      <c r="H838" s="66"/>
      <c r="I838" s="66"/>
      <c r="J838" s="66"/>
    </row>
    <row r="839">
      <c r="A839" s="66"/>
      <c r="B839" s="160"/>
      <c r="C839" s="160"/>
      <c r="D839" s="160"/>
      <c r="E839" s="66"/>
      <c r="F839" s="66"/>
      <c r="G839" s="66"/>
      <c r="H839" s="66"/>
      <c r="I839" s="66"/>
      <c r="J839" s="66"/>
    </row>
    <row r="840">
      <c r="A840" s="66"/>
      <c r="B840" s="160"/>
      <c r="C840" s="160"/>
      <c r="D840" s="160"/>
      <c r="E840" s="66"/>
      <c r="F840" s="66"/>
      <c r="G840" s="66"/>
      <c r="H840" s="66"/>
      <c r="I840" s="66"/>
      <c r="J840" s="66"/>
    </row>
    <row r="841">
      <c r="A841" s="66"/>
      <c r="B841" s="160"/>
      <c r="C841" s="160"/>
      <c r="D841" s="160"/>
      <c r="E841" s="66"/>
      <c r="F841" s="66"/>
      <c r="G841" s="66"/>
      <c r="H841" s="66"/>
      <c r="I841" s="66"/>
      <c r="J841" s="66"/>
    </row>
    <row r="842">
      <c r="A842" s="66"/>
      <c r="B842" s="160"/>
      <c r="C842" s="160"/>
      <c r="D842" s="160"/>
      <c r="E842" s="66"/>
      <c r="F842" s="66"/>
      <c r="G842" s="66"/>
      <c r="H842" s="66"/>
      <c r="I842" s="66"/>
      <c r="J842" s="66"/>
    </row>
    <row r="843">
      <c r="A843" s="66"/>
      <c r="B843" s="160"/>
      <c r="C843" s="160"/>
      <c r="D843" s="160"/>
      <c r="E843" s="66"/>
      <c r="F843" s="66"/>
      <c r="G843" s="66"/>
      <c r="H843" s="66"/>
      <c r="I843" s="66"/>
      <c r="J843" s="66"/>
    </row>
    <row r="844">
      <c r="A844" s="66"/>
      <c r="B844" s="160"/>
      <c r="C844" s="160"/>
      <c r="D844" s="160"/>
      <c r="E844" s="66"/>
      <c r="F844" s="66"/>
      <c r="G844" s="66"/>
      <c r="H844" s="66"/>
      <c r="I844" s="66"/>
      <c r="J844" s="66"/>
    </row>
    <row r="845">
      <c r="A845" s="66"/>
      <c r="B845" s="160"/>
      <c r="C845" s="160"/>
      <c r="D845" s="160"/>
      <c r="E845" s="66"/>
      <c r="F845" s="66"/>
      <c r="G845" s="66"/>
      <c r="H845" s="66"/>
      <c r="I845" s="66"/>
      <c r="J845" s="66"/>
    </row>
    <row r="846">
      <c r="A846" s="66"/>
      <c r="B846" s="160"/>
      <c r="C846" s="160"/>
      <c r="D846" s="160"/>
      <c r="E846" s="66"/>
      <c r="F846" s="66"/>
      <c r="G846" s="66"/>
      <c r="H846" s="66"/>
      <c r="I846" s="66"/>
      <c r="J846" s="66"/>
    </row>
    <row r="847">
      <c r="A847" s="66"/>
      <c r="B847" s="160"/>
      <c r="C847" s="160"/>
      <c r="D847" s="160"/>
      <c r="E847" s="66"/>
      <c r="F847" s="66"/>
      <c r="G847" s="66"/>
      <c r="H847" s="66"/>
      <c r="I847" s="66"/>
      <c r="J847" s="66"/>
    </row>
    <row r="848">
      <c r="A848" s="66"/>
      <c r="B848" s="160"/>
      <c r="C848" s="160"/>
      <c r="D848" s="160"/>
      <c r="E848" s="66"/>
      <c r="F848" s="66"/>
      <c r="G848" s="66"/>
      <c r="H848" s="66"/>
      <c r="I848" s="66"/>
      <c r="J848" s="66"/>
    </row>
    <row r="849">
      <c r="A849" s="66"/>
      <c r="B849" s="160"/>
      <c r="C849" s="160"/>
      <c r="D849" s="160"/>
      <c r="E849" s="66"/>
      <c r="F849" s="66"/>
      <c r="G849" s="66"/>
      <c r="H849" s="66"/>
      <c r="I849" s="66"/>
      <c r="J849" s="66"/>
    </row>
    <row r="850">
      <c r="A850" s="66"/>
      <c r="B850" s="160"/>
      <c r="C850" s="160"/>
      <c r="D850" s="160"/>
      <c r="E850" s="66"/>
      <c r="F850" s="66"/>
      <c r="G850" s="66"/>
      <c r="H850" s="66"/>
      <c r="I850" s="66"/>
      <c r="J850" s="66"/>
    </row>
    <row r="851">
      <c r="A851" s="66"/>
      <c r="B851" s="160"/>
      <c r="C851" s="160"/>
      <c r="D851" s="160"/>
      <c r="E851" s="66"/>
      <c r="F851" s="66"/>
      <c r="G851" s="66"/>
      <c r="H851" s="66"/>
      <c r="I851" s="66"/>
      <c r="J851" s="66"/>
    </row>
    <row r="852">
      <c r="A852" s="66"/>
      <c r="B852" s="160"/>
      <c r="C852" s="160"/>
      <c r="D852" s="160"/>
      <c r="E852" s="66"/>
      <c r="F852" s="66"/>
      <c r="G852" s="66"/>
      <c r="H852" s="66"/>
      <c r="I852" s="66"/>
      <c r="J852" s="66"/>
    </row>
    <row r="853">
      <c r="A853" s="66"/>
      <c r="B853" s="160"/>
      <c r="C853" s="160"/>
      <c r="D853" s="160"/>
      <c r="E853" s="66"/>
      <c r="F853" s="66"/>
      <c r="G853" s="66"/>
      <c r="H853" s="66"/>
      <c r="I853" s="66"/>
      <c r="J853" s="66"/>
    </row>
    <row r="854">
      <c r="A854" s="66"/>
      <c r="B854" s="160"/>
      <c r="C854" s="160"/>
      <c r="D854" s="160"/>
      <c r="E854" s="66"/>
      <c r="F854" s="66"/>
      <c r="G854" s="66"/>
      <c r="H854" s="66"/>
      <c r="I854" s="66"/>
      <c r="J854" s="66"/>
    </row>
    <row r="855">
      <c r="A855" s="66"/>
      <c r="B855" s="160"/>
      <c r="C855" s="160"/>
      <c r="D855" s="160"/>
      <c r="E855" s="66"/>
      <c r="F855" s="66"/>
      <c r="G855" s="66"/>
      <c r="H855" s="66"/>
      <c r="I855" s="66"/>
      <c r="J855" s="66"/>
    </row>
    <row r="856">
      <c r="A856" s="66"/>
      <c r="B856" s="160"/>
      <c r="C856" s="160"/>
      <c r="D856" s="160"/>
      <c r="E856" s="66"/>
      <c r="F856" s="66"/>
      <c r="G856" s="66"/>
      <c r="H856" s="66"/>
      <c r="I856" s="66"/>
      <c r="J856" s="66"/>
    </row>
    <row r="857">
      <c r="A857" s="66"/>
      <c r="B857" s="160"/>
      <c r="C857" s="160"/>
      <c r="D857" s="160"/>
      <c r="E857" s="66"/>
      <c r="F857" s="66"/>
      <c r="G857" s="66"/>
      <c r="H857" s="66"/>
      <c r="I857" s="66"/>
      <c r="J857" s="66"/>
    </row>
    <row r="858">
      <c r="A858" s="66"/>
      <c r="B858" s="160"/>
      <c r="C858" s="160"/>
      <c r="D858" s="160"/>
      <c r="E858" s="66"/>
      <c r="F858" s="66"/>
      <c r="G858" s="66"/>
      <c r="H858" s="66"/>
      <c r="I858" s="66"/>
      <c r="J858" s="66"/>
    </row>
    <row r="859">
      <c r="A859" s="66"/>
      <c r="B859" s="160"/>
      <c r="C859" s="160"/>
      <c r="D859" s="160"/>
      <c r="E859" s="66"/>
      <c r="F859" s="66"/>
      <c r="G859" s="66"/>
      <c r="H859" s="66"/>
      <c r="I859" s="66"/>
      <c r="J859" s="66"/>
    </row>
    <row r="860">
      <c r="A860" s="66"/>
      <c r="B860" s="160"/>
      <c r="C860" s="160"/>
      <c r="D860" s="160"/>
      <c r="E860" s="66"/>
      <c r="F860" s="66"/>
      <c r="G860" s="66"/>
      <c r="H860" s="66"/>
      <c r="I860" s="66"/>
      <c r="J860" s="66"/>
    </row>
    <row r="861">
      <c r="A861" s="66"/>
      <c r="B861" s="160"/>
      <c r="C861" s="160"/>
      <c r="D861" s="160"/>
      <c r="E861" s="66"/>
      <c r="F861" s="66"/>
      <c r="G861" s="66"/>
      <c r="H861" s="66"/>
      <c r="I861" s="66"/>
      <c r="J861" s="66"/>
    </row>
    <row r="862">
      <c r="A862" s="66"/>
      <c r="B862" s="160"/>
      <c r="C862" s="160"/>
      <c r="D862" s="160"/>
      <c r="E862" s="66"/>
      <c r="F862" s="66"/>
      <c r="G862" s="66"/>
      <c r="H862" s="66"/>
      <c r="I862" s="66"/>
      <c r="J862" s="66"/>
    </row>
    <row r="863">
      <c r="A863" s="66"/>
      <c r="B863" s="160"/>
      <c r="C863" s="160"/>
      <c r="D863" s="160"/>
      <c r="E863" s="66"/>
      <c r="F863" s="66"/>
      <c r="G863" s="66"/>
      <c r="H863" s="66"/>
      <c r="I863" s="66"/>
      <c r="J863" s="66"/>
    </row>
    <row r="864">
      <c r="A864" s="66"/>
      <c r="B864" s="160"/>
      <c r="C864" s="160"/>
      <c r="D864" s="160"/>
      <c r="E864" s="66"/>
      <c r="F864" s="66"/>
      <c r="G864" s="66"/>
      <c r="H864" s="66"/>
      <c r="I864" s="66"/>
      <c r="J864" s="66"/>
    </row>
    <row r="865">
      <c r="A865" s="66"/>
      <c r="B865" s="160"/>
      <c r="C865" s="160"/>
      <c r="D865" s="160"/>
      <c r="E865" s="66"/>
      <c r="F865" s="66"/>
      <c r="G865" s="66"/>
      <c r="H865" s="66"/>
      <c r="I865" s="66"/>
      <c r="J865" s="66"/>
    </row>
    <row r="866">
      <c r="A866" s="66"/>
      <c r="B866" s="160"/>
      <c r="C866" s="160"/>
      <c r="D866" s="160"/>
      <c r="E866" s="66"/>
      <c r="F866" s="66"/>
      <c r="G866" s="66"/>
      <c r="H866" s="66"/>
      <c r="I866" s="66"/>
      <c r="J866" s="66"/>
    </row>
    <row r="867">
      <c r="A867" s="66"/>
      <c r="B867" s="160"/>
      <c r="C867" s="160"/>
      <c r="D867" s="160"/>
      <c r="E867" s="66"/>
      <c r="F867" s="66"/>
      <c r="G867" s="66"/>
      <c r="H867" s="66"/>
      <c r="I867" s="66"/>
      <c r="J867" s="66"/>
    </row>
    <row r="868">
      <c r="A868" s="66"/>
      <c r="B868" s="160"/>
      <c r="C868" s="160"/>
      <c r="D868" s="160"/>
      <c r="E868" s="66"/>
      <c r="F868" s="66"/>
      <c r="G868" s="66"/>
      <c r="H868" s="66"/>
      <c r="I868" s="66"/>
      <c r="J868" s="66"/>
    </row>
    <row r="869">
      <c r="A869" s="66"/>
      <c r="B869" s="160"/>
      <c r="C869" s="160"/>
      <c r="D869" s="160"/>
      <c r="E869" s="66"/>
      <c r="F869" s="66"/>
      <c r="G869" s="66"/>
      <c r="H869" s="66"/>
      <c r="I869" s="66"/>
      <c r="J869" s="66"/>
    </row>
    <row r="870">
      <c r="A870" s="66"/>
      <c r="B870" s="160"/>
      <c r="C870" s="160"/>
      <c r="D870" s="160"/>
      <c r="E870" s="66"/>
      <c r="F870" s="66"/>
      <c r="G870" s="66"/>
      <c r="H870" s="66"/>
      <c r="I870" s="66"/>
      <c r="J870" s="66"/>
    </row>
    <row r="871">
      <c r="A871" s="66"/>
      <c r="B871" s="160"/>
      <c r="C871" s="160"/>
      <c r="D871" s="160"/>
      <c r="E871" s="66"/>
      <c r="F871" s="66"/>
      <c r="G871" s="66"/>
      <c r="H871" s="66"/>
      <c r="I871" s="66"/>
      <c r="J871" s="66"/>
    </row>
    <row r="872">
      <c r="A872" s="66"/>
      <c r="B872" s="160"/>
      <c r="C872" s="160"/>
      <c r="D872" s="160"/>
      <c r="E872" s="66"/>
      <c r="F872" s="66"/>
      <c r="G872" s="66"/>
      <c r="H872" s="66"/>
      <c r="I872" s="66"/>
      <c r="J872" s="66"/>
    </row>
    <row r="873">
      <c r="A873" s="66"/>
      <c r="B873" s="160"/>
      <c r="C873" s="160"/>
      <c r="D873" s="160"/>
      <c r="E873" s="66"/>
      <c r="F873" s="66"/>
      <c r="G873" s="66"/>
      <c r="H873" s="66"/>
      <c r="I873" s="66"/>
      <c r="J873" s="66"/>
    </row>
    <row r="874">
      <c r="A874" s="66"/>
      <c r="B874" s="160"/>
      <c r="C874" s="160"/>
      <c r="D874" s="160"/>
      <c r="E874" s="66"/>
      <c r="F874" s="66"/>
      <c r="G874" s="66"/>
      <c r="H874" s="66"/>
      <c r="I874" s="66"/>
      <c r="J874" s="66"/>
    </row>
    <row r="875">
      <c r="A875" s="66"/>
      <c r="B875" s="160"/>
      <c r="C875" s="160"/>
      <c r="D875" s="160"/>
      <c r="E875" s="66"/>
      <c r="F875" s="66"/>
      <c r="G875" s="66"/>
      <c r="H875" s="66"/>
      <c r="I875" s="66"/>
      <c r="J875" s="66"/>
    </row>
    <row r="876">
      <c r="A876" s="66"/>
      <c r="B876" s="160"/>
      <c r="C876" s="160"/>
      <c r="D876" s="160"/>
      <c r="E876" s="66"/>
      <c r="F876" s="66"/>
      <c r="G876" s="66"/>
      <c r="H876" s="66"/>
      <c r="I876" s="66"/>
      <c r="J876" s="66"/>
    </row>
    <row r="877">
      <c r="A877" s="66"/>
      <c r="B877" s="160"/>
      <c r="C877" s="160"/>
      <c r="D877" s="160"/>
      <c r="E877" s="66"/>
      <c r="F877" s="66"/>
      <c r="G877" s="66"/>
      <c r="H877" s="66"/>
      <c r="I877" s="66"/>
      <c r="J877" s="66"/>
    </row>
    <row r="878">
      <c r="A878" s="66"/>
      <c r="B878" s="160"/>
      <c r="C878" s="160"/>
      <c r="D878" s="160"/>
      <c r="E878" s="66"/>
      <c r="F878" s="66"/>
      <c r="G878" s="66"/>
      <c r="H878" s="66"/>
      <c r="I878" s="66"/>
      <c r="J878" s="66"/>
    </row>
    <row r="879">
      <c r="A879" s="66"/>
      <c r="B879" s="160"/>
      <c r="C879" s="160"/>
      <c r="D879" s="160"/>
      <c r="E879" s="66"/>
      <c r="F879" s="66"/>
      <c r="G879" s="66"/>
      <c r="H879" s="66"/>
      <c r="I879" s="66"/>
      <c r="J879" s="66"/>
    </row>
    <row r="880">
      <c r="A880" s="66"/>
      <c r="B880" s="160"/>
      <c r="C880" s="160"/>
      <c r="D880" s="160"/>
      <c r="E880" s="66"/>
      <c r="F880" s="66"/>
      <c r="G880" s="66"/>
      <c r="H880" s="66"/>
      <c r="I880" s="66"/>
      <c r="J880" s="66"/>
    </row>
    <row r="881">
      <c r="A881" s="66"/>
      <c r="B881" s="160"/>
      <c r="C881" s="160"/>
      <c r="D881" s="160"/>
      <c r="E881" s="66"/>
      <c r="F881" s="66"/>
      <c r="G881" s="66"/>
      <c r="H881" s="66"/>
      <c r="I881" s="66"/>
      <c r="J881" s="66"/>
    </row>
    <row r="882">
      <c r="A882" s="66"/>
      <c r="B882" s="160"/>
      <c r="C882" s="160"/>
      <c r="D882" s="160"/>
      <c r="E882" s="66"/>
      <c r="F882" s="66"/>
      <c r="G882" s="66"/>
      <c r="H882" s="66"/>
      <c r="I882" s="66"/>
      <c r="J882" s="66"/>
    </row>
    <row r="883">
      <c r="A883" s="66"/>
      <c r="B883" s="160"/>
      <c r="C883" s="160"/>
      <c r="D883" s="160"/>
      <c r="E883" s="66"/>
      <c r="F883" s="66"/>
      <c r="G883" s="66"/>
      <c r="H883" s="66"/>
      <c r="I883" s="66"/>
      <c r="J883" s="66"/>
    </row>
    <row r="884">
      <c r="A884" s="66"/>
      <c r="B884" s="160"/>
      <c r="C884" s="160"/>
      <c r="D884" s="160"/>
      <c r="E884" s="66"/>
      <c r="F884" s="66"/>
      <c r="G884" s="66"/>
      <c r="H884" s="66"/>
      <c r="I884" s="66"/>
      <c r="J884" s="66"/>
    </row>
    <row r="885">
      <c r="A885" s="66"/>
      <c r="B885" s="160"/>
      <c r="C885" s="160"/>
      <c r="D885" s="160"/>
      <c r="E885" s="66"/>
      <c r="F885" s="66"/>
      <c r="G885" s="66"/>
      <c r="H885" s="66"/>
      <c r="I885" s="66"/>
      <c r="J885" s="66"/>
    </row>
    <row r="886">
      <c r="A886" s="66"/>
      <c r="B886" s="160"/>
      <c r="C886" s="160"/>
      <c r="D886" s="160"/>
      <c r="E886" s="66"/>
      <c r="F886" s="66"/>
      <c r="G886" s="66"/>
      <c r="H886" s="66"/>
      <c r="I886" s="66"/>
      <c r="J886" s="66"/>
    </row>
    <row r="887">
      <c r="A887" s="66"/>
      <c r="B887" s="160"/>
      <c r="C887" s="160"/>
      <c r="D887" s="160"/>
      <c r="E887" s="66"/>
      <c r="F887" s="66"/>
      <c r="G887" s="66"/>
      <c r="H887" s="66"/>
      <c r="I887" s="66"/>
      <c r="J887" s="66"/>
    </row>
    <row r="888">
      <c r="A888" s="66"/>
      <c r="B888" s="160"/>
      <c r="C888" s="160"/>
      <c r="D888" s="160"/>
      <c r="E888" s="66"/>
      <c r="F888" s="66"/>
      <c r="G888" s="66"/>
      <c r="H888" s="66"/>
      <c r="I888" s="66"/>
      <c r="J888" s="66"/>
    </row>
    <row r="889">
      <c r="A889" s="66"/>
      <c r="B889" s="160"/>
      <c r="C889" s="160"/>
      <c r="D889" s="160"/>
      <c r="E889" s="66"/>
      <c r="F889" s="66"/>
      <c r="G889" s="66"/>
      <c r="H889" s="66"/>
      <c r="I889" s="66"/>
      <c r="J889" s="66"/>
    </row>
    <row r="890">
      <c r="A890" s="66"/>
      <c r="B890" s="160"/>
      <c r="C890" s="160"/>
      <c r="D890" s="160"/>
      <c r="E890" s="66"/>
      <c r="F890" s="66"/>
      <c r="G890" s="66"/>
      <c r="H890" s="66"/>
      <c r="I890" s="66"/>
      <c r="J890" s="66"/>
    </row>
    <row r="891">
      <c r="A891" s="66"/>
      <c r="B891" s="160"/>
      <c r="C891" s="160"/>
      <c r="D891" s="160"/>
      <c r="E891" s="66"/>
      <c r="F891" s="66"/>
      <c r="G891" s="66"/>
      <c r="H891" s="66"/>
      <c r="I891" s="66"/>
      <c r="J891" s="66"/>
    </row>
    <row r="892">
      <c r="A892" s="66"/>
      <c r="B892" s="160"/>
      <c r="C892" s="160"/>
      <c r="D892" s="160"/>
      <c r="E892" s="66"/>
      <c r="F892" s="66"/>
      <c r="G892" s="66"/>
      <c r="H892" s="66"/>
      <c r="I892" s="66"/>
      <c r="J892" s="66"/>
    </row>
    <row r="893">
      <c r="A893" s="66"/>
      <c r="B893" s="160"/>
      <c r="C893" s="160"/>
      <c r="D893" s="160"/>
      <c r="E893" s="66"/>
      <c r="F893" s="66"/>
      <c r="G893" s="66"/>
      <c r="H893" s="66"/>
      <c r="I893" s="66"/>
      <c r="J893" s="66"/>
    </row>
    <row r="894">
      <c r="A894" s="66"/>
      <c r="B894" s="160"/>
      <c r="C894" s="160"/>
      <c r="D894" s="160"/>
      <c r="E894" s="66"/>
      <c r="F894" s="66"/>
      <c r="G894" s="66"/>
      <c r="H894" s="66"/>
      <c r="I894" s="66"/>
      <c r="J894" s="66"/>
    </row>
    <row r="895">
      <c r="A895" s="66"/>
      <c r="B895" s="160"/>
      <c r="C895" s="160"/>
      <c r="D895" s="160"/>
      <c r="E895" s="66"/>
      <c r="F895" s="66"/>
      <c r="G895" s="66"/>
      <c r="H895" s="66"/>
      <c r="I895" s="66"/>
      <c r="J895" s="66"/>
    </row>
    <row r="896">
      <c r="A896" s="66"/>
      <c r="B896" s="160"/>
      <c r="C896" s="160"/>
      <c r="D896" s="160"/>
      <c r="E896" s="66"/>
      <c r="F896" s="66"/>
      <c r="G896" s="66"/>
      <c r="H896" s="66"/>
      <c r="I896" s="66"/>
      <c r="J896" s="66"/>
    </row>
    <row r="897">
      <c r="A897" s="66"/>
      <c r="B897" s="160"/>
      <c r="C897" s="160"/>
      <c r="D897" s="160"/>
      <c r="E897" s="66"/>
      <c r="F897" s="66"/>
      <c r="G897" s="66"/>
      <c r="H897" s="66"/>
      <c r="I897" s="66"/>
      <c r="J897" s="66"/>
    </row>
    <row r="898">
      <c r="A898" s="66"/>
      <c r="B898" s="160"/>
      <c r="C898" s="160"/>
      <c r="D898" s="160"/>
      <c r="E898" s="66"/>
      <c r="F898" s="66"/>
      <c r="G898" s="66"/>
      <c r="H898" s="66"/>
      <c r="I898" s="66"/>
      <c r="J898" s="66"/>
    </row>
    <row r="899">
      <c r="A899" s="66"/>
      <c r="B899" s="160"/>
      <c r="C899" s="160"/>
      <c r="D899" s="160"/>
      <c r="E899" s="66"/>
      <c r="F899" s="66"/>
      <c r="G899" s="66"/>
      <c r="H899" s="66"/>
      <c r="I899" s="66"/>
      <c r="J899" s="66"/>
    </row>
    <row r="900">
      <c r="A900" s="66"/>
      <c r="B900" s="160"/>
      <c r="C900" s="160"/>
      <c r="D900" s="160"/>
      <c r="E900" s="66"/>
      <c r="F900" s="66"/>
      <c r="G900" s="66"/>
      <c r="H900" s="66"/>
      <c r="I900" s="66"/>
      <c r="J900" s="66"/>
    </row>
    <row r="901">
      <c r="A901" s="66"/>
      <c r="B901" s="160"/>
      <c r="C901" s="160"/>
      <c r="D901" s="160"/>
      <c r="E901" s="66"/>
      <c r="F901" s="66"/>
      <c r="G901" s="66"/>
      <c r="H901" s="66"/>
      <c r="I901" s="66"/>
      <c r="J901" s="66"/>
    </row>
    <row r="902">
      <c r="A902" s="66"/>
      <c r="B902" s="160"/>
      <c r="C902" s="160"/>
      <c r="D902" s="160"/>
      <c r="E902" s="66"/>
      <c r="F902" s="66"/>
      <c r="G902" s="66"/>
      <c r="H902" s="66"/>
      <c r="I902" s="66"/>
      <c r="J902" s="66"/>
    </row>
    <row r="903">
      <c r="A903" s="66"/>
      <c r="B903" s="160"/>
      <c r="C903" s="160"/>
      <c r="D903" s="160"/>
      <c r="E903" s="66"/>
      <c r="F903" s="66"/>
      <c r="G903" s="66"/>
      <c r="H903" s="66"/>
      <c r="I903" s="66"/>
      <c r="J903" s="66"/>
    </row>
    <row r="904">
      <c r="A904" s="66"/>
      <c r="B904" s="160"/>
      <c r="C904" s="160"/>
      <c r="D904" s="160"/>
      <c r="E904" s="66"/>
      <c r="F904" s="66"/>
      <c r="G904" s="66"/>
      <c r="H904" s="66"/>
      <c r="I904" s="66"/>
      <c r="J904" s="66"/>
    </row>
    <row r="905">
      <c r="A905" s="66"/>
      <c r="B905" s="160"/>
      <c r="C905" s="160"/>
      <c r="D905" s="160"/>
      <c r="E905" s="66"/>
      <c r="F905" s="66"/>
      <c r="G905" s="66"/>
      <c r="H905" s="66"/>
      <c r="I905" s="66"/>
      <c r="J905" s="66"/>
    </row>
    <row r="906">
      <c r="A906" s="66"/>
      <c r="B906" s="160"/>
      <c r="C906" s="160"/>
      <c r="D906" s="160"/>
      <c r="E906" s="66"/>
      <c r="F906" s="66"/>
      <c r="G906" s="66"/>
      <c r="H906" s="66"/>
      <c r="I906" s="66"/>
      <c r="J906" s="66"/>
    </row>
    <row r="907">
      <c r="A907" s="66"/>
      <c r="B907" s="160"/>
      <c r="C907" s="160"/>
      <c r="D907" s="160"/>
      <c r="E907" s="66"/>
      <c r="F907" s="66"/>
      <c r="G907" s="66"/>
      <c r="H907" s="66"/>
      <c r="I907" s="66"/>
      <c r="J907" s="66"/>
    </row>
    <row r="908">
      <c r="A908" s="66"/>
      <c r="B908" s="160"/>
      <c r="C908" s="160"/>
      <c r="D908" s="160"/>
      <c r="E908" s="66"/>
      <c r="F908" s="66"/>
      <c r="G908" s="66"/>
      <c r="H908" s="66"/>
      <c r="I908" s="66"/>
      <c r="J908" s="66"/>
    </row>
    <row r="909">
      <c r="A909" s="66"/>
      <c r="B909" s="160"/>
      <c r="C909" s="160"/>
      <c r="D909" s="160"/>
      <c r="E909" s="66"/>
      <c r="F909" s="66"/>
      <c r="G909" s="66"/>
      <c r="H909" s="66"/>
      <c r="I909" s="66"/>
      <c r="J909" s="66"/>
    </row>
    <row r="910">
      <c r="A910" s="66"/>
      <c r="B910" s="160"/>
      <c r="C910" s="160"/>
      <c r="D910" s="160"/>
      <c r="E910" s="66"/>
      <c r="F910" s="66"/>
      <c r="G910" s="66"/>
      <c r="H910" s="66"/>
      <c r="I910" s="66"/>
      <c r="J910" s="66"/>
    </row>
    <row r="911">
      <c r="A911" s="66"/>
      <c r="B911" s="160"/>
      <c r="C911" s="160"/>
      <c r="D911" s="160"/>
      <c r="E911" s="66"/>
      <c r="F911" s="66"/>
      <c r="G911" s="66"/>
      <c r="H911" s="66"/>
      <c r="I911" s="66"/>
      <c r="J911" s="66"/>
    </row>
    <row r="912">
      <c r="A912" s="66"/>
      <c r="B912" s="160"/>
      <c r="C912" s="160"/>
      <c r="D912" s="160"/>
      <c r="E912" s="66"/>
      <c r="F912" s="66"/>
      <c r="G912" s="66"/>
      <c r="H912" s="66"/>
      <c r="I912" s="66"/>
      <c r="J912" s="66"/>
    </row>
    <row r="913">
      <c r="A913" s="66"/>
      <c r="B913" s="160"/>
      <c r="C913" s="160"/>
      <c r="D913" s="160"/>
      <c r="E913" s="66"/>
      <c r="F913" s="66"/>
      <c r="G913" s="66"/>
      <c r="H913" s="66"/>
      <c r="I913" s="66"/>
      <c r="J913" s="66"/>
    </row>
    <row r="914">
      <c r="A914" s="66"/>
      <c r="B914" s="160"/>
      <c r="C914" s="160"/>
      <c r="D914" s="160"/>
      <c r="E914" s="66"/>
      <c r="F914" s="66"/>
      <c r="G914" s="66"/>
      <c r="H914" s="66"/>
      <c r="I914" s="66"/>
      <c r="J914" s="66"/>
    </row>
    <row r="915">
      <c r="A915" s="66"/>
      <c r="B915" s="160"/>
      <c r="C915" s="160"/>
      <c r="D915" s="160"/>
      <c r="E915" s="66"/>
      <c r="F915" s="66"/>
      <c r="G915" s="66"/>
      <c r="H915" s="66"/>
      <c r="I915" s="66"/>
      <c r="J915" s="66"/>
    </row>
    <row r="916">
      <c r="A916" s="66"/>
      <c r="B916" s="160"/>
      <c r="C916" s="160"/>
      <c r="D916" s="160"/>
      <c r="E916" s="66"/>
      <c r="F916" s="66"/>
      <c r="G916" s="66"/>
      <c r="H916" s="66"/>
      <c r="I916" s="66"/>
      <c r="J916" s="66"/>
    </row>
    <row r="917">
      <c r="A917" s="66"/>
      <c r="B917" s="160"/>
      <c r="C917" s="160"/>
      <c r="D917" s="160"/>
      <c r="E917" s="66"/>
      <c r="F917" s="66"/>
      <c r="G917" s="66"/>
      <c r="H917" s="66"/>
      <c r="I917" s="66"/>
      <c r="J917" s="66"/>
    </row>
    <row r="918">
      <c r="A918" s="66"/>
      <c r="B918" s="160"/>
      <c r="C918" s="160"/>
      <c r="D918" s="160"/>
      <c r="E918" s="66"/>
      <c r="F918" s="66"/>
      <c r="G918" s="66"/>
      <c r="H918" s="66"/>
      <c r="I918" s="66"/>
      <c r="J918" s="66"/>
    </row>
    <row r="919">
      <c r="A919" s="66"/>
      <c r="B919" s="160"/>
      <c r="C919" s="160"/>
      <c r="D919" s="160"/>
      <c r="E919" s="66"/>
      <c r="F919" s="66"/>
      <c r="G919" s="66"/>
      <c r="H919" s="66"/>
      <c r="I919" s="66"/>
      <c r="J919" s="66"/>
    </row>
    <row r="920">
      <c r="A920" s="66"/>
      <c r="B920" s="160"/>
      <c r="C920" s="160"/>
      <c r="D920" s="160"/>
      <c r="E920" s="66"/>
      <c r="F920" s="66"/>
      <c r="G920" s="66"/>
      <c r="H920" s="66"/>
      <c r="I920" s="66"/>
      <c r="J920" s="66"/>
    </row>
    <row r="921">
      <c r="A921" s="66"/>
      <c r="B921" s="160"/>
      <c r="C921" s="160"/>
      <c r="D921" s="160"/>
      <c r="E921" s="66"/>
      <c r="F921" s="66"/>
      <c r="G921" s="66"/>
      <c r="H921" s="66"/>
      <c r="I921" s="66"/>
      <c r="J921" s="66"/>
    </row>
    <row r="922">
      <c r="A922" s="66"/>
      <c r="B922" s="160"/>
      <c r="C922" s="160"/>
      <c r="D922" s="160"/>
      <c r="E922" s="66"/>
      <c r="F922" s="66"/>
      <c r="G922" s="66"/>
      <c r="H922" s="66"/>
      <c r="I922" s="66"/>
      <c r="J922" s="66"/>
    </row>
    <row r="923">
      <c r="A923" s="66"/>
      <c r="B923" s="160"/>
      <c r="C923" s="160"/>
      <c r="D923" s="160"/>
      <c r="E923" s="66"/>
      <c r="F923" s="66"/>
      <c r="G923" s="66"/>
      <c r="H923" s="66"/>
      <c r="I923" s="66"/>
      <c r="J923" s="66"/>
    </row>
    <row r="924">
      <c r="A924" s="66"/>
      <c r="B924" s="160"/>
      <c r="C924" s="160"/>
      <c r="D924" s="160"/>
      <c r="E924" s="66"/>
      <c r="F924" s="66"/>
      <c r="G924" s="66"/>
      <c r="H924" s="66"/>
      <c r="I924" s="66"/>
      <c r="J924" s="66"/>
    </row>
    <row r="925">
      <c r="A925" s="66"/>
      <c r="B925" s="160"/>
      <c r="C925" s="160"/>
      <c r="D925" s="160"/>
      <c r="E925" s="66"/>
      <c r="F925" s="66"/>
      <c r="G925" s="66"/>
      <c r="H925" s="66"/>
      <c r="I925" s="66"/>
      <c r="J925" s="66"/>
    </row>
    <row r="926">
      <c r="A926" s="66"/>
      <c r="B926" s="160"/>
      <c r="C926" s="160"/>
      <c r="D926" s="160"/>
      <c r="E926" s="66"/>
      <c r="F926" s="66"/>
      <c r="G926" s="66"/>
      <c r="H926" s="66"/>
      <c r="I926" s="66"/>
      <c r="J926" s="66"/>
    </row>
    <row r="927">
      <c r="A927" s="66"/>
      <c r="B927" s="160"/>
      <c r="C927" s="160"/>
      <c r="D927" s="160"/>
      <c r="E927" s="66"/>
      <c r="F927" s="66"/>
      <c r="G927" s="66"/>
      <c r="H927" s="66"/>
      <c r="I927" s="66"/>
      <c r="J927" s="66"/>
    </row>
    <row r="928">
      <c r="A928" s="66"/>
      <c r="B928" s="160"/>
      <c r="C928" s="160"/>
      <c r="D928" s="160"/>
      <c r="E928" s="66"/>
      <c r="F928" s="66"/>
      <c r="G928" s="66"/>
      <c r="H928" s="66"/>
      <c r="I928" s="66"/>
      <c r="J928" s="66"/>
    </row>
    <row r="929">
      <c r="A929" s="66"/>
      <c r="B929" s="160"/>
      <c r="C929" s="160"/>
      <c r="D929" s="160"/>
      <c r="E929" s="66"/>
      <c r="F929" s="66"/>
      <c r="G929" s="66"/>
      <c r="H929" s="66"/>
      <c r="I929" s="66"/>
      <c r="J929" s="66"/>
    </row>
    <row r="930">
      <c r="A930" s="66"/>
      <c r="B930" s="160"/>
      <c r="C930" s="160"/>
      <c r="D930" s="160"/>
      <c r="E930" s="66"/>
      <c r="F930" s="66"/>
      <c r="G930" s="66"/>
      <c r="H930" s="66"/>
      <c r="I930" s="66"/>
      <c r="J930" s="66"/>
    </row>
    <row r="931">
      <c r="A931" s="66"/>
      <c r="B931" s="160"/>
      <c r="C931" s="160"/>
      <c r="D931" s="160"/>
      <c r="E931" s="66"/>
      <c r="F931" s="66"/>
      <c r="G931" s="66"/>
      <c r="H931" s="66"/>
      <c r="I931" s="66"/>
      <c r="J931" s="66"/>
    </row>
    <row r="932">
      <c r="A932" s="66"/>
      <c r="B932" s="160"/>
      <c r="C932" s="160"/>
      <c r="D932" s="160"/>
      <c r="E932" s="66"/>
      <c r="F932" s="66"/>
      <c r="G932" s="66"/>
      <c r="H932" s="66"/>
      <c r="I932" s="66"/>
      <c r="J932" s="66"/>
    </row>
    <row r="933">
      <c r="A933" s="66"/>
      <c r="B933" s="160"/>
      <c r="C933" s="160"/>
      <c r="D933" s="160"/>
      <c r="E933" s="66"/>
      <c r="F933" s="66"/>
      <c r="G933" s="66"/>
      <c r="H933" s="66"/>
      <c r="I933" s="66"/>
      <c r="J933" s="66"/>
    </row>
    <row r="934">
      <c r="A934" s="66"/>
      <c r="B934" s="160"/>
      <c r="C934" s="160"/>
      <c r="D934" s="160"/>
      <c r="E934" s="66"/>
      <c r="F934" s="66"/>
      <c r="G934" s="66"/>
      <c r="H934" s="66"/>
      <c r="I934" s="66"/>
      <c r="J934" s="66"/>
    </row>
    <row r="935">
      <c r="A935" s="66"/>
      <c r="B935" s="160"/>
      <c r="C935" s="160"/>
      <c r="D935" s="160"/>
      <c r="E935" s="66"/>
      <c r="F935" s="66"/>
      <c r="G935" s="66"/>
      <c r="H935" s="66"/>
      <c r="I935" s="66"/>
      <c r="J935" s="66"/>
    </row>
    <row r="936">
      <c r="A936" s="66"/>
      <c r="B936" s="160"/>
      <c r="C936" s="160"/>
      <c r="D936" s="160"/>
      <c r="E936" s="66"/>
      <c r="F936" s="66"/>
      <c r="G936" s="66"/>
      <c r="H936" s="66"/>
      <c r="I936" s="66"/>
      <c r="J936" s="66"/>
    </row>
    <row r="937">
      <c r="A937" s="66"/>
      <c r="B937" s="160"/>
      <c r="C937" s="160"/>
      <c r="D937" s="160"/>
      <c r="E937" s="66"/>
      <c r="F937" s="66"/>
      <c r="G937" s="66"/>
      <c r="H937" s="66"/>
      <c r="I937" s="66"/>
      <c r="J937" s="66"/>
    </row>
    <row r="938">
      <c r="A938" s="66"/>
      <c r="B938" s="160"/>
      <c r="C938" s="160"/>
      <c r="D938" s="160"/>
      <c r="E938" s="66"/>
      <c r="F938" s="66"/>
      <c r="G938" s="66"/>
      <c r="H938" s="66"/>
      <c r="I938" s="66"/>
      <c r="J938" s="66"/>
    </row>
    <row r="939">
      <c r="A939" s="66"/>
      <c r="B939" s="160"/>
      <c r="C939" s="160"/>
      <c r="D939" s="160"/>
      <c r="E939" s="66"/>
      <c r="F939" s="66"/>
      <c r="G939" s="66"/>
      <c r="H939" s="66"/>
      <c r="I939" s="66"/>
      <c r="J939" s="66"/>
    </row>
    <row r="940">
      <c r="A940" s="66"/>
      <c r="B940" s="160"/>
      <c r="C940" s="160"/>
      <c r="D940" s="160"/>
      <c r="E940" s="66"/>
      <c r="F940" s="66"/>
      <c r="G940" s="66"/>
      <c r="H940" s="66"/>
      <c r="I940" s="66"/>
      <c r="J940" s="66"/>
    </row>
    <row r="941">
      <c r="A941" s="66"/>
      <c r="B941" s="160"/>
      <c r="C941" s="160"/>
      <c r="D941" s="160"/>
      <c r="E941" s="66"/>
      <c r="F941" s="66"/>
      <c r="G941" s="66"/>
      <c r="H941" s="66"/>
      <c r="I941" s="66"/>
      <c r="J941" s="66"/>
    </row>
    <row r="942">
      <c r="A942" s="66"/>
      <c r="B942" s="160"/>
      <c r="C942" s="160"/>
      <c r="D942" s="160"/>
      <c r="E942" s="66"/>
      <c r="F942" s="66"/>
      <c r="G942" s="66"/>
      <c r="H942" s="66"/>
      <c r="I942" s="66"/>
      <c r="J942" s="66"/>
    </row>
    <row r="943">
      <c r="A943" s="66"/>
      <c r="B943" s="160"/>
      <c r="C943" s="160"/>
      <c r="D943" s="160"/>
      <c r="E943" s="66"/>
      <c r="F943" s="66"/>
      <c r="G943" s="66"/>
      <c r="H943" s="66"/>
      <c r="I943" s="66"/>
      <c r="J943" s="66"/>
    </row>
    <row r="944">
      <c r="A944" s="66"/>
      <c r="B944" s="160"/>
      <c r="C944" s="160"/>
      <c r="D944" s="160"/>
      <c r="E944" s="66"/>
      <c r="F944" s="66"/>
      <c r="G944" s="66"/>
      <c r="H944" s="66"/>
      <c r="I944" s="66"/>
      <c r="J944" s="66"/>
    </row>
    <row r="945">
      <c r="A945" s="66"/>
      <c r="B945" s="160"/>
      <c r="C945" s="160"/>
      <c r="D945" s="160"/>
      <c r="E945" s="66"/>
      <c r="F945" s="66"/>
      <c r="G945" s="66"/>
      <c r="H945" s="66"/>
      <c r="I945" s="66"/>
      <c r="J945" s="66"/>
    </row>
    <row r="946">
      <c r="A946" s="66"/>
      <c r="B946" s="160"/>
      <c r="C946" s="160"/>
      <c r="D946" s="160"/>
      <c r="E946" s="66"/>
      <c r="F946" s="66"/>
      <c r="G946" s="66"/>
      <c r="H946" s="66"/>
      <c r="I946" s="66"/>
      <c r="J946" s="66"/>
    </row>
    <row r="947">
      <c r="A947" s="66"/>
      <c r="B947" s="160"/>
      <c r="C947" s="160"/>
      <c r="D947" s="160"/>
      <c r="E947" s="66"/>
      <c r="F947" s="66"/>
      <c r="G947" s="66"/>
      <c r="H947" s="66"/>
      <c r="I947" s="66"/>
      <c r="J947" s="66"/>
    </row>
    <row r="948">
      <c r="A948" s="66"/>
      <c r="B948" s="160"/>
      <c r="C948" s="160"/>
      <c r="D948" s="160"/>
      <c r="E948" s="66"/>
      <c r="F948" s="66"/>
      <c r="G948" s="66"/>
      <c r="H948" s="66"/>
      <c r="I948" s="66"/>
      <c r="J948" s="66"/>
    </row>
    <row r="949">
      <c r="A949" s="66"/>
      <c r="B949" s="160"/>
      <c r="C949" s="160"/>
      <c r="D949" s="160"/>
      <c r="E949" s="66"/>
      <c r="F949" s="66"/>
      <c r="G949" s="66"/>
      <c r="H949" s="66"/>
      <c r="I949" s="66"/>
      <c r="J949" s="66"/>
    </row>
    <row r="950">
      <c r="A950" s="66"/>
      <c r="B950" s="160"/>
      <c r="C950" s="160"/>
      <c r="D950" s="160"/>
      <c r="E950" s="66"/>
      <c r="F950" s="66"/>
      <c r="G950" s="66"/>
      <c r="H950" s="66"/>
      <c r="I950" s="66"/>
      <c r="J950" s="66"/>
    </row>
    <row r="951">
      <c r="A951" s="66"/>
      <c r="B951" s="160"/>
      <c r="C951" s="160"/>
      <c r="D951" s="160"/>
      <c r="E951" s="66"/>
      <c r="F951" s="66"/>
      <c r="G951" s="66"/>
      <c r="H951" s="66"/>
      <c r="I951" s="66"/>
      <c r="J951" s="66"/>
    </row>
    <row r="952">
      <c r="A952" s="66"/>
      <c r="B952" s="160"/>
      <c r="C952" s="160"/>
      <c r="D952" s="160"/>
      <c r="E952" s="66"/>
      <c r="F952" s="66"/>
      <c r="G952" s="66"/>
      <c r="H952" s="66"/>
      <c r="I952" s="66"/>
      <c r="J952" s="66"/>
    </row>
    <row r="953">
      <c r="A953" s="66"/>
      <c r="B953" s="160"/>
      <c r="C953" s="160"/>
      <c r="D953" s="160"/>
      <c r="E953" s="66"/>
      <c r="F953" s="66"/>
      <c r="G953" s="66"/>
      <c r="H953" s="66"/>
      <c r="I953" s="66"/>
      <c r="J953" s="66"/>
    </row>
    <row r="954">
      <c r="A954" s="66"/>
      <c r="B954" s="160"/>
      <c r="C954" s="160"/>
      <c r="D954" s="160"/>
      <c r="E954" s="66"/>
      <c r="F954" s="66"/>
      <c r="G954" s="66"/>
      <c r="H954" s="66"/>
      <c r="I954" s="66"/>
      <c r="J954" s="66"/>
    </row>
    <row r="955">
      <c r="A955" s="66"/>
      <c r="B955" s="160"/>
      <c r="C955" s="160"/>
      <c r="D955" s="160"/>
      <c r="E955" s="66"/>
      <c r="F955" s="66"/>
      <c r="G955" s="66"/>
      <c r="H955" s="66"/>
      <c r="I955" s="66"/>
      <c r="J955" s="66"/>
    </row>
    <row r="956">
      <c r="A956" s="66"/>
      <c r="B956" s="160"/>
      <c r="C956" s="160"/>
      <c r="D956" s="160"/>
      <c r="E956" s="66"/>
      <c r="F956" s="66"/>
      <c r="G956" s="66"/>
      <c r="H956" s="66"/>
      <c r="I956" s="66"/>
      <c r="J956" s="66"/>
    </row>
    <row r="957">
      <c r="A957" s="66"/>
      <c r="B957" s="160"/>
      <c r="C957" s="160"/>
      <c r="D957" s="160"/>
      <c r="E957" s="66"/>
      <c r="F957" s="66"/>
      <c r="G957" s="66"/>
      <c r="H957" s="66"/>
      <c r="I957" s="66"/>
      <c r="J957" s="66"/>
    </row>
    <row r="958">
      <c r="A958" s="66"/>
      <c r="B958" s="160"/>
      <c r="C958" s="160"/>
      <c r="D958" s="160"/>
      <c r="E958" s="66"/>
      <c r="F958" s="66"/>
      <c r="G958" s="66"/>
      <c r="H958" s="66"/>
      <c r="I958" s="66"/>
      <c r="J958" s="66"/>
    </row>
    <row r="959">
      <c r="A959" s="66"/>
      <c r="B959" s="160"/>
      <c r="C959" s="160"/>
      <c r="D959" s="160"/>
      <c r="E959" s="66"/>
      <c r="F959" s="66"/>
      <c r="G959" s="66"/>
      <c r="H959" s="66"/>
      <c r="I959" s="66"/>
      <c r="J959" s="66"/>
    </row>
    <row r="960">
      <c r="A960" s="66"/>
      <c r="B960" s="160"/>
      <c r="C960" s="160"/>
      <c r="D960" s="160"/>
      <c r="E960" s="66"/>
      <c r="F960" s="66"/>
      <c r="G960" s="66"/>
      <c r="H960" s="66"/>
      <c r="I960" s="66"/>
      <c r="J960" s="66"/>
    </row>
    <row r="961">
      <c r="A961" s="66"/>
      <c r="B961" s="160"/>
      <c r="C961" s="160"/>
      <c r="D961" s="160"/>
      <c r="E961" s="66"/>
      <c r="F961" s="66"/>
      <c r="G961" s="66"/>
      <c r="H961" s="66"/>
      <c r="I961" s="66"/>
      <c r="J961" s="66"/>
    </row>
    <row r="962">
      <c r="A962" s="66"/>
      <c r="B962" s="160"/>
      <c r="C962" s="160"/>
      <c r="D962" s="160"/>
      <c r="E962" s="66"/>
      <c r="F962" s="66"/>
      <c r="G962" s="66"/>
      <c r="H962" s="66"/>
      <c r="I962" s="66"/>
      <c r="J962" s="66"/>
    </row>
    <row r="963">
      <c r="A963" s="66"/>
      <c r="B963" s="160"/>
      <c r="C963" s="160"/>
      <c r="D963" s="160"/>
      <c r="E963" s="66"/>
      <c r="F963" s="66"/>
      <c r="G963" s="66"/>
      <c r="H963" s="66"/>
      <c r="I963" s="66"/>
      <c r="J963" s="66"/>
    </row>
    <row r="964">
      <c r="A964" s="66"/>
      <c r="B964" s="160"/>
      <c r="C964" s="160"/>
      <c r="D964" s="160"/>
      <c r="E964" s="66"/>
      <c r="F964" s="66"/>
      <c r="G964" s="66"/>
      <c r="H964" s="66"/>
      <c r="I964" s="66"/>
      <c r="J964" s="66"/>
    </row>
    <row r="965">
      <c r="A965" s="66"/>
      <c r="B965" s="160"/>
      <c r="C965" s="160"/>
      <c r="D965" s="160"/>
      <c r="E965" s="66"/>
      <c r="F965" s="66"/>
      <c r="G965" s="66"/>
      <c r="H965" s="66"/>
      <c r="I965" s="66"/>
      <c r="J965" s="66"/>
    </row>
    <row r="966">
      <c r="A966" s="66"/>
      <c r="B966" s="160"/>
      <c r="C966" s="160"/>
      <c r="D966" s="160"/>
      <c r="E966" s="66"/>
      <c r="F966" s="66"/>
      <c r="G966" s="66"/>
      <c r="H966" s="66"/>
      <c r="I966" s="66"/>
      <c r="J966" s="66"/>
    </row>
    <row r="967">
      <c r="A967" s="66"/>
      <c r="B967" s="160"/>
      <c r="C967" s="160"/>
      <c r="D967" s="160"/>
      <c r="E967" s="66"/>
      <c r="F967" s="66"/>
      <c r="G967" s="66"/>
      <c r="H967" s="66"/>
      <c r="I967" s="66"/>
      <c r="J967" s="66"/>
    </row>
    <row r="968">
      <c r="A968" s="66"/>
      <c r="B968" s="160"/>
      <c r="C968" s="160"/>
      <c r="D968" s="160"/>
      <c r="E968" s="66"/>
      <c r="F968" s="66"/>
      <c r="G968" s="66"/>
      <c r="H968" s="66"/>
      <c r="I968" s="66"/>
      <c r="J968" s="66"/>
    </row>
    <row r="969">
      <c r="A969" s="66"/>
      <c r="B969" s="160"/>
      <c r="C969" s="160"/>
      <c r="D969" s="160"/>
      <c r="E969" s="66"/>
      <c r="F969" s="66"/>
      <c r="G969" s="66"/>
      <c r="H969" s="66"/>
      <c r="I969" s="66"/>
      <c r="J969" s="66"/>
    </row>
    <row r="970">
      <c r="A970" s="66"/>
      <c r="B970" s="160"/>
      <c r="C970" s="160"/>
      <c r="D970" s="160"/>
      <c r="E970" s="66"/>
      <c r="F970" s="66"/>
      <c r="G970" s="66"/>
      <c r="H970" s="66"/>
      <c r="I970" s="66"/>
      <c r="J970" s="66"/>
    </row>
    <row r="971">
      <c r="A971" s="66"/>
      <c r="B971" s="160"/>
      <c r="C971" s="160"/>
      <c r="D971" s="160"/>
      <c r="E971" s="66"/>
      <c r="F971" s="66"/>
      <c r="G971" s="66"/>
      <c r="H971" s="66"/>
      <c r="I971" s="66"/>
      <c r="J971" s="66"/>
    </row>
    <row r="972">
      <c r="A972" s="66"/>
      <c r="B972" s="160"/>
      <c r="C972" s="160"/>
      <c r="D972" s="160"/>
      <c r="E972" s="66"/>
      <c r="F972" s="66"/>
      <c r="G972" s="66"/>
      <c r="H972" s="66"/>
      <c r="I972" s="66"/>
      <c r="J972" s="66"/>
    </row>
    <row r="973">
      <c r="A973" s="66"/>
      <c r="B973" s="160"/>
      <c r="C973" s="160"/>
      <c r="D973" s="160"/>
      <c r="E973" s="66"/>
      <c r="F973" s="66"/>
      <c r="G973" s="66"/>
      <c r="H973" s="66"/>
      <c r="I973" s="66"/>
      <c r="J973" s="66"/>
    </row>
    <row r="974">
      <c r="A974" s="66"/>
      <c r="B974" s="160"/>
      <c r="C974" s="160"/>
      <c r="D974" s="160"/>
      <c r="E974" s="66"/>
      <c r="F974" s="66"/>
      <c r="G974" s="66"/>
      <c r="H974" s="66"/>
      <c r="I974" s="66"/>
      <c r="J974" s="66"/>
    </row>
    <row r="975">
      <c r="A975" s="66"/>
      <c r="B975" s="160"/>
      <c r="C975" s="160"/>
      <c r="D975" s="160"/>
      <c r="E975" s="66"/>
      <c r="F975" s="66"/>
      <c r="G975" s="66"/>
      <c r="H975" s="66"/>
      <c r="I975" s="66"/>
      <c r="J975" s="66"/>
    </row>
    <row r="976">
      <c r="A976" s="66"/>
      <c r="B976" s="160"/>
      <c r="C976" s="160"/>
      <c r="D976" s="160"/>
      <c r="E976" s="66"/>
      <c r="F976" s="66"/>
      <c r="G976" s="66"/>
      <c r="H976" s="66"/>
      <c r="I976" s="66"/>
      <c r="J976" s="66"/>
    </row>
    <row r="977">
      <c r="A977" s="66"/>
      <c r="B977" s="160"/>
      <c r="C977" s="160"/>
      <c r="D977" s="160"/>
      <c r="E977" s="66"/>
      <c r="F977" s="66"/>
      <c r="G977" s="66"/>
      <c r="H977" s="66"/>
      <c r="I977" s="66"/>
      <c r="J977" s="66"/>
    </row>
    <row r="978">
      <c r="A978" s="66"/>
      <c r="B978" s="160"/>
      <c r="C978" s="160"/>
      <c r="D978" s="160"/>
      <c r="E978" s="66"/>
      <c r="F978" s="66"/>
      <c r="G978" s="66"/>
      <c r="H978" s="66"/>
      <c r="I978" s="66"/>
      <c r="J978" s="66"/>
    </row>
    <row r="979">
      <c r="A979" s="66"/>
      <c r="B979" s="160"/>
      <c r="C979" s="160"/>
      <c r="D979" s="160"/>
      <c r="E979" s="66"/>
      <c r="F979" s="66"/>
      <c r="G979" s="66"/>
      <c r="H979" s="66"/>
      <c r="I979" s="66"/>
      <c r="J979" s="66"/>
    </row>
    <row r="980">
      <c r="A980" s="66"/>
      <c r="B980" s="160"/>
      <c r="C980" s="160"/>
      <c r="D980" s="160"/>
      <c r="E980" s="66"/>
      <c r="F980" s="66"/>
      <c r="G980" s="66"/>
      <c r="H980" s="66"/>
      <c r="I980" s="66"/>
      <c r="J980" s="66"/>
    </row>
    <row r="981">
      <c r="A981" s="66"/>
      <c r="B981" s="160"/>
      <c r="C981" s="160"/>
      <c r="D981" s="160"/>
      <c r="E981" s="66"/>
      <c r="F981" s="66"/>
      <c r="G981" s="66"/>
      <c r="H981" s="66"/>
      <c r="I981" s="66"/>
      <c r="J981" s="66"/>
    </row>
    <row r="982">
      <c r="A982" s="66"/>
      <c r="B982" s="160"/>
      <c r="C982" s="160"/>
      <c r="D982" s="160"/>
      <c r="E982" s="66"/>
      <c r="F982" s="66"/>
      <c r="G982" s="66"/>
      <c r="H982" s="66"/>
      <c r="I982" s="66"/>
      <c r="J982" s="66"/>
    </row>
    <row r="983">
      <c r="A983" s="66"/>
      <c r="B983" s="160"/>
      <c r="C983" s="160"/>
      <c r="D983" s="160"/>
      <c r="E983" s="66"/>
      <c r="F983" s="66"/>
      <c r="G983" s="66"/>
      <c r="H983" s="66"/>
      <c r="I983" s="66"/>
      <c r="J983" s="66"/>
    </row>
    <row r="984">
      <c r="A984" s="66"/>
      <c r="B984" s="160"/>
      <c r="C984" s="160"/>
      <c r="D984" s="160"/>
      <c r="E984" s="66"/>
      <c r="F984" s="66"/>
      <c r="G984" s="66"/>
      <c r="H984" s="66"/>
      <c r="I984" s="66"/>
      <c r="J984" s="66"/>
    </row>
    <row r="985">
      <c r="A985" s="66"/>
      <c r="B985" s="160"/>
      <c r="C985" s="160"/>
      <c r="D985" s="160"/>
      <c r="E985" s="66"/>
      <c r="F985" s="66"/>
      <c r="G985" s="66"/>
      <c r="H985" s="66"/>
      <c r="I985" s="66"/>
      <c r="J985" s="66"/>
    </row>
    <row r="986">
      <c r="A986" s="66"/>
      <c r="B986" s="160"/>
      <c r="C986" s="160"/>
      <c r="D986" s="160"/>
      <c r="E986" s="66"/>
      <c r="F986" s="66"/>
      <c r="G986" s="66"/>
      <c r="H986" s="66"/>
      <c r="I986" s="66"/>
      <c r="J986" s="66"/>
    </row>
    <row r="987">
      <c r="A987" s="66"/>
      <c r="B987" s="160"/>
      <c r="C987" s="160"/>
      <c r="D987" s="160"/>
      <c r="E987" s="66"/>
      <c r="F987" s="66"/>
      <c r="G987" s="66"/>
      <c r="H987" s="66"/>
      <c r="I987" s="66"/>
      <c r="J987" s="66"/>
    </row>
    <row r="988">
      <c r="A988" s="66"/>
      <c r="B988" s="160"/>
      <c r="C988" s="160"/>
      <c r="D988" s="160"/>
      <c r="E988" s="66"/>
      <c r="F988" s="66"/>
      <c r="G988" s="66"/>
      <c r="H988" s="66"/>
      <c r="I988" s="66"/>
      <c r="J988" s="66"/>
    </row>
    <row r="989">
      <c r="A989" s="66"/>
      <c r="B989" s="160"/>
      <c r="C989" s="160"/>
      <c r="D989" s="160"/>
      <c r="E989" s="66"/>
      <c r="F989" s="66"/>
      <c r="G989" s="66"/>
      <c r="H989" s="66"/>
      <c r="I989" s="66"/>
      <c r="J989" s="66"/>
    </row>
    <row r="990">
      <c r="A990" s="66"/>
      <c r="B990" s="160"/>
      <c r="C990" s="160"/>
      <c r="D990" s="160"/>
      <c r="E990" s="66"/>
      <c r="F990" s="66"/>
      <c r="G990" s="66"/>
      <c r="H990" s="66"/>
      <c r="I990" s="66"/>
      <c r="J990" s="66"/>
    </row>
    <row r="991">
      <c r="A991" s="66"/>
      <c r="B991" s="160"/>
      <c r="C991" s="160"/>
      <c r="D991" s="160"/>
      <c r="E991" s="66"/>
      <c r="F991" s="66"/>
      <c r="G991" s="66"/>
      <c r="H991" s="66"/>
      <c r="I991" s="66"/>
      <c r="J991" s="66"/>
    </row>
    <row r="992">
      <c r="A992" s="66"/>
      <c r="B992" s="160"/>
      <c r="C992" s="160"/>
      <c r="D992" s="160"/>
      <c r="E992" s="66"/>
      <c r="F992" s="66"/>
      <c r="G992" s="66"/>
      <c r="H992" s="66"/>
      <c r="I992" s="66"/>
      <c r="J992" s="66"/>
    </row>
    <row r="993">
      <c r="A993" s="66"/>
      <c r="B993" s="160"/>
      <c r="C993" s="160"/>
      <c r="D993" s="160"/>
      <c r="E993" s="66"/>
      <c r="F993" s="66"/>
      <c r="G993" s="66"/>
      <c r="H993" s="66"/>
      <c r="I993" s="66"/>
      <c r="J993" s="66"/>
    </row>
    <row r="994">
      <c r="A994" s="66"/>
      <c r="B994" s="160"/>
      <c r="C994" s="160"/>
      <c r="D994" s="160"/>
      <c r="E994" s="66"/>
      <c r="F994" s="66"/>
      <c r="G994" s="66"/>
      <c r="H994" s="66"/>
      <c r="I994" s="66"/>
      <c r="J994" s="66"/>
    </row>
    <row r="995">
      <c r="A995" s="66"/>
      <c r="B995" s="160"/>
      <c r="C995" s="160"/>
      <c r="D995" s="160"/>
      <c r="E995" s="66"/>
      <c r="F995" s="66"/>
      <c r="G995" s="66"/>
      <c r="H995" s="66"/>
      <c r="I995" s="66"/>
      <c r="J995" s="66"/>
    </row>
    <row r="996">
      <c r="A996" s="66"/>
      <c r="B996" s="160"/>
      <c r="C996" s="160"/>
      <c r="D996" s="160"/>
      <c r="E996" s="66"/>
      <c r="F996" s="66"/>
      <c r="G996" s="66"/>
      <c r="H996" s="66"/>
      <c r="I996" s="66"/>
      <c r="J996" s="66"/>
    </row>
    <row r="997">
      <c r="A997" s="66"/>
      <c r="B997" s="160"/>
      <c r="C997" s="160"/>
      <c r="D997" s="160"/>
      <c r="E997" s="66"/>
      <c r="F997" s="66"/>
      <c r="G997" s="66"/>
      <c r="H997" s="66"/>
      <c r="I997" s="66"/>
      <c r="J997" s="66"/>
    </row>
    <row r="998">
      <c r="A998" s="66"/>
      <c r="B998" s="160"/>
      <c r="C998" s="160"/>
      <c r="D998" s="160"/>
      <c r="E998" s="66"/>
      <c r="F998" s="66"/>
      <c r="G998" s="66"/>
      <c r="H998" s="66"/>
      <c r="I998" s="66"/>
      <c r="J998" s="66"/>
    </row>
    <row r="999">
      <c r="A999" s="66"/>
      <c r="B999" s="160"/>
      <c r="C999" s="160"/>
      <c r="D999" s="160"/>
      <c r="E999" s="66"/>
      <c r="F999" s="66"/>
      <c r="G999" s="66"/>
      <c r="H999" s="66"/>
      <c r="I999" s="66"/>
      <c r="J999" s="66"/>
    </row>
    <row r="1000">
      <c r="A1000" s="66"/>
      <c r="B1000" s="160"/>
      <c r="C1000" s="160"/>
      <c r="D1000" s="160"/>
      <c r="E1000" s="66"/>
      <c r="F1000" s="66"/>
      <c r="G1000" s="66"/>
      <c r="H1000" s="66"/>
      <c r="I1000" s="66"/>
      <c r="J1000" s="66"/>
    </row>
    <row r="1001">
      <c r="A1001" s="66"/>
      <c r="B1001" s="160"/>
      <c r="C1001" s="160"/>
      <c r="D1001" s="160"/>
      <c r="E1001" s="66"/>
      <c r="F1001" s="66"/>
      <c r="G1001" s="66"/>
      <c r="H1001" s="66"/>
      <c r="I1001" s="66"/>
      <c r="J1001" s="66"/>
    </row>
    <row r="1002">
      <c r="A1002" s="66"/>
      <c r="B1002" s="160"/>
      <c r="C1002" s="160"/>
      <c r="D1002" s="160"/>
      <c r="E1002" s="66"/>
      <c r="F1002" s="66"/>
      <c r="G1002" s="66"/>
      <c r="H1002" s="66"/>
      <c r="I1002" s="66"/>
      <c r="J1002" s="66"/>
    </row>
    <row r="1003">
      <c r="A1003" s="66"/>
      <c r="B1003" s="160"/>
      <c r="C1003" s="160"/>
      <c r="D1003" s="160"/>
      <c r="E1003" s="66"/>
      <c r="F1003" s="66"/>
      <c r="G1003" s="66"/>
      <c r="H1003" s="66"/>
      <c r="I1003" s="66"/>
      <c r="J1003" s="66"/>
    </row>
    <row r="1004">
      <c r="A1004" s="66"/>
      <c r="B1004" s="160"/>
      <c r="C1004" s="160"/>
      <c r="D1004" s="160"/>
      <c r="E1004" s="66"/>
      <c r="F1004" s="66"/>
      <c r="G1004" s="66"/>
      <c r="H1004" s="66"/>
      <c r="I1004" s="66"/>
      <c r="J1004" s="66"/>
    </row>
  </sheetData>
  <mergeCells count="7">
    <mergeCell ref="A1:A2"/>
    <mergeCell ref="B1:D1"/>
    <mergeCell ref="E1:E2"/>
    <mergeCell ref="F1:F2"/>
    <mergeCell ref="G1:G2"/>
    <mergeCell ref="H1:H2"/>
    <mergeCell ref="I1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3.75"/>
  </cols>
  <sheetData>
    <row r="1">
      <c r="A1" s="161" t="s">
        <v>358</v>
      </c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162" t="s">
        <v>67</v>
      </c>
      <c r="B2" s="162" t="s">
        <v>359</v>
      </c>
      <c r="C2" s="162" t="s">
        <v>360</v>
      </c>
      <c r="D2" s="162" t="s">
        <v>361</v>
      </c>
      <c r="E2" s="162" t="s">
        <v>362</v>
      </c>
      <c r="F2" s="162" t="s">
        <v>363</v>
      </c>
      <c r="G2" s="162" t="s">
        <v>73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163">
        <v>1.0</v>
      </c>
      <c r="B3" s="163" t="s">
        <v>94</v>
      </c>
      <c r="C3" s="163" t="s">
        <v>364</v>
      </c>
      <c r="D3" s="163" t="s">
        <v>364</v>
      </c>
      <c r="E3" s="164" t="s">
        <v>365</v>
      </c>
      <c r="F3" s="165" t="s">
        <v>366</v>
      </c>
      <c r="G3" s="164" t="s">
        <v>367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166">
        <v>2.0</v>
      </c>
      <c r="B4" s="166" t="s">
        <v>38</v>
      </c>
      <c r="C4" s="166" t="s">
        <v>100</v>
      </c>
      <c r="D4" s="166" t="s">
        <v>364</v>
      </c>
      <c r="E4" s="167" t="s">
        <v>368</v>
      </c>
      <c r="F4" s="165" t="s">
        <v>366</v>
      </c>
      <c r="G4" s="168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169">
        <v>3.0</v>
      </c>
      <c r="B5" s="170"/>
      <c r="C5" s="169" t="s">
        <v>105</v>
      </c>
      <c r="D5" s="169" t="s">
        <v>364</v>
      </c>
      <c r="E5" s="171" t="s">
        <v>369</v>
      </c>
      <c r="F5" s="165" t="s">
        <v>366</v>
      </c>
      <c r="G5" s="172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169">
        <v>4.0</v>
      </c>
      <c r="B6" s="170"/>
      <c r="C6" s="169" t="s">
        <v>108</v>
      </c>
      <c r="D6" s="169" t="s">
        <v>364</v>
      </c>
      <c r="E6" s="171" t="s">
        <v>370</v>
      </c>
      <c r="F6" s="165" t="s">
        <v>366</v>
      </c>
      <c r="G6" s="172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169">
        <v>5.0</v>
      </c>
      <c r="B7" s="170"/>
      <c r="C7" s="169" t="s">
        <v>112</v>
      </c>
      <c r="D7" s="169" t="s">
        <v>364</v>
      </c>
      <c r="E7" s="171" t="s">
        <v>371</v>
      </c>
      <c r="F7" s="173" t="s">
        <v>372</v>
      </c>
      <c r="G7" s="171" t="s">
        <v>373</v>
      </c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169">
        <v>6.0</v>
      </c>
      <c r="B8" s="170"/>
      <c r="C8" s="169" t="s">
        <v>116</v>
      </c>
      <c r="D8" s="169" t="s">
        <v>364</v>
      </c>
      <c r="E8" s="171" t="s">
        <v>374</v>
      </c>
      <c r="F8" s="165" t="s">
        <v>366</v>
      </c>
      <c r="G8" s="171" t="s">
        <v>375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169">
        <v>7.0</v>
      </c>
      <c r="B9" s="170"/>
      <c r="C9" s="169" t="s">
        <v>120</v>
      </c>
      <c r="D9" s="169" t="s">
        <v>364</v>
      </c>
      <c r="E9" s="171" t="s">
        <v>376</v>
      </c>
      <c r="F9" s="165" t="s">
        <v>366</v>
      </c>
      <c r="G9" s="172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169">
        <v>8.0</v>
      </c>
      <c r="B10" s="170"/>
      <c r="C10" s="169" t="s">
        <v>126</v>
      </c>
      <c r="D10" s="169" t="s">
        <v>364</v>
      </c>
      <c r="E10" s="171" t="s">
        <v>377</v>
      </c>
      <c r="F10" s="165" t="s">
        <v>366</v>
      </c>
      <c r="G10" s="172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174">
        <v>9.0</v>
      </c>
      <c r="B11" s="174" t="s">
        <v>39</v>
      </c>
      <c r="C11" s="174" t="s">
        <v>130</v>
      </c>
      <c r="D11" s="174" t="s">
        <v>364</v>
      </c>
      <c r="E11" s="175" t="s">
        <v>378</v>
      </c>
      <c r="F11" s="173" t="s">
        <v>372</v>
      </c>
      <c r="G11" s="175" t="s">
        <v>379</v>
      </c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169">
        <v>10.0</v>
      </c>
      <c r="B12" s="170"/>
      <c r="C12" s="169" t="s">
        <v>135</v>
      </c>
      <c r="D12" s="169" t="s">
        <v>364</v>
      </c>
      <c r="E12" s="171" t="s">
        <v>380</v>
      </c>
      <c r="F12" s="165" t="s">
        <v>366</v>
      </c>
      <c r="G12" s="171" t="s">
        <v>381</v>
      </c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169">
        <v>11.0</v>
      </c>
      <c r="B13" s="170"/>
      <c r="C13" s="169" t="s">
        <v>140</v>
      </c>
      <c r="D13" s="169" t="s">
        <v>364</v>
      </c>
      <c r="E13" s="171" t="s">
        <v>382</v>
      </c>
      <c r="F13" s="165" t="s">
        <v>366</v>
      </c>
      <c r="G13" s="172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169">
        <v>12.0</v>
      </c>
      <c r="B14" s="170"/>
      <c r="C14" s="169" t="s">
        <v>142</v>
      </c>
      <c r="D14" s="169" t="s">
        <v>364</v>
      </c>
      <c r="E14" s="171" t="s">
        <v>383</v>
      </c>
      <c r="F14" s="165" t="s">
        <v>366</v>
      </c>
      <c r="G14" s="172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169">
        <v>13.0</v>
      </c>
      <c r="B15" s="170"/>
      <c r="C15" s="169" t="s">
        <v>146</v>
      </c>
      <c r="D15" s="169" t="s">
        <v>364</v>
      </c>
      <c r="E15" s="171" t="s">
        <v>384</v>
      </c>
      <c r="F15" s="176" t="s">
        <v>385</v>
      </c>
      <c r="G15" s="171" t="s">
        <v>386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177">
        <v>14.0</v>
      </c>
      <c r="B16" s="177" t="s">
        <v>387</v>
      </c>
      <c r="C16" s="177" t="s">
        <v>150</v>
      </c>
      <c r="D16" s="177" t="s">
        <v>388</v>
      </c>
      <c r="E16" s="178" t="s">
        <v>389</v>
      </c>
      <c r="F16" s="165" t="s">
        <v>366</v>
      </c>
      <c r="G16" s="179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169">
        <v>15.0</v>
      </c>
      <c r="B17" s="170"/>
      <c r="C17" s="170"/>
      <c r="D17" s="169" t="s">
        <v>390</v>
      </c>
      <c r="E17" s="171" t="s">
        <v>391</v>
      </c>
      <c r="F17" s="165" t="s">
        <v>366</v>
      </c>
      <c r="G17" s="172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169">
        <v>16.0</v>
      </c>
      <c r="B18" s="170"/>
      <c r="C18" s="170"/>
      <c r="D18" s="169" t="s">
        <v>392</v>
      </c>
      <c r="E18" s="171" t="s">
        <v>393</v>
      </c>
      <c r="F18" s="165" t="s">
        <v>366</v>
      </c>
      <c r="G18" s="172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169">
        <v>17.0</v>
      </c>
      <c r="B19" s="170"/>
      <c r="C19" s="170"/>
      <c r="D19" s="169" t="s">
        <v>394</v>
      </c>
      <c r="E19" s="171" t="s">
        <v>395</v>
      </c>
      <c r="F19" s="165" t="s">
        <v>366</v>
      </c>
      <c r="G19" s="172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169">
        <v>18.0</v>
      </c>
      <c r="B20" s="170"/>
      <c r="C20" s="170"/>
      <c r="D20" s="169" t="s">
        <v>396</v>
      </c>
      <c r="E20" s="171" t="s">
        <v>397</v>
      </c>
      <c r="F20" s="173" t="s">
        <v>372</v>
      </c>
      <c r="G20" s="171" t="s">
        <v>379</v>
      </c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169">
        <v>19.0</v>
      </c>
      <c r="B21" s="170"/>
      <c r="C21" s="169" t="s">
        <v>154</v>
      </c>
      <c r="D21" s="169" t="s">
        <v>364</v>
      </c>
      <c r="E21" s="171" t="s">
        <v>398</v>
      </c>
      <c r="F21" s="176" t="s">
        <v>385</v>
      </c>
      <c r="G21" s="171" t="s">
        <v>399</v>
      </c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169">
        <v>20.0</v>
      </c>
      <c r="B22" s="170"/>
      <c r="C22" s="169" t="s">
        <v>158</v>
      </c>
      <c r="D22" s="169" t="s">
        <v>364</v>
      </c>
      <c r="E22" s="171" t="s">
        <v>400</v>
      </c>
      <c r="F22" s="176" t="s">
        <v>385</v>
      </c>
      <c r="G22" s="171" t="s">
        <v>386</v>
      </c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180">
        <v>21.0</v>
      </c>
      <c r="B23" s="180" t="s">
        <v>41</v>
      </c>
      <c r="C23" s="180" t="s">
        <v>162</v>
      </c>
      <c r="D23" s="180" t="s">
        <v>364</v>
      </c>
      <c r="E23" s="181" t="s">
        <v>401</v>
      </c>
      <c r="F23" s="165" t="s">
        <v>366</v>
      </c>
      <c r="G23" s="181" t="s">
        <v>402</v>
      </c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169">
        <v>22.0</v>
      </c>
      <c r="B24" s="170"/>
      <c r="C24" s="169" t="s">
        <v>166</v>
      </c>
      <c r="D24" s="169" t="s">
        <v>364</v>
      </c>
      <c r="E24" s="171" t="s">
        <v>403</v>
      </c>
      <c r="F24" s="165" t="s">
        <v>366</v>
      </c>
      <c r="G24" s="172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169">
        <v>23.0</v>
      </c>
      <c r="B25" s="170"/>
      <c r="C25" s="169" t="s">
        <v>168</v>
      </c>
      <c r="D25" s="169" t="s">
        <v>364</v>
      </c>
      <c r="E25" s="171" t="s">
        <v>404</v>
      </c>
      <c r="F25" s="176" t="s">
        <v>385</v>
      </c>
      <c r="G25" s="171" t="s">
        <v>386</v>
      </c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169">
        <v>24.0</v>
      </c>
      <c r="B26" s="170"/>
      <c r="C26" s="169" t="s">
        <v>170</v>
      </c>
      <c r="D26" s="169" t="s">
        <v>364</v>
      </c>
      <c r="E26" s="171" t="s">
        <v>405</v>
      </c>
      <c r="F26" s="176" t="s">
        <v>385</v>
      </c>
      <c r="G26" s="171" t="s">
        <v>386</v>
      </c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182">
        <v>25.0</v>
      </c>
      <c r="B27" s="182" t="s">
        <v>406</v>
      </c>
      <c r="C27" s="182" t="s">
        <v>172</v>
      </c>
      <c r="D27" s="182" t="s">
        <v>364</v>
      </c>
      <c r="E27" s="183" t="s">
        <v>407</v>
      </c>
      <c r="F27" s="165" t="s">
        <v>366</v>
      </c>
      <c r="G27" s="184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169">
        <v>26.0</v>
      </c>
      <c r="B28" s="170"/>
      <c r="C28" s="169" t="s">
        <v>176</v>
      </c>
      <c r="D28" s="169" t="s">
        <v>364</v>
      </c>
      <c r="E28" s="171" t="s">
        <v>408</v>
      </c>
      <c r="F28" s="165" t="s">
        <v>366</v>
      </c>
      <c r="G28" s="172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169">
        <v>27.0</v>
      </c>
      <c r="B29" s="170"/>
      <c r="C29" s="169" t="s">
        <v>181</v>
      </c>
      <c r="D29" s="169" t="s">
        <v>364</v>
      </c>
      <c r="E29" s="171" t="s">
        <v>409</v>
      </c>
      <c r="F29" s="165" t="s">
        <v>366</v>
      </c>
      <c r="G29" s="172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169">
        <v>28.0</v>
      </c>
      <c r="B30" s="170"/>
      <c r="C30" s="169" t="s">
        <v>184</v>
      </c>
      <c r="D30" s="169" t="s">
        <v>364</v>
      </c>
      <c r="E30" s="171" t="s">
        <v>410</v>
      </c>
      <c r="F30" s="165" t="s">
        <v>366</v>
      </c>
      <c r="G30" s="172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169">
        <v>29.0</v>
      </c>
      <c r="B31" s="170"/>
      <c r="C31" s="169" t="s">
        <v>187</v>
      </c>
      <c r="D31" s="169" t="s">
        <v>364</v>
      </c>
      <c r="E31" s="171" t="s">
        <v>411</v>
      </c>
      <c r="F31" s="165" t="s">
        <v>366</v>
      </c>
      <c r="G31" s="172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169">
        <v>30.0</v>
      </c>
      <c r="B32" s="170"/>
      <c r="C32" s="169" t="s">
        <v>192</v>
      </c>
      <c r="D32" s="169" t="s">
        <v>364</v>
      </c>
      <c r="E32" s="171" t="s">
        <v>412</v>
      </c>
      <c r="F32" s="165" t="s">
        <v>366</v>
      </c>
      <c r="G32" s="172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185">
        <v>31.0</v>
      </c>
      <c r="B33" s="185" t="s">
        <v>413</v>
      </c>
      <c r="C33" s="185" t="s">
        <v>195</v>
      </c>
      <c r="D33" s="185" t="s">
        <v>364</v>
      </c>
      <c r="E33" s="186" t="s">
        <v>414</v>
      </c>
      <c r="F33" s="165" t="s">
        <v>366</v>
      </c>
      <c r="G33" s="187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169">
        <v>32.0</v>
      </c>
      <c r="B34" s="170"/>
      <c r="C34" s="169" t="s">
        <v>199</v>
      </c>
      <c r="D34" s="169" t="s">
        <v>364</v>
      </c>
      <c r="E34" s="171" t="s">
        <v>415</v>
      </c>
      <c r="F34" s="165" t="s">
        <v>366</v>
      </c>
      <c r="G34" s="172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169">
        <v>33.0</v>
      </c>
      <c r="B35" s="170"/>
      <c r="C35" s="169" t="s">
        <v>202</v>
      </c>
      <c r="D35" s="169" t="s">
        <v>364</v>
      </c>
      <c r="E35" s="171" t="s">
        <v>416</v>
      </c>
      <c r="F35" s="165" t="s">
        <v>366</v>
      </c>
      <c r="G35" s="172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169">
        <v>34.0</v>
      </c>
      <c r="B36" s="170"/>
      <c r="C36" s="169" t="s">
        <v>204</v>
      </c>
      <c r="D36" s="169" t="s">
        <v>364</v>
      </c>
      <c r="E36" s="171" t="s">
        <v>417</v>
      </c>
      <c r="F36" s="165" t="s">
        <v>366</v>
      </c>
      <c r="G36" s="172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188">
        <v>35.0</v>
      </c>
      <c r="B37" s="188" t="s">
        <v>44</v>
      </c>
      <c r="C37" s="188" t="s">
        <v>206</v>
      </c>
      <c r="D37" s="188" t="s">
        <v>364</v>
      </c>
      <c r="E37" s="189" t="s">
        <v>418</v>
      </c>
      <c r="F37" s="165" t="s">
        <v>366</v>
      </c>
      <c r="G37" s="190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169">
        <v>36.0</v>
      </c>
      <c r="B38" s="170"/>
      <c r="C38" s="169" t="s">
        <v>210</v>
      </c>
      <c r="D38" s="169" t="s">
        <v>364</v>
      </c>
      <c r="E38" s="171" t="s">
        <v>419</v>
      </c>
      <c r="F38" s="165" t="s">
        <v>366</v>
      </c>
      <c r="G38" s="172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169">
        <v>37.0</v>
      </c>
      <c r="B39" s="170"/>
      <c r="C39" s="169" t="s">
        <v>214</v>
      </c>
      <c r="D39" s="169" t="s">
        <v>364</v>
      </c>
      <c r="E39" s="171" t="s">
        <v>420</v>
      </c>
      <c r="F39" s="165" t="s">
        <v>366</v>
      </c>
      <c r="G39" s="172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191">
        <v>38.0</v>
      </c>
      <c r="B40" s="191" t="s">
        <v>45</v>
      </c>
      <c r="C40" s="191" t="s">
        <v>218</v>
      </c>
      <c r="D40" s="191" t="s">
        <v>364</v>
      </c>
      <c r="E40" s="192" t="s">
        <v>421</v>
      </c>
      <c r="F40" s="165" t="s">
        <v>366</v>
      </c>
      <c r="G40" s="193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169">
        <v>39.0</v>
      </c>
      <c r="B41" s="170"/>
      <c r="C41" s="169" t="s">
        <v>221</v>
      </c>
      <c r="D41" s="169" t="s">
        <v>364</v>
      </c>
      <c r="E41" s="171" t="s">
        <v>422</v>
      </c>
      <c r="F41" s="165" t="s">
        <v>366</v>
      </c>
      <c r="G41" s="172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169">
        <v>40.0</v>
      </c>
      <c r="B42" s="170"/>
      <c r="C42" s="169" t="s">
        <v>223</v>
      </c>
      <c r="D42" s="169" t="s">
        <v>364</v>
      </c>
      <c r="E42" s="171" t="s">
        <v>423</v>
      </c>
      <c r="F42" s="165" t="s">
        <v>366</v>
      </c>
      <c r="G42" s="172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169">
        <v>41.0</v>
      </c>
      <c r="B43" s="170"/>
      <c r="C43" s="169" t="s">
        <v>225</v>
      </c>
      <c r="D43" s="169" t="s">
        <v>364</v>
      </c>
      <c r="E43" s="171" t="s">
        <v>424</v>
      </c>
      <c r="F43" s="165" t="s">
        <v>366</v>
      </c>
      <c r="G43" s="172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194">
        <v>42.0</v>
      </c>
      <c r="B44" s="194" t="s">
        <v>46</v>
      </c>
      <c r="C44" s="194" t="s">
        <v>227</v>
      </c>
      <c r="D44" s="194" t="s">
        <v>364</v>
      </c>
      <c r="E44" s="195" t="s">
        <v>425</v>
      </c>
      <c r="F44" s="165" t="s">
        <v>366</v>
      </c>
      <c r="G44" s="19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169">
        <v>43.0</v>
      </c>
      <c r="B45" s="170"/>
      <c r="C45" s="169" t="s">
        <v>232</v>
      </c>
      <c r="D45" s="169" t="s">
        <v>364</v>
      </c>
      <c r="E45" s="171" t="s">
        <v>426</v>
      </c>
      <c r="F45" s="165" t="s">
        <v>366</v>
      </c>
      <c r="G45" s="172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197">
        <v>44.0</v>
      </c>
      <c r="B46" s="197" t="s">
        <v>47</v>
      </c>
      <c r="C46" s="197" t="s">
        <v>234</v>
      </c>
      <c r="D46" s="197" t="s">
        <v>364</v>
      </c>
      <c r="E46" s="198" t="s">
        <v>427</v>
      </c>
      <c r="F46" s="165" t="s">
        <v>366</v>
      </c>
      <c r="G46" s="199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169">
        <v>45.0</v>
      </c>
      <c r="B47" s="170"/>
      <c r="C47" s="169" t="s">
        <v>239</v>
      </c>
      <c r="D47" s="169" t="s">
        <v>364</v>
      </c>
      <c r="E47" s="171" t="s">
        <v>428</v>
      </c>
      <c r="F47" s="173" t="s">
        <v>372</v>
      </c>
      <c r="G47" s="171" t="s">
        <v>429</v>
      </c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169">
        <v>46.0</v>
      </c>
      <c r="B48" s="170"/>
      <c r="C48" s="169" t="s">
        <v>242</v>
      </c>
      <c r="D48" s="169" t="s">
        <v>364</v>
      </c>
      <c r="E48" s="171" t="s">
        <v>430</v>
      </c>
      <c r="F48" s="165" t="s">
        <v>366</v>
      </c>
      <c r="G48" s="172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169">
        <v>47.0</v>
      </c>
      <c r="B49" s="170"/>
      <c r="C49" s="169" t="s">
        <v>245</v>
      </c>
      <c r="D49" s="169" t="s">
        <v>364</v>
      </c>
      <c r="E49" s="171" t="s">
        <v>431</v>
      </c>
      <c r="F49" s="165" t="s">
        <v>366</v>
      </c>
      <c r="G49" s="172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169">
        <v>48.0</v>
      </c>
      <c r="B50" s="170"/>
      <c r="C50" s="169" t="s">
        <v>432</v>
      </c>
      <c r="D50" s="169" t="s">
        <v>364</v>
      </c>
      <c r="E50" s="171" t="s">
        <v>433</v>
      </c>
      <c r="F50" s="165" t="s">
        <v>366</v>
      </c>
      <c r="G50" s="172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169">
        <v>49.0</v>
      </c>
      <c r="B51" s="170"/>
      <c r="C51" s="169" t="s">
        <v>250</v>
      </c>
      <c r="D51" s="169" t="s">
        <v>364</v>
      </c>
      <c r="E51" s="171" t="s">
        <v>434</v>
      </c>
      <c r="F51" s="165" t="s">
        <v>366</v>
      </c>
      <c r="G51" s="172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200">
        <v>50.0</v>
      </c>
      <c r="B52" s="200" t="s">
        <v>435</v>
      </c>
      <c r="C52" s="200" t="s">
        <v>253</v>
      </c>
      <c r="D52" s="200" t="s">
        <v>364</v>
      </c>
      <c r="E52" s="201" t="s">
        <v>436</v>
      </c>
      <c r="F52" s="165" t="s">
        <v>366</v>
      </c>
      <c r="G52" s="202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169">
        <v>51.0</v>
      </c>
      <c r="B53" s="170"/>
      <c r="C53" s="169" t="s">
        <v>437</v>
      </c>
      <c r="D53" s="169" t="s">
        <v>364</v>
      </c>
      <c r="E53" s="171" t="s">
        <v>438</v>
      </c>
      <c r="F53" s="165" t="s">
        <v>366</v>
      </c>
      <c r="G53" s="172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169">
        <v>52.0</v>
      </c>
      <c r="B54" s="170"/>
      <c r="C54" s="169" t="s">
        <v>265</v>
      </c>
      <c r="D54" s="169" t="s">
        <v>364</v>
      </c>
      <c r="E54" s="171" t="s">
        <v>439</v>
      </c>
      <c r="F54" s="165" t="s">
        <v>366</v>
      </c>
      <c r="G54" s="172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169">
        <v>53.0</v>
      </c>
      <c r="B55" s="170"/>
      <c r="C55" s="169" t="s">
        <v>264</v>
      </c>
      <c r="D55" s="169" t="s">
        <v>364</v>
      </c>
      <c r="E55" s="171" t="s">
        <v>440</v>
      </c>
      <c r="F55" s="165" t="s">
        <v>366</v>
      </c>
      <c r="G55" s="172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163">
        <v>54.0</v>
      </c>
      <c r="B56" s="163" t="s">
        <v>49</v>
      </c>
      <c r="C56" s="163" t="s">
        <v>274</v>
      </c>
      <c r="D56" s="163" t="s">
        <v>364</v>
      </c>
      <c r="E56" s="164" t="s">
        <v>441</v>
      </c>
      <c r="F56" s="165" t="s">
        <v>366</v>
      </c>
      <c r="G56" s="203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169">
        <v>55.0</v>
      </c>
      <c r="B57" s="170"/>
      <c r="C57" s="169" t="s">
        <v>442</v>
      </c>
      <c r="D57" s="169" t="s">
        <v>364</v>
      </c>
      <c r="E57" s="171" t="s">
        <v>443</v>
      </c>
      <c r="F57" s="165" t="s">
        <v>366</v>
      </c>
      <c r="G57" s="172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166">
        <v>56.0</v>
      </c>
      <c r="B58" s="166" t="s">
        <v>444</v>
      </c>
      <c r="C58" s="166" t="s">
        <v>445</v>
      </c>
      <c r="D58" s="166" t="s">
        <v>364</v>
      </c>
      <c r="E58" s="167" t="s">
        <v>446</v>
      </c>
      <c r="F58" s="165" t="s">
        <v>366</v>
      </c>
      <c r="G58" s="167" t="s">
        <v>447</v>
      </c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169">
        <v>57.0</v>
      </c>
      <c r="B59" s="170"/>
      <c r="C59" s="169" t="s">
        <v>448</v>
      </c>
      <c r="D59" s="169" t="s">
        <v>364</v>
      </c>
      <c r="E59" s="171" t="s">
        <v>449</v>
      </c>
      <c r="F59" s="165" t="s">
        <v>366</v>
      </c>
      <c r="G59" s="171" t="s">
        <v>447</v>
      </c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169">
        <v>58.0</v>
      </c>
      <c r="B60" s="170"/>
      <c r="C60" s="169" t="s">
        <v>450</v>
      </c>
      <c r="D60" s="169" t="s">
        <v>364</v>
      </c>
      <c r="E60" s="171" t="s">
        <v>451</v>
      </c>
      <c r="F60" s="165" t="s">
        <v>366</v>
      </c>
      <c r="G60" s="171" t="s">
        <v>447</v>
      </c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169">
        <v>59.0</v>
      </c>
      <c r="B61" s="170"/>
      <c r="C61" s="169" t="s">
        <v>452</v>
      </c>
      <c r="D61" s="169" t="s">
        <v>364</v>
      </c>
      <c r="E61" s="171" t="s">
        <v>453</v>
      </c>
      <c r="F61" s="165" t="s">
        <v>366</v>
      </c>
      <c r="G61" s="171" t="s">
        <v>454</v>
      </c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169">
        <v>60.0</v>
      </c>
      <c r="B62" s="170"/>
      <c r="C62" s="169" t="s">
        <v>455</v>
      </c>
      <c r="D62" s="169" t="s">
        <v>364</v>
      </c>
      <c r="E62" s="171" t="s">
        <v>456</v>
      </c>
      <c r="F62" s="165" t="s">
        <v>366</v>
      </c>
      <c r="G62" s="171" t="s">
        <v>454</v>
      </c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2.63"/>
    <col customWidth="1" min="3" max="3" width="52.25"/>
    <col customWidth="1" min="4" max="4" width="6.75"/>
    <col customWidth="1" min="5" max="5" width="18.5"/>
  </cols>
  <sheetData>
    <row r="2">
      <c r="B2" s="204" t="s">
        <v>457</v>
      </c>
    </row>
    <row r="3">
      <c r="B3" s="205" t="s">
        <v>458</v>
      </c>
      <c r="C3" s="205" t="s">
        <v>459</v>
      </c>
      <c r="D3" s="206" t="s">
        <v>460</v>
      </c>
      <c r="E3" s="206" t="s">
        <v>461</v>
      </c>
    </row>
    <row r="4">
      <c r="B4" s="207" t="s">
        <v>91</v>
      </c>
      <c r="C4" s="207" t="s">
        <v>91</v>
      </c>
      <c r="D4" s="208" t="s">
        <v>366</v>
      </c>
      <c r="E4" s="208" t="s">
        <v>366</v>
      </c>
    </row>
    <row r="5">
      <c r="B5" s="207" t="s">
        <v>99</v>
      </c>
      <c r="C5" s="207" t="s">
        <v>462</v>
      </c>
      <c r="D5" s="208" t="s">
        <v>366</v>
      </c>
      <c r="E5" s="208" t="s">
        <v>366</v>
      </c>
    </row>
    <row r="6">
      <c r="B6" s="207" t="s">
        <v>99</v>
      </c>
      <c r="C6" s="207" t="s">
        <v>115</v>
      </c>
      <c r="D6" s="208" t="s">
        <v>366</v>
      </c>
      <c r="E6" s="208" t="s">
        <v>463</v>
      </c>
    </row>
    <row r="7">
      <c r="B7" s="207" t="s">
        <v>39</v>
      </c>
      <c r="C7" s="207" t="s">
        <v>464</v>
      </c>
      <c r="D7" s="208" t="s">
        <v>366</v>
      </c>
      <c r="E7" s="208" t="s">
        <v>366</v>
      </c>
    </row>
    <row r="8">
      <c r="B8" s="207" t="s">
        <v>39</v>
      </c>
      <c r="C8" s="207" t="s">
        <v>135</v>
      </c>
      <c r="D8" s="208" t="s">
        <v>366</v>
      </c>
      <c r="E8" s="208" t="s">
        <v>465</v>
      </c>
    </row>
    <row r="9">
      <c r="B9" s="207" t="s">
        <v>39</v>
      </c>
      <c r="C9" s="207" t="s">
        <v>466</v>
      </c>
      <c r="D9" s="208" t="s">
        <v>385</v>
      </c>
      <c r="E9" s="208" t="s">
        <v>467</v>
      </c>
    </row>
    <row r="10">
      <c r="B10" s="207" t="s">
        <v>40</v>
      </c>
      <c r="C10" s="207" t="s">
        <v>150</v>
      </c>
      <c r="D10" s="208" t="s">
        <v>366</v>
      </c>
      <c r="E10" s="208" t="s">
        <v>366</v>
      </c>
    </row>
    <row r="11">
      <c r="B11" s="207" t="s">
        <v>40</v>
      </c>
      <c r="C11" s="207" t="s">
        <v>468</v>
      </c>
      <c r="D11" s="208" t="s">
        <v>366</v>
      </c>
      <c r="E11" s="208" t="s">
        <v>469</v>
      </c>
    </row>
    <row r="12">
      <c r="B12" s="207" t="s">
        <v>41</v>
      </c>
      <c r="C12" s="207" t="s">
        <v>470</v>
      </c>
      <c r="D12" s="208" t="s">
        <v>366</v>
      </c>
      <c r="E12" s="208" t="s">
        <v>469</v>
      </c>
    </row>
    <row r="13">
      <c r="B13" s="207" t="s">
        <v>42</v>
      </c>
      <c r="C13" s="207" t="s">
        <v>471</v>
      </c>
      <c r="D13" s="208" t="s">
        <v>366</v>
      </c>
      <c r="E13" s="208" t="s">
        <v>469</v>
      </c>
    </row>
    <row r="14">
      <c r="B14" s="207" t="s">
        <v>43</v>
      </c>
      <c r="C14" s="207" t="s">
        <v>472</v>
      </c>
      <c r="D14" s="208" t="s">
        <v>366</v>
      </c>
      <c r="E14" s="208" t="s">
        <v>469</v>
      </c>
    </row>
    <row r="15">
      <c r="B15" s="207" t="s">
        <v>44</v>
      </c>
      <c r="C15" s="207" t="s">
        <v>473</v>
      </c>
      <c r="D15" s="208" t="s">
        <v>366</v>
      </c>
      <c r="E15" s="208" t="s">
        <v>469</v>
      </c>
    </row>
    <row r="16">
      <c r="B16" s="207" t="s">
        <v>46</v>
      </c>
      <c r="C16" s="207" t="s">
        <v>232</v>
      </c>
      <c r="D16" s="208" t="s">
        <v>366</v>
      </c>
      <c r="E16" s="208" t="s">
        <v>366</v>
      </c>
    </row>
    <row r="17">
      <c r="B17" s="207" t="s">
        <v>46</v>
      </c>
      <c r="C17" s="207" t="s">
        <v>227</v>
      </c>
      <c r="D17" s="208" t="s">
        <v>366</v>
      </c>
      <c r="E17" s="208" t="s">
        <v>469</v>
      </c>
    </row>
    <row r="18">
      <c r="B18" s="207" t="s">
        <v>474</v>
      </c>
      <c r="C18" s="207" t="s">
        <v>475</v>
      </c>
      <c r="D18" s="208" t="s">
        <v>385</v>
      </c>
      <c r="E18" s="208" t="s">
        <v>476</v>
      </c>
    </row>
    <row r="19">
      <c r="B19" s="204" t="s">
        <v>477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8ADD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152" t="s">
        <v>75</v>
      </c>
      <c r="D2" s="153" t="s">
        <v>76</v>
      </c>
      <c r="E2" s="153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14" si="1">COUNTA($I$3:$I3)</f>
        <v>1</v>
      </c>
      <c r="B3" s="212" t="s">
        <v>94</v>
      </c>
      <c r="C3" s="212" t="s">
        <v>94</v>
      </c>
      <c r="D3" s="212"/>
      <c r="E3" s="212"/>
      <c r="F3" s="212" t="s">
        <v>483</v>
      </c>
      <c r="G3" s="213"/>
      <c r="H3" s="213" t="s">
        <v>484</v>
      </c>
      <c r="I3" s="213" t="s">
        <v>485</v>
      </c>
      <c r="J3" s="214" t="s">
        <v>486</v>
      </c>
      <c r="K3" s="215" t="s">
        <v>33</v>
      </c>
      <c r="L3" s="216"/>
      <c r="M3" s="216"/>
      <c r="N3" s="217"/>
      <c r="O3" s="210"/>
    </row>
    <row r="4">
      <c r="A4" s="212">
        <f t="shared" si="1"/>
        <v>2</v>
      </c>
      <c r="B4" s="212" t="s">
        <v>94</v>
      </c>
      <c r="C4" s="212" t="s">
        <v>487</v>
      </c>
      <c r="D4" s="212"/>
      <c r="E4" s="212"/>
      <c r="F4" s="218" t="s">
        <v>488</v>
      </c>
      <c r="G4" s="213"/>
      <c r="H4" s="219" t="s">
        <v>489</v>
      </c>
      <c r="I4" s="213" t="s">
        <v>490</v>
      </c>
      <c r="J4" s="214" t="s">
        <v>486</v>
      </c>
      <c r="K4" s="215" t="s">
        <v>33</v>
      </c>
      <c r="L4" s="216"/>
      <c r="M4" s="216"/>
      <c r="N4" s="217"/>
      <c r="O4" s="210"/>
    </row>
    <row r="5">
      <c r="A5" s="212">
        <f t="shared" si="1"/>
        <v>3</v>
      </c>
      <c r="B5" s="212" t="s">
        <v>94</v>
      </c>
      <c r="C5" s="212" t="s">
        <v>487</v>
      </c>
      <c r="D5" s="212"/>
      <c r="E5" s="212"/>
      <c r="F5" s="220"/>
      <c r="G5" s="221"/>
      <c r="H5" s="217" t="s">
        <v>491</v>
      </c>
      <c r="I5" s="222" t="s">
        <v>492</v>
      </c>
      <c r="J5" s="214" t="s">
        <v>486</v>
      </c>
      <c r="K5" s="215" t="s">
        <v>33</v>
      </c>
      <c r="L5" s="216"/>
      <c r="M5" s="216"/>
      <c r="N5" s="217"/>
      <c r="O5" s="210"/>
    </row>
    <row r="6">
      <c r="A6" s="212">
        <f t="shared" si="1"/>
        <v>4</v>
      </c>
      <c r="B6" s="212" t="s">
        <v>94</v>
      </c>
      <c r="C6" s="212" t="s">
        <v>487</v>
      </c>
      <c r="D6" s="212"/>
      <c r="E6" s="212"/>
      <c r="F6" s="39"/>
      <c r="G6" s="217"/>
      <c r="H6" s="213" t="s">
        <v>493</v>
      </c>
      <c r="I6" s="213" t="s">
        <v>494</v>
      </c>
      <c r="J6" s="214" t="s">
        <v>486</v>
      </c>
      <c r="K6" s="215" t="s">
        <v>34</v>
      </c>
      <c r="L6" s="223" t="s">
        <v>495</v>
      </c>
      <c r="M6" s="217" t="s">
        <v>496</v>
      </c>
      <c r="N6" s="217"/>
      <c r="O6" s="210"/>
    </row>
    <row r="7">
      <c r="A7" s="212">
        <f t="shared" si="1"/>
        <v>5</v>
      </c>
      <c r="B7" s="212" t="s">
        <v>94</v>
      </c>
      <c r="C7" s="212" t="s">
        <v>497</v>
      </c>
      <c r="D7" s="212"/>
      <c r="E7" s="212"/>
      <c r="F7" s="212" t="s">
        <v>483</v>
      </c>
      <c r="G7" s="216"/>
      <c r="H7" s="213" t="s">
        <v>484</v>
      </c>
      <c r="I7" s="217" t="s">
        <v>498</v>
      </c>
      <c r="J7" s="214" t="s">
        <v>486</v>
      </c>
      <c r="K7" s="215" t="s">
        <v>33</v>
      </c>
      <c r="L7" s="224"/>
      <c r="M7" s="224"/>
      <c r="N7" s="217"/>
      <c r="O7" s="210"/>
    </row>
    <row r="8">
      <c r="A8" s="212">
        <f t="shared" si="1"/>
        <v>6</v>
      </c>
      <c r="B8" s="212" t="s">
        <v>94</v>
      </c>
      <c r="C8" s="212" t="s">
        <v>497</v>
      </c>
      <c r="D8" s="212"/>
      <c r="E8" s="212"/>
      <c r="F8" s="225" t="s">
        <v>499</v>
      </c>
      <c r="G8" s="217"/>
      <c r="H8" s="213" t="s">
        <v>500</v>
      </c>
      <c r="I8" s="217" t="s">
        <v>501</v>
      </c>
      <c r="J8" s="214" t="s">
        <v>486</v>
      </c>
      <c r="K8" s="215" t="s">
        <v>33</v>
      </c>
      <c r="L8" s="226"/>
      <c r="M8" s="224"/>
      <c r="N8" s="217"/>
      <c r="O8" s="210"/>
    </row>
    <row r="9">
      <c r="A9" s="212">
        <f t="shared" si="1"/>
        <v>7</v>
      </c>
      <c r="B9" s="212" t="s">
        <v>94</v>
      </c>
      <c r="C9" s="212" t="s">
        <v>497</v>
      </c>
      <c r="D9" s="212"/>
      <c r="E9" s="212"/>
      <c r="F9" s="220"/>
      <c r="G9" s="217" t="s">
        <v>502</v>
      </c>
      <c r="H9" s="213" t="s">
        <v>503</v>
      </c>
      <c r="I9" s="217" t="s">
        <v>504</v>
      </c>
      <c r="J9" s="214" t="s">
        <v>486</v>
      </c>
      <c r="K9" s="215" t="s">
        <v>33</v>
      </c>
      <c r="L9" s="226"/>
      <c r="M9" s="224"/>
      <c r="N9" s="217"/>
      <c r="O9" s="210"/>
    </row>
    <row r="10">
      <c r="A10" s="212">
        <f t="shared" si="1"/>
        <v>8</v>
      </c>
      <c r="B10" s="212" t="s">
        <v>94</v>
      </c>
      <c r="C10" s="212" t="s">
        <v>497</v>
      </c>
      <c r="D10" s="212"/>
      <c r="E10" s="212"/>
      <c r="F10" s="39"/>
      <c r="G10" s="227" t="s">
        <v>505</v>
      </c>
      <c r="H10" s="213" t="s">
        <v>506</v>
      </c>
      <c r="I10" s="227" t="s">
        <v>507</v>
      </c>
      <c r="J10" s="214" t="s">
        <v>486</v>
      </c>
      <c r="K10" s="215" t="s">
        <v>33</v>
      </c>
      <c r="L10" s="224"/>
      <c r="M10" s="224"/>
      <c r="N10" s="217"/>
      <c r="O10" s="210"/>
    </row>
    <row r="11">
      <c r="A11" s="212">
        <f t="shared" si="1"/>
        <v>9</v>
      </c>
      <c r="B11" s="212" t="s">
        <v>94</v>
      </c>
      <c r="C11" s="212" t="s">
        <v>497</v>
      </c>
      <c r="D11" s="212"/>
      <c r="E11" s="212"/>
      <c r="F11" s="225" t="s">
        <v>508</v>
      </c>
      <c r="G11" s="227"/>
      <c r="H11" s="213" t="s">
        <v>509</v>
      </c>
      <c r="I11" s="227" t="s">
        <v>510</v>
      </c>
      <c r="J11" s="214" t="s">
        <v>486</v>
      </c>
      <c r="K11" s="215" t="s">
        <v>33</v>
      </c>
      <c r="L11" s="224"/>
      <c r="M11" s="224"/>
      <c r="N11" s="217"/>
      <c r="O11" s="210"/>
    </row>
    <row r="12">
      <c r="A12" s="212">
        <f t="shared" si="1"/>
        <v>10</v>
      </c>
      <c r="B12" s="212" t="s">
        <v>94</v>
      </c>
      <c r="C12" s="212" t="s">
        <v>497</v>
      </c>
      <c r="D12" s="212"/>
      <c r="E12" s="212"/>
      <c r="F12" s="39"/>
      <c r="G12" s="227" t="s">
        <v>505</v>
      </c>
      <c r="H12" s="213" t="s">
        <v>509</v>
      </c>
      <c r="I12" s="227" t="s">
        <v>511</v>
      </c>
      <c r="J12" s="214" t="s">
        <v>486</v>
      </c>
      <c r="K12" s="215" t="s">
        <v>33</v>
      </c>
      <c r="L12" s="224"/>
      <c r="M12" s="224"/>
      <c r="N12" s="217"/>
      <c r="O12" s="210"/>
    </row>
    <row r="13">
      <c r="A13" s="212">
        <f t="shared" si="1"/>
        <v>11</v>
      </c>
      <c r="B13" s="212" t="s">
        <v>94</v>
      </c>
      <c r="C13" s="212" t="s">
        <v>497</v>
      </c>
      <c r="D13" s="212"/>
      <c r="E13" s="212"/>
      <c r="F13" s="225" t="s">
        <v>512</v>
      </c>
      <c r="G13" s="224"/>
      <c r="H13" s="227" t="s">
        <v>513</v>
      </c>
      <c r="I13" s="227" t="s">
        <v>514</v>
      </c>
      <c r="J13" s="214" t="s">
        <v>486</v>
      </c>
      <c r="K13" s="215" t="s">
        <v>33</v>
      </c>
      <c r="L13" s="224"/>
      <c r="M13" s="224"/>
      <c r="N13" s="224"/>
      <c r="O13" s="210"/>
    </row>
    <row r="14">
      <c r="A14" s="212">
        <f t="shared" si="1"/>
        <v>12</v>
      </c>
      <c r="B14" s="212" t="s">
        <v>94</v>
      </c>
      <c r="C14" s="212" t="s">
        <v>497</v>
      </c>
      <c r="D14" s="228"/>
      <c r="E14" s="228"/>
      <c r="F14" s="39"/>
      <c r="G14" s="224"/>
      <c r="H14" s="227" t="s">
        <v>515</v>
      </c>
      <c r="I14" s="227" t="s">
        <v>516</v>
      </c>
      <c r="J14" s="214" t="s">
        <v>486</v>
      </c>
      <c r="K14" s="215" t="s">
        <v>33</v>
      </c>
      <c r="L14" s="224"/>
      <c r="M14" s="224"/>
      <c r="N14" s="224"/>
      <c r="O14" s="210"/>
    </row>
  </sheetData>
  <mergeCells count="15">
    <mergeCell ref="K1:K2"/>
    <mergeCell ref="L1:L2"/>
    <mergeCell ref="M1:M2"/>
    <mergeCell ref="N1:N2"/>
    <mergeCell ref="F4:F6"/>
    <mergeCell ref="F8:F10"/>
    <mergeCell ref="F11:F12"/>
    <mergeCell ref="F13:F14"/>
    <mergeCell ref="A1:A2"/>
    <mergeCell ref="C1:E1"/>
    <mergeCell ref="F1:F2"/>
    <mergeCell ref="G1:G2"/>
    <mergeCell ref="H1:H2"/>
    <mergeCell ref="I1:I2"/>
    <mergeCell ref="J1:J2"/>
  </mergeCells>
  <conditionalFormatting sqref="K3:K14">
    <cfRule type="cellIs" dxfId="4" priority="1" operator="equal">
      <formula>"PASS"</formula>
    </cfRule>
  </conditionalFormatting>
  <conditionalFormatting sqref="K3:K14">
    <cfRule type="cellIs" dxfId="5" priority="2" operator="equal">
      <formula>"FAIL"</formula>
    </cfRule>
  </conditionalFormatting>
  <conditionalFormatting sqref="K3:K14">
    <cfRule type="cellIs" dxfId="6" priority="3" operator="equal">
      <formula>"N/A"</formula>
    </cfRule>
  </conditionalFormatting>
  <conditionalFormatting sqref="K3:K14">
    <cfRule type="cellIs" dxfId="7" priority="4" operator="equal">
      <formula>"N/T"</formula>
    </cfRule>
  </conditionalFormatting>
  <dataValidations>
    <dataValidation type="list" allowBlank="1" sqref="K3:K14">
      <formula1>"PASS,FAIL,N/A,N/T"</formula1>
    </dataValidation>
  </dataValidations>
  <hyperlinks>
    <hyperlink r:id="rId1" ref="J3"/>
    <hyperlink r:id="rId2" ref="J4"/>
    <hyperlink r:id="rId3" ref="J5"/>
    <hyperlink r:id="rId4" ref="J6"/>
    <hyperlink r:id="rId5" ref="L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</hyperlinks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8ADD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229" t="s">
        <v>75</v>
      </c>
      <c r="D2" s="149" t="s">
        <v>76</v>
      </c>
      <c r="E2" s="149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20" si="1">COUNTA($I$3:$I3)</f>
        <v>1</v>
      </c>
      <c r="B3" s="230" t="s">
        <v>38</v>
      </c>
      <c r="C3" s="231" t="s">
        <v>100</v>
      </c>
      <c r="D3" s="232"/>
      <c r="E3" s="232"/>
      <c r="F3" s="233" t="s">
        <v>483</v>
      </c>
      <c r="G3" s="234"/>
      <c r="H3" s="235" t="s">
        <v>517</v>
      </c>
      <c r="I3" s="236" t="s">
        <v>518</v>
      </c>
      <c r="J3" s="214" t="s">
        <v>100</v>
      </c>
      <c r="K3" s="91" t="s">
        <v>33</v>
      </c>
      <c r="L3" s="223" t="s">
        <v>519</v>
      </c>
      <c r="M3" s="216"/>
      <c r="N3" s="217"/>
      <c r="O3" s="210"/>
    </row>
    <row r="4">
      <c r="A4" s="212">
        <f t="shared" si="1"/>
        <v>2</v>
      </c>
      <c r="B4" s="230" t="s">
        <v>38</v>
      </c>
      <c r="C4" s="231" t="s">
        <v>100</v>
      </c>
      <c r="D4" s="212"/>
      <c r="E4" s="230"/>
      <c r="F4" s="212" t="s">
        <v>520</v>
      </c>
      <c r="G4" s="219"/>
      <c r="H4" s="235" t="s">
        <v>521</v>
      </c>
      <c r="I4" s="217" t="s">
        <v>522</v>
      </c>
      <c r="J4" s="214" t="s">
        <v>100</v>
      </c>
      <c r="K4" s="91" t="s">
        <v>33</v>
      </c>
      <c r="L4" s="224"/>
      <c r="M4" s="224"/>
      <c r="N4" s="217"/>
      <c r="O4" s="210"/>
    </row>
    <row r="5">
      <c r="A5" s="212">
        <f t="shared" si="1"/>
        <v>3</v>
      </c>
      <c r="B5" s="230" t="s">
        <v>38</v>
      </c>
      <c r="C5" s="231" t="s">
        <v>100</v>
      </c>
      <c r="D5" s="212" t="s">
        <v>523</v>
      </c>
      <c r="E5" s="230"/>
      <c r="F5" s="212" t="s">
        <v>523</v>
      </c>
      <c r="G5" s="219"/>
      <c r="H5" s="213" t="s">
        <v>524</v>
      </c>
      <c r="I5" s="217" t="s">
        <v>525</v>
      </c>
      <c r="J5" s="214" t="s">
        <v>100</v>
      </c>
      <c r="K5" s="91" t="s">
        <v>33</v>
      </c>
      <c r="L5" s="224"/>
      <c r="M5" s="224"/>
      <c r="N5" s="217"/>
      <c r="O5" s="210"/>
    </row>
    <row r="6">
      <c r="A6" s="212">
        <f t="shared" si="1"/>
        <v>4</v>
      </c>
      <c r="B6" s="230" t="s">
        <v>38</v>
      </c>
      <c r="C6" s="230" t="s">
        <v>100</v>
      </c>
      <c r="D6" s="212" t="s">
        <v>526</v>
      </c>
      <c r="E6" s="230"/>
      <c r="F6" s="230" t="s">
        <v>527</v>
      </c>
      <c r="G6" s="219"/>
      <c r="H6" s="213" t="s">
        <v>528</v>
      </c>
      <c r="I6" s="217" t="s">
        <v>529</v>
      </c>
      <c r="J6" s="214" t="s">
        <v>100</v>
      </c>
      <c r="K6" s="215" t="s">
        <v>33</v>
      </c>
      <c r="L6" s="224"/>
      <c r="M6" s="224"/>
      <c r="N6" s="217"/>
      <c r="O6" s="210"/>
    </row>
    <row r="7">
      <c r="A7" s="212">
        <f t="shared" si="1"/>
        <v>5</v>
      </c>
      <c r="B7" s="230" t="s">
        <v>38</v>
      </c>
      <c r="C7" s="231" t="s">
        <v>100</v>
      </c>
      <c r="D7" s="237" t="s">
        <v>530</v>
      </c>
      <c r="E7" s="231"/>
      <c r="F7" s="237" t="s">
        <v>483</v>
      </c>
      <c r="G7" s="238"/>
      <c r="H7" s="235" t="s">
        <v>531</v>
      </c>
      <c r="I7" s="235" t="s">
        <v>532</v>
      </c>
      <c r="J7" s="214" t="s">
        <v>100</v>
      </c>
      <c r="K7" s="215" t="s">
        <v>33</v>
      </c>
      <c r="L7" s="223" t="s">
        <v>533</v>
      </c>
      <c r="M7" s="216"/>
      <c r="N7" s="217"/>
      <c r="O7" s="210"/>
    </row>
    <row r="8">
      <c r="A8" s="212">
        <f t="shared" si="1"/>
        <v>6</v>
      </c>
      <c r="B8" s="230" t="s">
        <v>38</v>
      </c>
      <c r="C8" s="230" t="s">
        <v>100</v>
      </c>
      <c r="D8" s="237" t="s">
        <v>530</v>
      </c>
      <c r="E8" s="230"/>
      <c r="F8" s="225" t="s">
        <v>534</v>
      </c>
      <c r="G8" s="217" t="s">
        <v>535</v>
      </c>
      <c r="H8" s="213" t="s">
        <v>536</v>
      </c>
      <c r="I8" s="213" t="s">
        <v>537</v>
      </c>
      <c r="J8" s="214" t="s">
        <v>100</v>
      </c>
      <c r="K8" s="215" t="s">
        <v>33</v>
      </c>
      <c r="L8" s="216"/>
      <c r="M8" s="216"/>
      <c r="N8" s="217"/>
      <c r="O8" s="210"/>
    </row>
    <row r="9">
      <c r="A9" s="212">
        <f t="shared" si="1"/>
        <v>7</v>
      </c>
      <c r="B9" s="230" t="s">
        <v>38</v>
      </c>
      <c r="C9" s="230" t="s">
        <v>100</v>
      </c>
      <c r="D9" s="237" t="s">
        <v>530</v>
      </c>
      <c r="E9" s="230"/>
      <c r="F9" s="39"/>
      <c r="G9" s="217" t="s">
        <v>538</v>
      </c>
      <c r="H9" s="235" t="s">
        <v>531</v>
      </c>
      <c r="I9" s="213" t="s">
        <v>539</v>
      </c>
      <c r="J9" s="214" t="s">
        <v>100</v>
      </c>
      <c r="K9" s="215" t="s">
        <v>33</v>
      </c>
      <c r="L9" s="224"/>
      <c r="M9" s="224"/>
      <c r="N9" s="217"/>
      <c r="O9" s="210"/>
    </row>
    <row r="10">
      <c r="A10" s="212">
        <f t="shared" si="1"/>
        <v>8</v>
      </c>
      <c r="B10" s="230" t="s">
        <v>38</v>
      </c>
      <c r="C10" s="230" t="s">
        <v>100</v>
      </c>
      <c r="D10" s="237" t="s">
        <v>530</v>
      </c>
      <c r="E10" s="230"/>
      <c r="F10" s="212" t="s">
        <v>540</v>
      </c>
      <c r="G10" s="219"/>
      <c r="H10" s="235" t="s">
        <v>541</v>
      </c>
      <c r="I10" s="213" t="s">
        <v>542</v>
      </c>
      <c r="J10" s="214" t="s">
        <v>100</v>
      </c>
      <c r="K10" s="215" t="s">
        <v>33</v>
      </c>
      <c r="L10" s="224"/>
      <c r="M10" s="227" t="s">
        <v>543</v>
      </c>
      <c r="N10" s="217"/>
      <c r="O10" s="210"/>
    </row>
    <row r="11">
      <c r="A11" s="212">
        <f t="shared" si="1"/>
        <v>9</v>
      </c>
      <c r="B11" s="230" t="s">
        <v>38</v>
      </c>
      <c r="C11" s="230" t="s">
        <v>100</v>
      </c>
      <c r="D11" s="237" t="s">
        <v>530</v>
      </c>
      <c r="E11" s="230"/>
      <c r="F11" s="212" t="s">
        <v>544</v>
      </c>
      <c r="G11" s="217" t="s">
        <v>545</v>
      </c>
      <c r="H11" s="213" t="s">
        <v>546</v>
      </c>
      <c r="I11" s="239" t="s">
        <v>547</v>
      </c>
      <c r="J11" s="214" t="s">
        <v>100</v>
      </c>
      <c r="K11" s="215" t="s">
        <v>33</v>
      </c>
      <c r="L11" s="224"/>
      <c r="M11" s="227" t="s">
        <v>543</v>
      </c>
      <c r="N11" s="217" t="s">
        <v>548</v>
      </c>
      <c r="O11" s="210"/>
    </row>
    <row r="12">
      <c r="A12" s="212">
        <f t="shared" si="1"/>
        <v>10</v>
      </c>
      <c r="B12" s="230" t="s">
        <v>38</v>
      </c>
      <c r="C12" s="230" t="s">
        <v>100</v>
      </c>
      <c r="D12" s="237" t="s">
        <v>530</v>
      </c>
      <c r="E12" s="230"/>
      <c r="F12" s="212" t="s">
        <v>549</v>
      </c>
      <c r="G12" s="217" t="s">
        <v>550</v>
      </c>
      <c r="H12" s="213" t="s">
        <v>551</v>
      </c>
      <c r="I12" s="217" t="s">
        <v>552</v>
      </c>
      <c r="J12" s="214" t="s">
        <v>100</v>
      </c>
      <c r="K12" s="215" t="s">
        <v>33</v>
      </c>
      <c r="L12" s="240" t="s">
        <v>553</v>
      </c>
      <c r="M12" s="227" t="s">
        <v>554</v>
      </c>
      <c r="N12" s="217"/>
      <c r="O12" s="210"/>
    </row>
    <row r="13">
      <c r="A13" s="212">
        <f t="shared" si="1"/>
        <v>11</v>
      </c>
      <c r="B13" s="230" t="s">
        <v>38</v>
      </c>
      <c r="C13" s="230" t="s">
        <v>100</v>
      </c>
      <c r="D13" s="237" t="s">
        <v>530</v>
      </c>
      <c r="E13" s="230"/>
      <c r="F13" s="212" t="s">
        <v>555</v>
      </c>
      <c r="G13" s="219"/>
      <c r="H13" s="213" t="s">
        <v>556</v>
      </c>
      <c r="I13" s="217" t="s">
        <v>557</v>
      </c>
      <c r="J13" s="214" t="s">
        <v>100</v>
      </c>
      <c r="K13" s="215" t="s">
        <v>33</v>
      </c>
      <c r="L13" s="224"/>
      <c r="M13" s="227" t="s">
        <v>543</v>
      </c>
      <c r="N13" s="217"/>
      <c r="O13" s="210"/>
    </row>
    <row r="14">
      <c r="A14" s="212">
        <f t="shared" si="1"/>
        <v>12</v>
      </c>
      <c r="B14" s="230" t="s">
        <v>38</v>
      </c>
      <c r="C14" s="230" t="s">
        <v>100</v>
      </c>
      <c r="D14" s="237" t="s">
        <v>530</v>
      </c>
      <c r="E14" s="230"/>
      <c r="F14" s="212" t="s">
        <v>558</v>
      </c>
      <c r="G14" s="219"/>
      <c r="H14" s="213" t="s">
        <v>559</v>
      </c>
      <c r="I14" s="217" t="s">
        <v>560</v>
      </c>
      <c r="J14" s="214" t="s">
        <v>100</v>
      </c>
      <c r="K14" s="215" t="s">
        <v>33</v>
      </c>
      <c r="L14" s="240" t="s">
        <v>553</v>
      </c>
      <c r="M14" s="227" t="s">
        <v>554</v>
      </c>
      <c r="N14" s="217"/>
      <c r="O14" s="210"/>
    </row>
    <row r="15">
      <c r="A15" s="212">
        <f t="shared" si="1"/>
        <v>13</v>
      </c>
      <c r="B15" s="230" t="s">
        <v>38</v>
      </c>
      <c r="C15" s="230" t="s">
        <v>100</v>
      </c>
      <c r="D15" s="237" t="s">
        <v>530</v>
      </c>
      <c r="E15" s="230"/>
      <c r="F15" s="212" t="s">
        <v>561</v>
      </c>
      <c r="G15" s="219"/>
      <c r="H15" s="213" t="s">
        <v>562</v>
      </c>
      <c r="I15" s="217" t="s">
        <v>563</v>
      </c>
      <c r="J15" s="214" t="s">
        <v>100</v>
      </c>
      <c r="K15" s="215" t="s">
        <v>33</v>
      </c>
      <c r="L15" s="240" t="s">
        <v>553</v>
      </c>
      <c r="M15" s="227" t="s">
        <v>554</v>
      </c>
      <c r="N15" s="217"/>
      <c r="O15" s="210"/>
    </row>
    <row r="16">
      <c r="A16" s="212">
        <f t="shared" si="1"/>
        <v>14</v>
      </c>
      <c r="B16" s="230" t="s">
        <v>38</v>
      </c>
      <c r="C16" s="230" t="s">
        <v>100</v>
      </c>
      <c r="D16" s="237" t="s">
        <v>530</v>
      </c>
      <c r="E16" s="230"/>
      <c r="F16" s="212" t="s">
        <v>564</v>
      </c>
      <c r="G16" s="217" t="s">
        <v>565</v>
      </c>
      <c r="H16" s="213" t="s">
        <v>566</v>
      </c>
      <c r="I16" s="217" t="s">
        <v>567</v>
      </c>
      <c r="J16" s="214" t="s">
        <v>100</v>
      </c>
      <c r="K16" s="215" t="s">
        <v>33</v>
      </c>
      <c r="L16" s="224"/>
      <c r="M16" s="227" t="s">
        <v>568</v>
      </c>
      <c r="N16" s="217"/>
      <c r="O16" s="210"/>
    </row>
    <row r="17">
      <c r="A17" s="212">
        <f t="shared" si="1"/>
        <v>15</v>
      </c>
      <c r="B17" s="230" t="s">
        <v>38</v>
      </c>
      <c r="C17" s="230" t="s">
        <v>100</v>
      </c>
      <c r="D17" s="237" t="s">
        <v>530</v>
      </c>
      <c r="E17" s="230"/>
      <c r="F17" s="212" t="s">
        <v>569</v>
      </c>
      <c r="G17" s="219"/>
      <c r="H17" s="213" t="s">
        <v>570</v>
      </c>
      <c r="I17" s="217" t="s">
        <v>571</v>
      </c>
      <c r="J17" s="214" t="s">
        <v>100</v>
      </c>
      <c r="K17" s="215" t="s">
        <v>33</v>
      </c>
      <c r="L17" s="224"/>
      <c r="M17" s="227" t="s">
        <v>572</v>
      </c>
      <c r="N17" s="217"/>
      <c r="O17" s="210"/>
    </row>
    <row r="18">
      <c r="A18" s="212">
        <f t="shared" si="1"/>
        <v>16</v>
      </c>
      <c r="B18" s="230" t="s">
        <v>38</v>
      </c>
      <c r="C18" s="230" t="s">
        <v>100</v>
      </c>
      <c r="D18" s="237" t="s">
        <v>530</v>
      </c>
      <c r="E18" s="230"/>
      <c r="F18" s="212" t="s">
        <v>573</v>
      </c>
      <c r="G18" s="217" t="s">
        <v>574</v>
      </c>
      <c r="H18" s="213" t="s">
        <v>575</v>
      </c>
      <c r="I18" s="217" t="s">
        <v>576</v>
      </c>
      <c r="J18" s="214" t="s">
        <v>100</v>
      </c>
      <c r="K18" s="215" t="s">
        <v>33</v>
      </c>
      <c r="L18" s="241" t="s">
        <v>533</v>
      </c>
      <c r="M18" s="227" t="s">
        <v>577</v>
      </c>
      <c r="N18" s="217"/>
      <c r="O18" s="210"/>
    </row>
    <row r="19">
      <c r="A19" s="212">
        <f t="shared" si="1"/>
        <v>17</v>
      </c>
      <c r="B19" s="230" t="s">
        <v>38</v>
      </c>
      <c r="C19" s="230" t="s">
        <v>100</v>
      </c>
      <c r="D19" s="212" t="s">
        <v>448</v>
      </c>
      <c r="E19" s="230"/>
      <c r="F19" s="212" t="s">
        <v>448</v>
      </c>
      <c r="G19" s="217" t="s">
        <v>578</v>
      </c>
      <c r="H19" s="213" t="s">
        <v>579</v>
      </c>
      <c r="I19" s="217" t="s">
        <v>580</v>
      </c>
      <c r="J19" s="214" t="s">
        <v>100</v>
      </c>
      <c r="K19" s="215" t="s">
        <v>33</v>
      </c>
      <c r="L19" s="224"/>
      <c r="M19" s="224"/>
      <c r="N19" s="217"/>
      <c r="O19" s="210"/>
    </row>
    <row r="20">
      <c r="A20" s="212">
        <f t="shared" si="1"/>
        <v>18</v>
      </c>
      <c r="B20" s="212" t="s">
        <v>38</v>
      </c>
      <c r="C20" s="212" t="s">
        <v>105</v>
      </c>
      <c r="D20" s="212"/>
      <c r="E20" s="212"/>
      <c r="F20" s="233" t="s">
        <v>483</v>
      </c>
      <c r="G20" s="217" t="s">
        <v>581</v>
      </c>
      <c r="H20" s="235" t="s">
        <v>582</v>
      </c>
      <c r="I20" s="217" t="s">
        <v>583</v>
      </c>
      <c r="J20" s="214" t="s">
        <v>105</v>
      </c>
      <c r="K20" s="215" t="s">
        <v>33</v>
      </c>
      <c r="L20" s="224"/>
      <c r="M20" s="224"/>
      <c r="N20" s="217"/>
      <c r="O20" s="210"/>
    </row>
    <row r="21">
      <c r="A21" s="212">
        <f>COUNTA($I$3:$I22)</f>
        <v>20</v>
      </c>
      <c r="B21" s="212" t="s">
        <v>38</v>
      </c>
      <c r="C21" s="212" t="s">
        <v>105</v>
      </c>
      <c r="D21" s="212"/>
      <c r="E21" s="212" t="s">
        <v>92</v>
      </c>
      <c r="F21" s="212" t="s">
        <v>584</v>
      </c>
      <c r="G21" s="217"/>
      <c r="H21" s="213" t="s">
        <v>585</v>
      </c>
      <c r="I21" s="217" t="s">
        <v>586</v>
      </c>
      <c r="J21" s="214" t="s">
        <v>105</v>
      </c>
      <c r="K21" s="215" t="s">
        <v>33</v>
      </c>
      <c r="L21" s="226"/>
      <c r="M21" s="224"/>
      <c r="N21" s="217"/>
      <c r="O21" s="210"/>
    </row>
    <row r="22">
      <c r="A22" s="212">
        <f t="shared" ref="A22:A140" si="2">COUNTA($I$3:$I22)</f>
        <v>20</v>
      </c>
      <c r="B22" s="212" t="s">
        <v>38</v>
      </c>
      <c r="C22" s="212" t="s">
        <v>105</v>
      </c>
      <c r="D22" s="212" t="s">
        <v>526</v>
      </c>
      <c r="E22" s="230"/>
      <c r="F22" s="230" t="s">
        <v>527</v>
      </c>
      <c r="G22" s="219"/>
      <c r="H22" s="213" t="s">
        <v>528</v>
      </c>
      <c r="I22" s="217" t="s">
        <v>529</v>
      </c>
      <c r="J22" s="214" t="s">
        <v>105</v>
      </c>
      <c r="K22" s="215" t="s">
        <v>33</v>
      </c>
      <c r="L22" s="226"/>
      <c r="M22" s="224"/>
      <c r="N22" s="217"/>
      <c r="O22" s="210"/>
    </row>
    <row r="23">
      <c r="A23" s="212">
        <f t="shared" si="2"/>
        <v>21</v>
      </c>
      <c r="B23" s="212" t="s">
        <v>38</v>
      </c>
      <c r="C23" s="212" t="s">
        <v>105</v>
      </c>
      <c r="D23" s="212" t="s">
        <v>587</v>
      </c>
      <c r="E23" s="212" t="s">
        <v>92</v>
      </c>
      <c r="F23" s="212" t="s">
        <v>588</v>
      </c>
      <c r="G23" s="217"/>
      <c r="H23" s="213" t="s">
        <v>589</v>
      </c>
      <c r="I23" s="217" t="s">
        <v>590</v>
      </c>
      <c r="J23" s="214" t="s">
        <v>105</v>
      </c>
      <c r="K23" s="215" t="s">
        <v>34</v>
      </c>
      <c r="L23" s="240" t="s">
        <v>591</v>
      </c>
      <c r="M23" s="227" t="s">
        <v>592</v>
      </c>
      <c r="N23" s="217"/>
      <c r="O23" s="210"/>
    </row>
    <row r="24">
      <c r="A24" s="212">
        <f t="shared" si="2"/>
        <v>22</v>
      </c>
      <c r="B24" s="212" t="s">
        <v>38</v>
      </c>
      <c r="C24" s="212" t="s">
        <v>105</v>
      </c>
      <c r="D24" s="212" t="s">
        <v>587</v>
      </c>
      <c r="E24" s="212"/>
      <c r="F24" s="225" t="s">
        <v>593</v>
      </c>
      <c r="G24" s="217"/>
      <c r="H24" s="213" t="s">
        <v>594</v>
      </c>
      <c r="I24" s="217" t="s">
        <v>595</v>
      </c>
      <c r="J24" s="242"/>
      <c r="K24" s="215" t="s">
        <v>33</v>
      </c>
      <c r="L24" s="226"/>
      <c r="M24" s="224"/>
      <c r="N24" s="217"/>
      <c r="O24" s="210"/>
    </row>
    <row r="25">
      <c r="A25" s="212">
        <f t="shared" si="2"/>
        <v>23</v>
      </c>
      <c r="B25" s="212" t="s">
        <v>38</v>
      </c>
      <c r="C25" s="212" t="s">
        <v>105</v>
      </c>
      <c r="D25" s="212" t="s">
        <v>587</v>
      </c>
      <c r="E25" s="212"/>
      <c r="F25" s="39"/>
      <c r="G25" s="217"/>
      <c r="H25" s="213" t="s">
        <v>596</v>
      </c>
      <c r="I25" s="217" t="s">
        <v>597</v>
      </c>
      <c r="J25" s="214" t="s">
        <v>105</v>
      </c>
      <c r="K25" s="215" t="s">
        <v>33</v>
      </c>
      <c r="L25" s="226"/>
      <c r="M25" s="224"/>
      <c r="N25" s="217"/>
      <c r="O25" s="210"/>
    </row>
    <row r="26">
      <c r="A26" s="212">
        <f t="shared" si="2"/>
        <v>24</v>
      </c>
      <c r="B26" s="212" t="s">
        <v>38</v>
      </c>
      <c r="C26" s="212" t="s">
        <v>105</v>
      </c>
      <c r="D26" s="212" t="s">
        <v>587</v>
      </c>
      <c r="E26" s="212"/>
      <c r="F26" s="225" t="s">
        <v>598</v>
      </c>
      <c r="G26" s="217" t="s">
        <v>599</v>
      </c>
      <c r="H26" s="213" t="s">
        <v>596</v>
      </c>
      <c r="I26" s="217" t="s">
        <v>597</v>
      </c>
      <c r="J26" s="214" t="s">
        <v>105</v>
      </c>
      <c r="K26" s="215" t="s">
        <v>33</v>
      </c>
      <c r="L26" s="226"/>
      <c r="M26" s="224"/>
      <c r="N26" s="217"/>
      <c r="O26" s="210"/>
    </row>
    <row r="27">
      <c r="A27" s="212">
        <f t="shared" si="2"/>
        <v>25</v>
      </c>
      <c r="B27" s="212" t="s">
        <v>38</v>
      </c>
      <c r="C27" s="212" t="s">
        <v>105</v>
      </c>
      <c r="D27" s="212" t="s">
        <v>587</v>
      </c>
      <c r="E27" s="212"/>
      <c r="F27" s="220"/>
      <c r="G27" s="217" t="s">
        <v>600</v>
      </c>
      <c r="H27" s="213" t="s">
        <v>596</v>
      </c>
      <c r="I27" s="217" t="s">
        <v>597</v>
      </c>
      <c r="J27" s="214" t="s">
        <v>105</v>
      </c>
      <c r="K27" s="215" t="s">
        <v>33</v>
      </c>
      <c r="L27" s="226"/>
      <c r="M27" s="224"/>
      <c r="N27" s="217"/>
      <c r="O27" s="210"/>
    </row>
    <row r="28">
      <c r="A28" s="212">
        <f t="shared" si="2"/>
        <v>26</v>
      </c>
      <c r="B28" s="212" t="s">
        <v>38</v>
      </c>
      <c r="C28" s="212" t="s">
        <v>105</v>
      </c>
      <c r="D28" s="212" t="s">
        <v>587</v>
      </c>
      <c r="E28" s="212"/>
      <c r="F28" s="39"/>
      <c r="G28" s="217" t="s">
        <v>601</v>
      </c>
      <c r="H28" s="213" t="s">
        <v>596</v>
      </c>
      <c r="I28" s="217" t="s">
        <v>602</v>
      </c>
      <c r="J28" s="214" t="s">
        <v>105</v>
      </c>
      <c r="K28" s="215" t="s">
        <v>33</v>
      </c>
      <c r="L28" s="240" t="s">
        <v>603</v>
      </c>
      <c r="M28" s="227" t="s">
        <v>604</v>
      </c>
      <c r="N28" s="217"/>
      <c r="O28" s="210"/>
    </row>
    <row r="29">
      <c r="A29" s="212">
        <f t="shared" si="2"/>
        <v>27</v>
      </c>
      <c r="B29" s="212" t="s">
        <v>38</v>
      </c>
      <c r="C29" s="212" t="s">
        <v>105</v>
      </c>
      <c r="D29" s="212" t="s">
        <v>587</v>
      </c>
      <c r="E29" s="212"/>
      <c r="F29" s="212" t="s">
        <v>605</v>
      </c>
      <c r="G29" s="217" t="s">
        <v>606</v>
      </c>
      <c r="H29" s="213" t="s">
        <v>596</v>
      </c>
      <c r="I29" s="217" t="s">
        <v>607</v>
      </c>
      <c r="J29" s="214" t="s">
        <v>105</v>
      </c>
      <c r="K29" s="215" t="s">
        <v>33</v>
      </c>
      <c r="L29" s="226"/>
      <c r="M29" s="227" t="s">
        <v>604</v>
      </c>
      <c r="N29" s="217"/>
      <c r="O29" s="210"/>
    </row>
    <row r="30">
      <c r="A30" s="212">
        <f t="shared" si="2"/>
        <v>28</v>
      </c>
      <c r="B30" s="212" t="s">
        <v>38</v>
      </c>
      <c r="C30" s="212" t="s">
        <v>105</v>
      </c>
      <c r="D30" s="212" t="s">
        <v>587</v>
      </c>
      <c r="E30" s="212"/>
      <c r="F30" s="212" t="s">
        <v>608</v>
      </c>
      <c r="G30" s="217"/>
      <c r="H30" s="213" t="s">
        <v>609</v>
      </c>
      <c r="I30" s="217" t="s">
        <v>610</v>
      </c>
      <c r="J30" s="214" t="s">
        <v>105</v>
      </c>
      <c r="K30" s="215" t="s">
        <v>36</v>
      </c>
      <c r="L30" s="240" t="s">
        <v>591</v>
      </c>
      <c r="M30" s="227" t="s">
        <v>611</v>
      </c>
      <c r="N30" s="217"/>
      <c r="O30" s="210"/>
    </row>
    <row r="31">
      <c r="A31" s="212">
        <f t="shared" si="2"/>
        <v>29</v>
      </c>
      <c r="B31" s="212" t="s">
        <v>38</v>
      </c>
      <c r="C31" s="212" t="s">
        <v>105</v>
      </c>
      <c r="D31" s="212" t="s">
        <v>612</v>
      </c>
      <c r="E31" s="212"/>
      <c r="F31" s="212" t="s">
        <v>613</v>
      </c>
      <c r="G31" s="217"/>
      <c r="H31" s="213" t="s">
        <v>614</v>
      </c>
      <c r="I31" s="217" t="s">
        <v>615</v>
      </c>
      <c r="J31" s="214" t="s">
        <v>105</v>
      </c>
      <c r="K31" s="215" t="s">
        <v>33</v>
      </c>
      <c r="L31" s="226"/>
      <c r="M31" s="224"/>
      <c r="N31" s="217"/>
      <c r="O31" s="210"/>
    </row>
    <row r="32">
      <c r="A32" s="212">
        <f t="shared" si="2"/>
        <v>30</v>
      </c>
      <c r="B32" s="212" t="s">
        <v>38</v>
      </c>
      <c r="C32" s="212" t="s">
        <v>105</v>
      </c>
      <c r="D32" s="212" t="s">
        <v>612</v>
      </c>
      <c r="E32" s="212"/>
      <c r="F32" s="225" t="s">
        <v>616</v>
      </c>
      <c r="G32" s="217"/>
      <c r="H32" s="213" t="s">
        <v>617</v>
      </c>
      <c r="I32" s="217" t="s">
        <v>618</v>
      </c>
      <c r="J32" s="214" t="s">
        <v>105</v>
      </c>
      <c r="K32" s="215" t="s">
        <v>33</v>
      </c>
      <c r="L32" s="226"/>
      <c r="M32" s="227" t="s">
        <v>619</v>
      </c>
      <c r="N32" s="217"/>
      <c r="O32" s="210"/>
    </row>
    <row r="33">
      <c r="A33" s="212">
        <f t="shared" si="2"/>
        <v>31</v>
      </c>
      <c r="B33" s="212" t="s">
        <v>38</v>
      </c>
      <c r="C33" s="212" t="s">
        <v>105</v>
      </c>
      <c r="D33" s="212" t="s">
        <v>612</v>
      </c>
      <c r="E33" s="212"/>
      <c r="F33" s="39"/>
      <c r="G33" s="217" t="s">
        <v>620</v>
      </c>
      <c r="H33" s="213" t="s">
        <v>617</v>
      </c>
      <c r="I33" s="217" t="s">
        <v>621</v>
      </c>
      <c r="J33" s="214" t="s">
        <v>105</v>
      </c>
      <c r="K33" s="215" t="s">
        <v>33</v>
      </c>
      <c r="L33" s="240" t="s">
        <v>622</v>
      </c>
      <c r="M33" s="227" t="s">
        <v>623</v>
      </c>
      <c r="N33" s="217"/>
      <c r="O33" s="210"/>
    </row>
    <row r="34">
      <c r="A34" s="212">
        <f t="shared" si="2"/>
        <v>32</v>
      </c>
      <c r="B34" s="212" t="s">
        <v>38</v>
      </c>
      <c r="C34" s="212" t="s">
        <v>105</v>
      </c>
      <c r="D34" s="212" t="s">
        <v>612</v>
      </c>
      <c r="E34" s="212"/>
      <c r="F34" s="212" t="s">
        <v>624</v>
      </c>
      <c r="G34" s="217"/>
      <c r="H34" s="213" t="s">
        <v>625</v>
      </c>
      <c r="I34" s="217" t="s">
        <v>626</v>
      </c>
      <c r="J34" s="214" t="s">
        <v>105</v>
      </c>
      <c r="K34" s="215" t="s">
        <v>33</v>
      </c>
      <c r="L34" s="240" t="s">
        <v>627</v>
      </c>
      <c r="M34" s="227"/>
      <c r="N34" s="217"/>
      <c r="O34" s="210"/>
    </row>
    <row r="35">
      <c r="A35" s="212">
        <f t="shared" si="2"/>
        <v>33</v>
      </c>
      <c r="B35" s="212" t="s">
        <v>38</v>
      </c>
      <c r="C35" s="212" t="s">
        <v>105</v>
      </c>
      <c r="D35" s="212" t="s">
        <v>612</v>
      </c>
      <c r="E35" s="212"/>
      <c r="F35" s="225" t="s">
        <v>628</v>
      </c>
      <c r="G35" s="217"/>
      <c r="H35" s="213" t="s">
        <v>629</v>
      </c>
      <c r="I35" s="243" t="s">
        <v>630</v>
      </c>
      <c r="J35" s="214" t="s">
        <v>105</v>
      </c>
      <c r="K35" s="215" t="s">
        <v>33</v>
      </c>
      <c r="L35" s="226"/>
      <c r="M35" s="227"/>
      <c r="N35" s="217" t="s">
        <v>631</v>
      </c>
      <c r="O35" s="210"/>
    </row>
    <row r="36">
      <c r="A36" s="212">
        <f t="shared" si="2"/>
        <v>34</v>
      </c>
      <c r="B36" s="212" t="s">
        <v>38</v>
      </c>
      <c r="C36" s="212" t="s">
        <v>105</v>
      </c>
      <c r="D36" s="212" t="s">
        <v>612</v>
      </c>
      <c r="E36" s="212"/>
      <c r="F36" s="39"/>
      <c r="G36" s="217" t="s">
        <v>632</v>
      </c>
      <c r="H36" s="213" t="s">
        <v>629</v>
      </c>
      <c r="I36" s="217" t="s">
        <v>633</v>
      </c>
      <c r="J36" s="214" t="s">
        <v>105</v>
      </c>
      <c r="K36" s="215" t="s">
        <v>33</v>
      </c>
      <c r="L36" s="226"/>
      <c r="M36" s="227" t="s">
        <v>634</v>
      </c>
      <c r="N36" s="217"/>
      <c r="O36" s="210"/>
    </row>
    <row r="37">
      <c r="A37" s="212">
        <f t="shared" si="2"/>
        <v>35</v>
      </c>
      <c r="B37" s="212" t="s">
        <v>38</v>
      </c>
      <c r="C37" s="212" t="s">
        <v>105</v>
      </c>
      <c r="D37" s="212" t="s">
        <v>635</v>
      </c>
      <c r="E37" s="212"/>
      <c r="F37" s="212" t="s">
        <v>483</v>
      </c>
      <c r="G37" s="217"/>
      <c r="H37" s="213" t="s">
        <v>636</v>
      </c>
      <c r="I37" s="217" t="s">
        <v>637</v>
      </c>
      <c r="J37" s="214" t="s">
        <v>105</v>
      </c>
      <c r="K37" s="215" t="s">
        <v>33</v>
      </c>
      <c r="L37" s="226"/>
      <c r="M37" s="224"/>
      <c r="N37" s="217"/>
      <c r="O37" s="210"/>
    </row>
    <row r="38">
      <c r="A38" s="212">
        <f t="shared" si="2"/>
        <v>36</v>
      </c>
      <c r="B38" s="212" t="s">
        <v>38</v>
      </c>
      <c r="C38" s="212" t="s">
        <v>105</v>
      </c>
      <c r="D38" s="212" t="s">
        <v>635</v>
      </c>
      <c r="E38" s="212"/>
      <c r="F38" s="212" t="s">
        <v>638</v>
      </c>
      <c r="G38" s="217"/>
      <c r="H38" s="213" t="s">
        <v>639</v>
      </c>
      <c r="I38" s="217" t="s">
        <v>640</v>
      </c>
      <c r="J38" s="214" t="s">
        <v>105</v>
      </c>
      <c r="K38" s="215" t="s">
        <v>33</v>
      </c>
      <c r="L38" s="226"/>
      <c r="M38" s="224"/>
      <c r="N38" s="217"/>
      <c r="O38" s="210"/>
    </row>
    <row r="39">
      <c r="A39" s="212">
        <f t="shared" si="2"/>
        <v>37</v>
      </c>
      <c r="B39" s="212" t="s">
        <v>38</v>
      </c>
      <c r="C39" s="212" t="s">
        <v>105</v>
      </c>
      <c r="D39" s="212" t="s">
        <v>635</v>
      </c>
      <c r="E39" s="212"/>
      <c r="F39" s="212" t="s">
        <v>641</v>
      </c>
      <c r="G39" s="217"/>
      <c r="H39" s="213" t="s">
        <v>642</v>
      </c>
      <c r="I39" s="217" t="s">
        <v>643</v>
      </c>
      <c r="J39" s="214" t="s">
        <v>105</v>
      </c>
      <c r="K39" s="215" t="s">
        <v>33</v>
      </c>
      <c r="L39" s="226"/>
      <c r="M39" s="224"/>
      <c r="N39" s="217"/>
      <c r="O39" s="210"/>
    </row>
    <row r="40">
      <c r="A40" s="212">
        <f t="shared" si="2"/>
        <v>38</v>
      </c>
      <c r="B40" s="212" t="s">
        <v>38</v>
      </c>
      <c r="C40" s="212" t="s">
        <v>105</v>
      </c>
      <c r="D40" s="212" t="s">
        <v>635</v>
      </c>
      <c r="E40" s="212"/>
      <c r="F40" s="212" t="s">
        <v>644</v>
      </c>
      <c r="G40" s="217"/>
      <c r="H40" s="213" t="s">
        <v>645</v>
      </c>
      <c r="I40" s="217" t="s">
        <v>646</v>
      </c>
      <c r="J40" s="214" t="s">
        <v>105</v>
      </c>
      <c r="K40" s="215" t="s">
        <v>33</v>
      </c>
      <c r="L40" s="226"/>
      <c r="M40" s="224"/>
      <c r="N40" s="217"/>
      <c r="O40" s="210"/>
    </row>
    <row r="41">
      <c r="A41" s="212">
        <f t="shared" si="2"/>
        <v>39</v>
      </c>
      <c r="B41" s="212" t="s">
        <v>38</v>
      </c>
      <c r="C41" s="212" t="s">
        <v>105</v>
      </c>
      <c r="D41" s="212" t="s">
        <v>635</v>
      </c>
      <c r="E41" s="212"/>
      <c r="F41" s="212" t="s">
        <v>647</v>
      </c>
      <c r="G41" s="217"/>
      <c r="H41" s="213" t="s">
        <v>648</v>
      </c>
      <c r="I41" s="217" t="s">
        <v>649</v>
      </c>
      <c r="J41" s="214" t="s">
        <v>105</v>
      </c>
      <c r="K41" s="215" t="s">
        <v>33</v>
      </c>
      <c r="L41" s="226"/>
      <c r="M41" s="224"/>
      <c r="N41" s="217"/>
      <c r="O41" s="210"/>
    </row>
    <row r="42">
      <c r="A42" s="212">
        <f t="shared" si="2"/>
        <v>40</v>
      </c>
      <c r="B42" s="212" t="s">
        <v>38</v>
      </c>
      <c r="C42" s="212" t="s">
        <v>105</v>
      </c>
      <c r="D42" s="212" t="s">
        <v>650</v>
      </c>
      <c r="E42" s="212"/>
      <c r="F42" s="212" t="s">
        <v>651</v>
      </c>
      <c r="G42" s="217"/>
      <c r="H42" s="213" t="s">
        <v>652</v>
      </c>
      <c r="I42" s="217" t="s">
        <v>653</v>
      </c>
      <c r="J42" s="214" t="s">
        <v>105</v>
      </c>
      <c r="K42" s="215" t="s">
        <v>33</v>
      </c>
      <c r="L42" s="226"/>
      <c r="M42" s="224"/>
      <c r="N42" s="217"/>
      <c r="O42" s="210"/>
    </row>
    <row r="43">
      <c r="A43" s="212">
        <f t="shared" si="2"/>
        <v>41</v>
      </c>
      <c r="B43" s="212" t="s">
        <v>38</v>
      </c>
      <c r="C43" s="212" t="s">
        <v>105</v>
      </c>
      <c r="D43" s="212" t="s">
        <v>650</v>
      </c>
      <c r="E43" s="212"/>
      <c r="F43" s="212" t="s">
        <v>483</v>
      </c>
      <c r="G43" s="217" t="s">
        <v>654</v>
      </c>
      <c r="H43" s="213" t="s">
        <v>655</v>
      </c>
      <c r="I43" s="217" t="s">
        <v>656</v>
      </c>
      <c r="J43" s="214" t="s">
        <v>105</v>
      </c>
      <c r="K43" s="215" t="s">
        <v>33</v>
      </c>
      <c r="L43" s="240" t="s">
        <v>657</v>
      </c>
      <c r="M43" s="227" t="s">
        <v>658</v>
      </c>
      <c r="N43" s="217"/>
      <c r="O43" s="210"/>
    </row>
    <row r="44">
      <c r="A44" s="212">
        <f t="shared" si="2"/>
        <v>42</v>
      </c>
      <c r="B44" s="212" t="s">
        <v>38</v>
      </c>
      <c r="C44" s="212" t="s">
        <v>105</v>
      </c>
      <c r="D44" s="212" t="s">
        <v>650</v>
      </c>
      <c r="E44" s="212"/>
      <c r="F44" s="212" t="s">
        <v>659</v>
      </c>
      <c r="G44" s="217"/>
      <c r="H44" s="213" t="s">
        <v>660</v>
      </c>
      <c r="I44" s="217" t="s">
        <v>661</v>
      </c>
      <c r="J44" s="214" t="s">
        <v>105</v>
      </c>
      <c r="K44" s="215" t="s">
        <v>33</v>
      </c>
      <c r="L44" s="244" t="s">
        <v>662</v>
      </c>
      <c r="M44" s="227" t="s">
        <v>663</v>
      </c>
      <c r="N44" s="217"/>
      <c r="O44" s="210"/>
    </row>
    <row r="45">
      <c r="A45" s="212">
        <f t="shared" si="2"/>
        <v>43</v>
      </c>
      <c r="B45" s="212" t="s">
        <v>38</v>
      </c>
      <c r="C45" s="212" t="s">
        <v>105</v>
      </c>
      <c r="D45" s="212" t="s">
        <v>650</v>
      </c>
      <c r="E45" s="212"/>
      <c r="F45" s="225" t="s">
        <v>664</v>
      </c>
      <c r="G45" s="217"/>
      <c r="H45" s="213" t="s">
        <v>665</v>
      </c>
      <c r="I45" s="217" t="s">
        <v>666</v>
      </c>
      <c r="J45" s="214" t="s">
        <v>105</v>
      </c>
      <c r="K45" s="215" t="s">
        <v>33</v>
      </c>
      <c r="L45" s="226"/>
      <c r="M45" s="227" t="s">
        <v>634</v>
      </c>
      <c r="N45" s="217"/>
      <c r="O45" s="210"/>
    </row>
    <row r="46">
      <c r="A46" s="212">
        <f t="shared" si="2"/>
        <v>44</v>
      </c>
      <c r="B46" s="212" t="s">
        <v>38</v>
      </c>
      <c r="C46" s="212" t="s">
        <v>105</v>
      </c>
      <c r="D46" s="212" t="s">
        <v>650</v>
      </c>
      <c r="E46" s="212"/>
      <c r="F46" s="220"/>
      <c r="G46" s="217" t="s">
        <v>667</v>
      </c>
      <c r="H46" s="213" t="s">
        <v>668</v>
      </c>
      <c r="I46" s="217" t="s">
        <v>669</v>
      </c>
      <c r="J46" s="214" t="s">
        <v>105</v>
      </c>
      <c r="K46" s="215" t="s">
        <v>33</v>
      </c>
      <c r="L46" s="240" t="s">
        <v>670</v>
      </c>
      <c r="M46" s="227" t="s">
        <v>634</v>
      </c>
      <c r="N46" s="217"/>
      <c r="O46" s="210"/>
    </row>
    <row r="47">
      <c r="A47" s="212">
        <f t="shared" si="2"/>
        <v>45</v>
      </c>
      <c r="B47" s="212" t="s">
        <v>38</v>
      </c>
      <c r="C47" s="212" t="s">
        <v>105</v>
      </c>
      <c r="D47" s="212" t="s">
        <v>650</v>
      </c>
      <c r="E47" s="212"/>
      <c r="F47" s="39"/>
      <c r="G47" s="217"/>
      <c r="H47" s="213" t="s">
        <v>671</v>
      </c>
      <c r="I47" s="217" t="s">
        <v>672</v>
      </c>
      <c r="J47" s="214" t="s">
        <v>105</v>
      </c>
      <c r="K47" s="215" t="s">
        <v>33</v>
      </c>
      <c r="L47" s="226"/>
      <c r="M47" s="227" t="s">
        <v>634</v>
      </c>
      <c r="N47" s="217"/>
      <c r="O47" s="210"/>
    </row>
    <row r="48">
      <c r="A48" s="212">
        <f t="shared" si="2"/>
        <v>46</v>
      </c>
      <c r="B48" s="212" t="s">
        <v>38</v>
      </c>
      <c r="C48" s="212" t="s">
        <v>105</v>
      </c>
      <c r="D48" s="212" t="s">
        <v>650</v>
      </c>
      <c r="E48" s="212"/>
      <c r="F48" s="225" t="s">
        <v>673</v>
      </c>
      <c r="G48" s="217"/>
      <c r="H48" s="213" t="s">
        <v>674</v>
      </c>
      <c r="I48" s="217" t="s">
        <v>675</v>
      </c>
      <c r="J48" s="214" t="s">
        <v>105</v>
      </c>
      <c r="K48" s="215" t="s">
        <v>33</v>
      </c>
      <c r="L48" s="226"/>
      <c r="M48" s="227" t="s">
        <v>634</v>
      </c>
      <c r="N48" s="217"/>
      <c r="O48" s="210"/>
    </row>
    <row r="49">
      <c r="A49" s="212">
        <f t="shared" si="2"/>
        <v>47</v>
      </c>
      <c r="B49" s="212" t="s">
        <v>38</v>
      </c>
      <c r="C49" s="212" t="s">
        <v>105</v>
      </c>
      <c r="D49" s="212" t="s">
        <v>650</v>
      </c>
      <c r="E49" s="212"/>
      <c r="F49" s="220"/>
      <c r="G49" s="217" t="s">
        <v>676</v>
      </c>
      <c r="H49" s="213" t="s">
        <v>677</v>
      </c>
      <c r="I49" s="217" t="s">
        <v>678</v>
      </c>
      <c r="J49" s="214" t="s">
        <v>105</v>
      </c>
      <c r="K49" s="215" t="s">
        <v>33</v>
      </c>
      <c r="L49" s="240" t="s">
        <v>670</v>
      </c>
      <c r="M49" s="227" t="s">
        <v>634</v>
      </c>
      <c r="N49" s="217"/>
      <c r="O49" s="210"/>
    </row>
    <row r="50">
      <c r="A50" s="212">
        <f t="shared" si="2"/>
        <v>48</v>
      </c>
      <c r="B50" s="212" t="s">
        <v>38</v>
      </c>
      <c r="C50" s="212" t="s">
        <v>105</v>
      </c>
      <c r="D50" s="212" t="s">
        <v>650</v>
      </c>
      <c r="E50" s="212"/>
      <c r="F50" s="39"/>
      <c r="G50" s="217"/>
      <c r="H50" s="213" t="s">
        <v>679</v>
      </c>
      <c r="I50" s="217" t="s">
        <v>680</v>
      </c>
      <c r="J50" s="214" t="s">
        <v>105</v>
      </c>
      <c r="K50" s="215" t="s">
        <v>33</v>
      </c>
      <c r="L50" s="226"/>
      <c r="M50" s="227" t="s">
        <v>634</v>
      </c>
      <c r="N50" s="217"/>
      <c r="O50" s="210"/>
    </row>
    <row r="51">
      <c r="A51" s="212">
        <f t="shared" si="2"/>
        <v>49</v>
      </c>
      <c r="B51" s="212" t="s">
        <v>38</v>
      </c>
      <c r="C51" s="212" t="s">
        <v>105</v>
      </c>
      <c r="D51" s="212" t="s">
        <v>650</v>
      </c>
      <c r="E51" s="212"/>
      <c r="F51" s="212" t="s">
        <v>681</v>
      </c>
      <c r="G51" s="217"/>
      <c r="H51" s="213" t="s">
        <v>682</v>
      </c>
      <c r="I51" s="217" t="s">
        <v>683</v>
      </c>
      <c r="J51" s="214" t="s">
        <v>105</v>
      </c>
      <c r="K51" s="215" t="s">
        <v>33</v>
      </c>
      <c r="L51" s="240" t="s">
        <v>684</v>
      </c>
      <c r="M51" s="224"/>
      <c r="N51" s="217"/>
      <c r="O51" s="210"/>
    </row>
    <row r="52">
      <c r="A52" s="212">
        <f t="shared" si="2"/>
        <v>50</v>
      </c>
      <c r="B52" s="212" t="s">
        <v>38</v>
      </c>
      <c r="C52" s="212" t="s">
        <v>105</v>
      </c>
      <c r="D52" s="212" t="s">
        <v>650</v>
      </c>
      <c r="E52" s="212"/>
      <c r="F52" s="225" t="s">
        <v>448</v>
      </c>
      <c r="G52" s="217" t="s">
        <v>654</v>
      </c>
      <c r="H52" s="213" t="s">
        <v>579</v>
      </c>
      <c r="I52" s="217" t="s">
        <v>685</v>
      </c>
      <c r="J52" s="214" t="s">
        <v>105</v>
      </c>
      <c r="K52" s="215" t="s">
        <v>33</v>
      </c>
      <c r="L52" s="226"/>
      <c r="M52" s="224"/>
      <c r="N52" s="217"/>
      <c r="O52" s="210"/>
    </row>
    <row r="53">
      <c r="A53" s="212">
        <f t="shared" si="2"/>
        <v>51</v>
      </c>
      <c r="B53" s="212" t="s">
        <v>38</v>
      </c>
      <c r="C53" s="212" t="s">
        <v>105</v>
      </c>
      <c r="D53" s="212" t="s">
        <v>650</v>
      </c>
      <c r="E53" s="212"/>
      <c r="F53" s="220"/>
      <c r="G53" s="217" t="s">
        <v>686</v>
      </c>
      <c r="H53" s="213" t="s">
        <v>579</v>
      </c>
      <c r="I53" s="217" t="s">
        <v>687</v>
      </c>
      <c r="J53" s="214" t="s">
        <v>105</v>
      </c>
      <c r="K53" s="215" t="s">
        <v>33</v>
      </c>
      <c r="L53" s="226"/>
      <c r="M53" s="224"/>
      <c r="N53" s="217"/>
      <c r="O53" s="210"/>
    </row>
    <row r="54">
      <c r="A54" s="212">
        <f t="shared" si="2"/>
        <v>52</v>
      </c>
      <c r="B54" s="212" t="s">
        <v>38</v>
      </c>
      <c r="C54" s="212" t="s">
        <v>105</v>
      </c>
      <c r="D54" s="212" t="s">
        <v>650</v>
      </c>
      <c r="E54" s="212"/>
      <c r="F54" s="220"/>
      <c r="G54" s="217"/>
      <c r="H54" s="213" t="s">
        <v>688</v>
      </c>
      <c r="I54" s="217" t="s">
        <v>689</v>
      </c>
      <c r="J54" s="214" t="s">
        <v>105</v>
      </c>
      <c r="K54" s="215" t="s">
        <v>33</v>
      </c>
      <c r="L54" s="240" t="s">
        <v>690</v>
      </c>
      <c r="M54" s="224"/>
      <c r="N54" s="217"/>
      <c r="O54" s="210"/>
    </row>
    <row r="55">
      <c r="A55" s="212">
        <f t="shared" si="2"/>
        <v>53</v>
      </c>
      <c r="B55" s="212" t="s">
        <v>38</v>
      </c>
      <c r="C55" s="212" t="s">
        <v>105</v>
      </c>
      <c r="D55" s="212" t="s">
        <v>650</v>
      </c>
      <c r="E55" s="212"/>
      <c r="F55" s="39"/>
      <c r="G55" s="217"/>
      <c r="H55" s="213" t="s">
        <v>691</v>
      </c>
      <c r="I55" s="217" t="s">
        <v>692</v>
      </c>
      <c r="J55" s="214" t="s">
        <v>105</v>
      </c>
      <c r="K55" s="215" t="s">
        <v>33</v>
      </c>
      <c r="L55" s="240" t="s">
        <v>690</v>
      </c>
      <c r="M55" s="224"/>
      <c r="N55" s="217"/>
      <c r="O55" s="210"/>
    </row>
    <row r="56">
      <c r="A56" s="212">
        <f t="shared" si="2"/>
        <v>54</v>
      </c>
      <c r="B56" s="212" t="s">
        <v>38</v>
      </c>
      <c r="C56" s="212" t="s">
        <v>108</v>
      </c>
      <c r="D56" s="212"/>
      <c r="E56" s="212"/>
      <c r="F56" s="212" t="s">
        <v>483</v>
      </c>
      <c r="G56" s="217"/>
      <c r="H56" s="213" t="s">
        <v>693</v>
      </c>
      <c r="I56" s="217" t="s">
        <v>694</v>
      </c>
      <c r="J56" s="214" t="s">
        <v>108</v>
      </c>
      <c r="K56" s="215" t="s">
        <v>33</v>
      </c>
      <c r="L56" s="226"/>
      <c r="M56" s="224"/>
      <c r="N56" s="217"/>
      <c r="O56" s="210"/>
    </row>
    <row r="57">
      <c r="A57" s="212">
        <f t="shared" si="2"/>
        <v>55</v>
      </c>
      <c r="B57" s="212" t="s">
        <v>38</v>
      </c>
      <c r="C57" s="212" t="s">
        <v>108</v>
      </c>
      <c r="D57" s="212"/>
      <c r="E57" s="212"/>
      <c r="F57" s="212" t="s">
        <v>695</v>
      </c>
      <c r="G57" s="217"/>
      <c r="H57" s="213" t="s">
        <v>696</v>
      </c>
      <c r="I57" s="217" t="s">
        <v>697</v>
      </c>
      <c r="J57" s="214" t="s">
        <v>108</v>
      </c>
      <c r="K57" s="215" t="s">
        <v>33</v>
      </c>
      <c r="L57" s="226"/>
      <c r="M57" s="224"/>
      <c r="N57" s="217"/>
      <c r="O57" s="210"/>
    </row>
    <row r="58">
      <c r="A58" s="212">
        <f t="shared" si="2"/>
        <v>56</v>
      </c>
      <c r="B58" s="212" t="s">
        <v>38</v>
      </c>
      <c r="C58" s="212" t="s">
        <v>108</v>
      </c>
      <c r="D58" s="212" t="s">
        <v>587</v>
      </c>
      <c r="E58" s="212"/>
      <c r="F58" s="212" t="s">
        <v>483</v>
      </c>
      <c r="G58" s="217"/>
      <c r="H58" s="213" t="s">
        <v>698</v>
      </c>
      <c r="I58" s="217" t="s">
        <v>699</v>
      </c>
      <c r="J58" s="214" t="s">
        <v>108</v>
      </c>
      <c r="K58" s="215" t="s">
        <v>33</v>
      </c>
      <c r="L58" s="226"/>
      <c r="M58" s="224"/>
      <c r="N58" s="217"/>
      <c r="O58" s="210"/>
    </row>
    <row r="59">
      <c r="A59" s="212">
        <f t="shared" si="2"/>
        <v>57</v>
      </c>
      <c r="B59" s="212" t="s">
        <v>38</v>
      </c>
      <c r="C59" s="212" t="s">
        <v>108</v>
      </c>
      <c r="D59" s="212" t="s">
        <v>587</v>
      </c>
      <c r="E59" s="212"/>
      <c r="F59" s="212" t="s">
        <v>700</v>
      </c>
      <c r="G59" s="217"/>
      <c r="H59" s="213" t="s">
        <v>701</v>
      </c>
      <c r="I59" s="217" t="s">
        <v>702</v>
      </c>
      <c r="J59" s="214" t="s">
        <v>108</v>
      </c>
      <c r="K59" s="215" t="s">
        <v>36</v>
      </c>
      <c r="L59" s="240" t="s">
        <v>591</v>
      </c>
      <c r="M59" s="227" t="s">
        <v>703</v>
      </c>
      <c r="N59" s="217"/>
      <c r="O59" s="210"/>
    </row>
    <row r="60">
      <c r="A60" s="212">
        <f t="shared" si="2"/>
        <v>58</v>
      </c>
      <c r="B60" s="212" t="s">
        <v>38</v>
      </c>
      <c r="C60" s="212" t="s">
        <v>108</v>
      </c>
      <c r="D60" s="212" t="s">
        <v>587</v>
      </c>
      <c r="E60" s="212"/>
      <c r="F60" s="225" t="s">
        <v>704</v>
      </c>
      <c r="G60" s="217"/>
      <c r="H60" s="213" t="s">
        <v>705</v>
      </c>
      <c r="I60" s="217" t="s">
        <v>595</v>
      </c>
      <c r="J60" s="214" t="s">
        <v>108</v>
      </c>
      <c r="K60" s="215" t="s">
        <v>33</v>
      </c>
      <c r="L60" s="226"/>
      <c r="M60" s="224"/>
      <c r="N60" s="217"/>
      <c r="O60" s="210"/>
    </row>
    <row r="61">
      <c r="A61" s="212">
        <f t="shared" si="2"/>
        <v>59</v>
      </c>
      <c r="B61" s="212" t="s">
        <v>38</v>
      </c>
      <c r="C61" s="212" t="s">
        <v>108</v>
      </c>
      <c r="D61" s="212" t="s">
        <v>587</v>
      </c>
      <c r="E61" s="212"/>
      <c r="F61" s="39"/>
      <c r="G61" s="217"/>
      <c r="H61" s="213" t="s">
        <v>706</v>
      </c>
      <c r="I61" s="217" t="s">
        <v>707</v>
      </c>
      <c r="J61" s="214" t="s">
        <v>108</v>
      </c>
      <c r="K61" s="215" t="s">
        <v>33</v>
      </c>
      <c r="L61" s="226"/>
      <c r="M61" s="224"/>
      <c r="N61" s="217"/>
      <c r="O61" s="210"/>
    </row>
    <row r="62">
      <c r="A62" s="212">
        <f t="shared" si="2"/>
        <v>60</v>
      </c>
      <c r="B62" s="212" t="s">
        <v>38</v>
      </c>
      <c r="C62" s="212" t="s">
        <v>108</v>
      </c>
      <c r="D62" s="212" t="s">
        <v>587</v>
      </c>
      <c r="E62" s="212"/>
      <c r="F62" s="225" t="s">
        <v>708</v>
      </c>
      <c r="G62" s="217" t="s">
        <v>709</v>
      </c>
      <c r="H62" s="213" t="s">
        <v>706</v>
      </c>
      <c r="I62" s="217" t="s">
        <v>707</v>
      </c>
      <c r="J62" s="214" t="s">
        <v>108</v>
      </c>
      <c r="K62" s="215" t="s">
        <v>33</v>
      </c>
      <c r="L62" s="226"/>
      <c r="M62" s="224"/>
      <c r="N62" s="217"/>
      <c r="O62" s="210"/>
    </row>
    <row r="63">
      <c r="A63" s="212">
        <f t="shared" si="2"/>
        <v>61</v>
      </c>
      <c r="B63" s="212" t="s">
        <v>38</v>
      </c>
      <c r="C63" s="212" t="s">
        <v>108</v>
      </c>
      <c r="D63" s="212" t="s">
        <v>587</v>
      </c>
      <c r="E63" s="212"/>
      <c r="F63" s="220"/>
      <c r="G63" s="217" t="s">
        <v>710</v>
      </c>
      <c r="H63" s="213" t="s">
        <v>706</v>
      </c>
      <c r="I63" s="217" t="s">
        <v>707</v>
      </c>
      <c r="J63" s="214" t="s">
        <v>108</v>
      </c>
      <c r="K63" s="215" t="s">
        <v>33</v>
      </c>
      <c r="L63" s="226"/>
      <c r="M63" s="224"/>
      <c r="N63" s="217"/>
      <c r="O63" s="210"/>
    </row>
    <row r="64">
      <c r="A64" s="212">
        <f t="shared" si="2"/>
        <v>62</v>
      </c>
      <c r="B64" s="212" t="s">
        <v>38</v>
      </c>
      <c r="C64" s="212" t="s">
        <v>108</v>
      </c>
      <c r="D64" s="212" t="s">
        <v>587</v>
      </c>
      <c r="E64" s="212"/>
      <c r="F64" s="39"/>
      <c r="G64" s="217" t="s">
        <v>711</v>
      </c>
      <c r="H64" s="213" t="s">
        <v>706</v>
      </c>
      <c r="I64" s="217" t="s">
        <v>602</v>
      </c>
      <c r="J64" s="214" t="s">
        <v>108</v>
      </c>
      <c r="K64" s="215" t="s">
        <v>33</v>
      </c>
      <c r="L64" s="226"/>
      <c r="M64" s="227" t="s">
        <v>604</v>
      </c>
      <c r="N64" s="217"/>
      <c r="O64" s="210"/>
    </row>
    <row r="65">
      <c r="A65" s="212">
        <f t="shared" si="2"/>
        <v>63</v>
      </c>
      <c r="B65" s="212" t="s">
        <v>38</v>
      </c>
      <c r="C65" s="212" t="s">
        <v>108</v>
      </c>
      <c r="D65" s="212" t="s">
        <v>587</v>
      </c>
      <c r="E65" s="212"/>
      <c r="F65" s="212" t="s">
        <v>712</v>
      </c>
      <c r="G65" s="217" t="s">
        <v>713</v>
      </c>
      <c r="H65" s="213" t="s">
        <v>706</v>
      </c>
      <c r="I65" s="217" t="s">
        <v>607</v>
      </c>
      <c r="J65" s="214" t="s">
        <v>108</v>
      </c>
      <c r="K65" s="215" t="s">
        <v>33</v>
      </c>
      <c r="L65" s="226"/>
      <c r="M65" s="227" t="s">
        <v>604</v>
      </c>
      <c r="N65" s="217"/>
      <c r="O65" s="210"/>
    </row>
    <row r="66">
      <c r="A66" s="212">
        <f t="shared" si="2"/>
        <v>64</v>
      </c>
      <c r="B66" s="212" t="s">
        <v>38</v>
      </c>
      <c r="C66" s="212" t="s">
        <v>108</v>
      </c>
      <c r="D66" s="212" t="s">
        <v>587</v>
      </c>
      <c r="E66" s="212"/>
      <c r="F66" s="212" t="s">
        <v>714</v>
      </c>
      <c r="G66" s="217"/>
      <c r="H66" s="213" t="s">
        <v>715</v>
      </c>
      <c r="I66" s="217" t="s">
        <v>716</v>
      </c>
      <c r="J66" s="214" t="s">
        <v>108</v>
      </c>
      <c r="K66" s="215" t="s">
        <v>33</v>
      </c>
      <c r="L66" s="226"/>
      <c r="M66" s="245" t="s">
        <v>717</v>
      </c>
      <c r="N66" s="217"/>
      <c r="O66" s="210"/>
    </row>
    <row r="67">
      <c r="A67" s="212">
        <f t="shared" si="2"/>
        <v>65</v>
      </c>
      <c r="B67" s="212" t="s">
        <v>38</v>
      </c>
      <c r="C67" s="212" t="s">
        <v>108</v>
      </c>
      <c r="D67" s="212" t="s">
        <v>587</v>
      </c>
      <c r="E67" s="212"/>
      <c r="F67" s="212" t="s">
        <v>718</v>
      </c>
      <c r="G67" s="217"/>
      <c r="H67" s="213" t="s">
        <v>719</v>
      </c>
      <c r="I67" s="217" t="s">
        <v>720</v>
      </c>
      <c r="J67" s="214" t="s">
        <v>108</v>
      </c>
      <c r="K67" s="215" t="s">
        <v>33</v>
      </c>
      <c r="L67" s="226"/>
      <c r="M67" s="224"/>
      <c r="N67" s="217"/>
      <c r="O67" s="210"/>
    </row>
    <row r="68">
      <c r="A68" s="212">
        <f t="shared" si="2"/>
        <v>66</v>
      </c>
      <c r="B68" s="212" t="s">
        <v>38</v>
      </c>
      <c r="C68" s="212" t="s">
        <v>108</v>
      </c>
      <c r="D68" s="212" t="s">
        <v>587</v>
      </c>
      <c r="E68" s="212"/>
      <c r="F68" s="212" t="s">
        <v>721</v>
      </c>
      <c r="G68" s="217"/>
      <c r="H68" s="213" t="s">
        <v>722</v>
      </c>
      <c r="I68" s="217" t="s">
        <v>723</v>
      </c>
      <c r="J68" s="214" t="s">
        <v>108</v>
      </c>
      <c r="K68" s="215" t="s">
        <v>33</v>
      </c>
      <c r="L68" s="226"/>
      <c r="M68" s="224"/>
      <c r="N68" s="217"/>
      <c r="O68" s="210"/>
    </row>
    <row r="69">
      <c r="A69" s="212">
        <f t="shared" si="2"/>
        <v>67</v>
      </c>
      <c r="B69" s="212" t="s">
        <v>38</v>
      </c>
      <c r="C69" s="212" t="s">
        <v>108</v>
      </c>
      <c r="D69" s="212" t="s">
        <v>587</v>
      </c>
      <c r="E69" s="212"/>
      <c r="F69" s="212" t="s">
        <v>724</v>
      </c>
      <c r="G69" s="217"/>
      <c r="H69" s="213" t="s">
        <v>725</v>
      </c>
      <c r="I69" s="217" t="s">
        <v>726</v>
      </c>
      <c r="J69" s="214" t="s">
        <v>108</v>
      </c>
      <c r="K69" s="215" t="s">
        <v>33</v>
      </c>
      <c r="L69" s="226"/>
      <c r="M69" s="224"/>
      <c r="N69" s="217"/>
      <c r="O69" s="210"/>
    </row>
    <row r="70">
      <c r="A70" s="212">
        <f t="shared" si="2"/>
        <v>68</v>
      </c>
      <c r="B70" s="212" t="s">
        <v>38</v>
      </c>
      <c r="C70" s="212" t="s">
        <v>108</v>
      </c>
      <c r="D70" s="212" t="s">
        <v>587</v>
      </c>
      <c r="E70" s="212"/>
      <c r="F70" s="212" t="s">
        <v>727</v>
      </c>
      <c r="G70" s="217"/>
      <c r="H70" s="213" t="s">
        <v>728</v>
      </c>
      <c r="I70" s="217" t="s">
        <v>729</v>
      </c>
      <c r="J70" s="214" t="s">
        <v>108</v>
      </c>
      <c r="K70" s="215" t="s">
        <v>33</v>
      </c>
      <c r="L70" s="226"/>
      <c r="M70" s="224"/>
      <c r="N70" s="217"/>
      <c r="O70" s="210"/>
    </row>
    <row r="71">
      <c r="A71" s="212">
        <f t="shared" si="2"/>
        <v>69</v>
      </c>
      <c r="B71" s="212" t="s">
        <v>38</v>
      </c>
      <c r="C71" s="212" t="s">
        <v>108</v>
      </c>
      <c r="D71" s="212" t="s">
        <v>587</v>
      </c>
      <c r="E71" s="212"/>
      <c r="F71" s="212" t="s">
        <v>730</v>
      </c>
      <c r="G71" s="217"/>
      <c r="H71" s="213" t="s">
        <v>731</v>
      </c>
      <c r="I71" s="217" t="s">
        <v>732</v>
      </c>
      <c r="J71" s="214" t="s">
        <v>108</v>
      </c>
      <c r="K71" s="215" t="s">
        <v>33</v>
      </c>
      <c r="L71" s="226"/>
      <c r="M71" s="224"/>
      <c r="N71" s="217"/>
      <c r="O71" s="210"/>
    </row>
    <row r="72">
      <c r="A72" s="212">
        <f t="shared" si="2"/>
        <v>70</v>
      </c>
      <c r="B72" s="212" t="s">
        <v>38</v>
      </c>
      <c r="C72" s="212" t="s">
        <v>108</v>
      </c>
      <c r="D72" s="212" t="s">
        <v>587</v>
      </c>
      <c r="E72" s="212"/>
      <c r="F72" s="212" t="s">
        <v>733</v>
      </c>
      <c r="G72" s="217"/>
      <c r="H72" s="213" t="s">
        <v>734</v>
      </c>
      <c r="I72" s="217" t="s">
        <v>735</v>
      </c>
      <c r="J72" s="214" t="s">
        <v>108</v>
      </c>
      <c r="K72" s="215" t="s">
        <v>36</v>
      </c>
      <c r="L72" s="226"/>
      <c r="M72" s="227" t="s">
        <v>736</v>
      </c>
      <c r="N72" s="217"/>
      <c r="O72" s="210"/>
    </row>
    <row r="73">
      <c r="A73" s="212">
        <f t="shared" si="2"/>
        <v>71</v>
      </c>
      <c r="B73" s="212" t="s">
        <v>38</v>
      </c>
      <c r="C73" s="212" t="s">
        <v>108</v>
      </c>
      <c r="D73" s="212" t="s">
        <v>587</v>
      </c>
      <c r="E73" s="212"/>
      <c r="F73" s="212" t="s">
        <v>681</v>
      </c>
      <c r="G73" s="217" t="s">
        <v>737</v>
      </c>
      <c r="H73" s="213" t="s">
        <v>731</v>
      </c>
      <c r="I73" s="217" t="s">
        <v>738</v>
      </c>
      <c r="J73" s="214" t="s">
        <v>108</v>
      </c>
      <c r="K73" s="215" t="s">
        <v>33</v>
      </c>
      <c r="L73" s="226"/>
      <c r="M73" s="224"/>
      <c r="N73" s="217"/>
      <c r="O73" s="210"/>
    </row>
    <row r="74">
      <c r="A74" s="212">
        <f t="shared" si="2"/>
        <v>72</v>
      </c>
      <c r="B74" s="212" t="s">
        <v>38</v>
      </c>
      <c r="C74" s="212" t="s">
        <v>108</v>
      </c>
      <c r="D74" s="212" t="s">
        <v>530</v>
      </c>
      <c r="E74" s="212"/>
      <c r="F74" s="212" t="s">
        <v>483</v>
      </c>
      <c r="G74" s="217"/>
      <c r="H74" s="213" t="s">
        <v>739</v>
      </c>
      <c r="I74" s="217" t="s">
        <v>740</v>
      </c>
      <c r="J74" s="214" t="s">
        <v>108</v>
      </c>
      <c r="K74" s="215" t="s">
        <v>33</v>
      </c>
      <c r="L74" s="240" t="s">
        <v>741</v>
      </c>
      <c r="M74" s="227" t="s">
        <v>742</v>
      </c>
      <c r="N74" s="217"/>
      <c r="O74" s="210"/>
    </row>
    <row r="75">
      <c r="A75" s="212">
        <f t="shared" si="2"/>
        <v>73</v>
      </c>
      <c r="B75" s="212" t="s">
        <v>38</v>
      </c>
      <c r="C75" s="212" t="s">
        <v>108</v>
      </c>
      <c r="D75" s="212" t="s">
        <v>530</v>
      </c>
      <c r="E75" s="212"/>
      <c r="F75" s="212" t="s">
        <v>743</v>
      </c>
      <c r="G75" s="217"/>
      <c r="H75" s="213" t="s">
        <v>744</v>
      </c>
      <c r="I75" s="217" t="s">
        <v>745</v>
      </c>
      <c r="J75" s="214" t="s">
        <v>108</v>
      </c>
      <c r="K75" s="215" t="s">
        <v>33</v>
      </c>
      <c r="L75" s="226"/>
      <c r="M75" s="224"/>
      <c r="N75" s="217"/>
      <c r="O75" s="210"/>
    </row>
    <row r="76">
      <c r="A76" s="212">
        <f t="shared" si="2"/>
        <v>74</v>
      </c>
      <c r="B76" s="212" t="s">
        <v>38</v>
      </c>
      <c r="C76" s="212" t="s">
        <v>108</v>
      </c>
      <c r="D76" s="212" t="s">
        <v>530</v>
      </c>
      <c r="E76" s="212"/>
      <c r="F76" s="212" t="s">
        <v>746</v>
      </c>
      <c r="G76" s="217"/>
      <c r="H76" s="213" t="s">
        <v>747</v>
      </c>
      <c r="I76" s="217" t="s">
        <v>748</v>
      </c>
      <c r="J76" s="214" t="s">
        <v>108</v>
      </c>
      <c r="K76" s="215" t="s">
        <v>33</v>
      </c>
      <c r="L76" s="226"/>
      <c r="M76" s="224"/>
      <c r="N76" s="217"/>
      <c r="O76" s="210"/>
    </row>
    <row r="77">
      <c r="A77" s="212">
        <f t="shared" si="2"/>
        <v>75</v>
      </c>
      <c r="B77" s="212" t="s">
        <v>38</v>
      </c>
      <c r="C77" s="212" t="s">
        <v>108</v>
      </c>
      <c r="D77" s="212" t="s">
        <v>530</v>
      </c>
      <c r="E77" s="212"/>
      <c r="F77" s="212" t="s">
        <v>749</v>
      </c>
      <c r="G77" s="217"/>
      <c r="H77" s="213" t="s">
        <v>750</v>
      </c>
      <c r="I77" s="217" t="s">
        <v>751</v>
      </c>
      <c r="J77" s="214" t="s">
        <v>108</v>
      </c>
      <c r="K77" s="215" t="s">
        <v>33</v>
      </c>
      <c r="L77" s="226"/>
      <c r="M77" s="224"/>
      <c r="N77" s="217"/>
      <c r="O77" s="210"/>
    </row>
    <row r="78">
      <c r="A78" s="212">
        <f t="shared" si="2"/>
        <v>76</v>
      </c>
      <c r="B78" s="212" t="s">
        <v>38</v>
      </c>
      <c r="C78" s="212" t="s">
        <v>108</v>
      </c>
      <c r="D78" s="212" t="s">
        <v>530</v>
      </c>
      <c r="E78" s="212"/>
      <c r="F78" s="212" t="s">
        <v>752</v>
      </c>
      <c r="G78" s="217"/>
      <c r="H78" s="213" t="s">
        <v>753</v>
      </c>
      <c r="I78" s="217" t="s">
        <v>754</v>
      </c>
      <c r="J78" s="214" t="s">
        <v>108</v>
      </c>
      <c r="K78" s="215" t="s">
        <v>33</v>
      </c>
      <c r="L78" s="226"/>
      <c r="M78" s="224"/>
      <c r="N78" s="217"/>
      <c r="O78" s="210"/>
    </row>
    <row r="79">
      <c r="A79" s="212">
        <f t="shared" si="2"/>
        <v>77</v>
      </c>
      <c r="B79" s="212" t="s">
        <v>38</v>
      </c>
      <c r="C79" s="212" t="s">
        <v>108</v>
      </c>
      <c r="D79" s="212" t="s">
        <v>530</v>
      </c>
      <c r="E79" s="212"/>
      <c r="F79" s="225" t="s">
        <v>755</v>
      </c>
      <c r="G79" s="217"/>
      <c r="H79" s="213" t="s">
        <v>756</v>
      </c>
      <c r="I79" s="217" t="s">
        <v>757</v>
      </c>
      <c r="J79" s="214" t="s">
        <v>108</v>
      </c>
      <c r="K79" s="215" t="s">
        <v>33</v>
      </c>
      <c r="L79" s="226"/>
      <c r="M79" s="224"/>
      <c r="N79" s="217"/>
      <c r="O79" s="210"/>
    </row>
    <row r="80">
      <c r="A80" s="212">
        <f t="shared" si="2"/>
        <v>78</v>
      </c>
      <c r="B80" s="212" t="s">
        <v>38</v>
      </c>
      <c r="C80" s="212" t="s">
        <v>108</v>
      </c>
      <c r="D80" s="212" t="s">
        <v>530</v>
      </c>
      <c r="E80" s="212"/>
      <c r="F80" s="220"/>
      <c r="G80" s="217" t="s">
        <v>758</v>
      </c>
      <c r="H80" s="213" t="s">
        <v>756</v>
      </c>
      <c r="I80" s="217" t="s">
        <v>759</v>
      </c>
      <c r="J80" s="214" t="s">
        <v>108</v>
      </c>
      <c r="K80" s="215" t="s">
        <v>33</v>
      </c>
      <c r="L80" s="226"/>
      <c r="M80" s="224"/>
      <c r="N80" s="217"/>
      <c r="O80" s="210"/>
    </row>
    <row r="81">
      <c r="A81" s="212">
        <f t="shared" si="2"/>
        <v>79</v>
      </c>
      <c r="B81" s="212" t="s">
        <v>38</v>
      </c>
      <c r="C81" s="212" t="s">
        <v>108</v>
      </c>
      <c r="D81" s="212" t="s">
        <v>530</v>
      </c>
      <c r="E81" s="212"/>
      <c r="F81" s="220"/>
      <c r="G81" s="217" t="s">
        <v>760</v>
      </c>
      <c r="H81" s="213" t="s">
        <v>756</v>
      </c>
      <c r="I81" s="243" t="s">
        <v>761</v>
      </c>
      <c r="J81" s="214" t="s">
        <v>108</v>
      </c>
      <c r="K81" s="215" t="s">
        <v>33</v>
      </c>
      <c r="L81" s="226"/>
      <c r="M81" s="227" t="s">
        <v>762</v>
      </c>
      <c r="N81" s="217"/>
      <c r="O81" s="210"/>
    </row>
    <row r="82">
      <c r="A82" s="212">
        <f t="shared" si="2"/>
        <v>80</v>
      </c>
      <c r="B82" s="212" t="s">
        <v>38</v>
      </c>
      <c r="C82" s="212" t="s">
        <v>108</v>
      </c>
      <c r="D82" s="212" t="s">
        <v>530</v>
      </c>
      <c r="E82" s="212"/>
      <c r="F82" s="39"/>
      <c r="G82" s="217"/>
      <c r="H82" s="213" t="s">
        <v>763</v>
      </c>
      <c r="I82" s="217" t="s">
        <v>764</v>
      </c>
      <c r="J82" s="214" t="s">
        <v>108</v>
      </c>
      <c r="K82" s="215" t="s">
        <v>33</v>
      </c>
      <c r="L82" s="226"/>
      <c r="M82" s="224"/>
      <c r="N82" s="217"/>
      <c r="O82" s="210"/>
    </row>
    <row r="83">
      <c r="A83" s="212">
        <f t="shared" si="2"/>
        <v>81</v>
      </c>
      <c r="B83" s="212" t="s">
        <v>38</v>
      </c>
      <c r="C83" s="212" t="s">
        <v>108</v>
      </c>
      <c r="D83" s="212" t="s">
        <v>530</v>
      </c>
      <c r="E83" s="212"/>
      <c r="F83" s="212" t="s">
        <v>765</v>
      </c>
      <c r="G83" s="217" t="s">
        <v>766</v>
      </c>
      <c r="H83" s="213" t="s">
        <v>767</v>
      </c>
      <c r="I83" s="217" t="s">
        <v>768</v>
      </c>
      <c r="J83" s="214" t="s">
        <v>108</v>
      </c>
      <c r="K83" s="215" t="s">
        <v>33</v>
      </c>
      <c r="L83" s="226"/>
      <c r="M83" s="224"/>
      <c r="N83" s="217"/>
      <c r="O83" s="210"/>
    </row>
    <row r="84">
      <c r="A84" s="212">
        <f t="shared" si="2"/>
        <v>82</v>
      </c>
      <c r="B84" s="212" t="s">
        <v>38</v>
      </c>
      <c r="C84" s="212" t="s">
        <v>108</v>
      </c>
      <c r="D84" s="212" t="s">
        <v>530</v>
      </c>
      <c r="E84" s="212"/>
      <c r="F84" s="212" t="s">
        <v>765</v>
      </c>
      <c r="G84" s="217" t="s">
        <v>769</v>
      </c>
      <c r="H84" s="213" t="s">
        <v>767</v>
      </c>
      <c r="I84" s="217" t="s">
        <v>770</v>
      </c>
      <c r="J84" s="214" t="s">
        <v>108</v>
      </c>
      <c r="K84" s="215" t="s">
        <v>33</v>
      </c>
      <c r="L84" s="226"/>
      <c r="M84" s="224"/>
      <c r="N84" s="217"/>
      <c r="O84" s="210"/>
    </row>
    <row r="85">
      <c r="A85" s="212">
        <f t="shared" si="2"/>
        <v>83</v>
      </c>
      <c r="B85" s="212" t="s">
        <v>38</v>
      </c>
      <c r="C85" s="212" t="s">
        <v>108</v>
      </c>
      <c r="D85" s="212" t="s">
        <v>530</v>
      </c>
      <c r="E85" s="212"/>
      <c r="F85" s="212" t="s">
        <v>765</v>
      </c>
      <c r="G85" s="217" t="s">
        <v>771</v>
      </c>
      <c r="H85" s="213" t="s">
        <v>767</v>
      </c>
      <c r="I85" s="217" t="s">
        <v>772</v>
      </c>
      <c r="J85" s="214" t="s">
        <v>108</v>
      </c>
      <c r="K85" s="215"/>
      <c r="L85" s="226"/>
      <c r="M85" s="224"/>
      <c r="N85" s="217"/>
      <c r="O85" s="210"/>
    </row>
    <row r="86">
      <c r="A86" s="212">
        <f t="shared" si="2"/>
        <v>84</v>
      </c>
      <c r="B86" s="212" t="s">
        <v>38</v>
      </c>
      <c r="C86" s="212" t="s">
        <v>108</v>
      </c>
      <c r="D86" s="212" t="s">
        <v>530</v>
      </c>
      <c r="E86" s="212"/>
      <c r="F86" s="212" t="s">
        <v>765</v>
      </c>
      <c r="G86" s="217"/>
      <c r="H86" s="213" t="s">
        <v>773</v>
      </c>
      <c r="I86" s="217" t="s">
        <v>774</v>
      </c>
      <c r="J86" s="214" t="s">
        <v>108</v>
      </c>
      <c r="K86" s="215" t="s">
        <v>33</v>
      </c>
      <c r="L86" s="226"/>
      <c r="M86" s="224"/>
      <c r="N86" s="217"/>
      <c r="O86" s="210"/>
    </row>
    <row r="87">
      <c r="A87" s="212">
        <f t="shared" si="2"/>
        <v>85</v>
      </c>
      <c r="B87" s="212" t="s">
        <v>38</v>
      </c>
      <c r="C87" s="212" t="s">
        <v>108</v>
      </c>
      <c r="D87" s="212" t="s">
        <v>530</v>
      </c>
      <c r="E87" s="212"/>
      <c r="F87" s="212" t="s">
        <v>765</v>
      </c>
      <c r="G87" s="217"/>
      <c r="H87" s="213" t="s">
        <v>775</v>
      </c>
      <c r="I87" s="217" t="s">
        <v>776</v>
      </c>
      <c r="J87" s="214" t="s">
        <v>108</v>
      </c>
      <c r="K87" s="215" t="s">
        <v>33</v>
      </c>
      <c r="L87" s="226"/>
      <c r="M87" s="224"/>
      <c r="N87" s="217"/>
      <c r="O87" s="210"/>
    </row>
    <row r="88">
      <c r="A88" s="212">
        <f t="shared" si="2"/>
        <v>86</v>
      </c>
      <c r="B88" s="212" t="s">
        <v>38</v>
      </c>
      <c r="C88" s="212" t="s">
        <v>108</v>
      </c>
      <c r="D88" s="212" t="s">
        <v>530</v>
      </c>
      <c r="E88" s="212"/>
      <c r="F88" s="212" t="s">
        <v>777</v>
      </c>
      <c r="G88" s="217"/>
      <c r="H88" s="213" t="s">
        <v>778</v>
      </c>
      <c r="I88" s="217" t="s">
        <v>779</v>
      </c>
      <c r="J88" s="214" t="s">
        <v>108</v>
      </c>
      <c r="K88" s="215" t="s">
        <v>33</v>
      </c>
      <c r="L88" s="226"/>
      <c r="M88" s="224"/>
      <c r="N88" s="217"/>
      <c r="O88" s="210"/>
    </row>
    <row r="89">
      <c r="A89" s="212">
        <f t="shared" si="2"/>
        <v>87</v>
      </c>
      <c r="B89" s="212" t="s">
        <v>38</v>
      </c>
      <c r="C89" s="212" t="s">
        <v>108</v>
      </c>
      <c r="D89" s="212" t="s">
        <v>530</v>
      </c>
      <c r="E89" s="212"/>
      <c r="F89" s="212" t="s">
        <v>777</v>
      </c>
      <c r="G89" s="217"/>
      <c r="H89" s="213" t="s">
        <v>780</v>
      </c>
      <c r="I89" s="217" t="s">
        <v>781</v>
      </c>
      <c r="J89" s="214" t="s">
        <v>108</v>
      </c>
      <c r="K89" s="215" t="s">
        <v>33</v>
      </c>
      <c r="L89" s="226"/>
      <c r="M89" s="224"/>
      <c r="N89" s="217"/>
      <c r="O89" s="210"/>
    </row>
    <row r="90">
      <c r="A90" s="212">
        <f t="shared" si="2"/>
        <v>88</v>
      </c>
      <c r="B90" s="212" t="s">
        <v>38</v>
      </c>
      <c r="C90" s="212" t="s">
        <v>108</v>
      </c>
      <c r="D90" s="212" t="s">
        <v>530</v>
      </c>
      <c r="E90" s="212"/>
      <c r="F90" s="212" t="s">
        <v>777</v>
      </c>
      <c r="G90" s="217"/>
      <c r="H90" s="213" t="s">
        <v>782</v>
      </c>
      <c r="I90" s="217" t="s">
        <v>783</v>
      </c>
      <c r="J90" s="214" t="s">
        <v>108</v>
      </c>
      <c r="K90" s="215" t="s">
        <v>34</v>
      </c>
      <c r="L90" s="240" t="s">
        <v>784</v>
      </c>
      <c r="M90" s="224"/>
      <c r="N90" s="217"/>
      <c r="O90" s="210"/>
    </row>
    <row r="91">
      <c r="A91" s="212">
        <f t="shared" si="2"/>
        <v>89</v>
      </c>
      <c r="B91" s="212" t="s">
        <v>38</v>
      </c>
      <c r="C91" s="212" t="s">
        <v>108</v>
      </c>
      <c r="D91" s="212" t="s">
        <v>530</v>
      </c>
      <c r="E91" s="212"/>
      <c r="F91" s="212" t="s">
        <v>777</v>
      </c>
      <c r="G91" s="217"/>
      <c r="H91" s="213" t="s">
        <v>785</v>
      </c>
      <c r="I91" s="217" t="s">
        <v>786</v>
      </c>
      <c r="J91" s="214" t="s">
        <v>108</v>
      </c>
      <c r="K91" s="215" t="s">
        <v>34</v>
      </c>
      <c r="L91" s="226"/>
      <c r="M91" s="227" t="s">
        <v>787</v>
      </c>
      <c r="N91" s="217"/>
      <c r="O91" s="210"/>
    </row>
    <row r="92">
      <c r="A92" s="212">
        <f t="shared" si="2"/>
        <v>90</v>
      </c>
      <c r="B92" s="212" t="s">
        <v>38</v>
      </c>
      <c r="C92" s="212" t="s">
        <v>108</v>
      </c>
      <c r="D92" s="212" t="s">
        <v>530</v>
      </c>
      <c r="E92" s="212"/>
      <c r="F92" s="212" t="s">
        <v>788</v>
      </c>
      <c r="G92" s="217"/>
      <c r="H92" s="213" t="s">
        <v>789</v>
      </c>
      <c r="I92" s="217" t="s">
        <v>790</v>
      </c>
      <c r="J92" s="214" t="s">
        <v>108</v>
      </c>
      <c r="K92" s="215" t="s">
        <v>33</v>
      </c>
      <c r="L92" s="240" t="s">
        <v>791</v>
      </c>
      <c r="M92" s="227" t="s">
        <v>792</v>
      </c>
      <c r="N92" s="217"/>
      <c r="O92" s="210"/>
    </row>
    <row r="93">
      <c r="A93" s="212">
        <f t="shared" si="2"/>
        <v>91</v>
      </c>
      <c r="B93" s="212" t="s">
        <v>38</v>
      </c>
      <c r="C93" s="212" t="s">
        <v>108</v>
      </c>
      <c r="D93" s="212" t="s">
        <v>530</v>
      </c>
      <c r="E93" s="212"/>
      <c r="F93" s="212" t="s">
        <v>793</v>
      </c>
      <c r="G93" s="217"/>
      <c r="H93" s="213" t="s">
        <v>794</v>
      </c>
      <c r="I93" s="217" t="s">
        <v>795</v>
      </c>
      <c r="J93" s="214" t="s">
        <v>108</v>
      </c>
      <c r="K93" s="215" t="s">
        <v>36</v>
      </c>
      <c r="L93" s="226"/>
      <c r="M93" s="224"/>
      <c r="N93" s="217"/>
      <c r="O93" s="210"/>
    </row>
    <row r="94">
      <c r="A94" s="212">
        <f t="shared" si="2"/>
        <v>92</v>
      </c>
      <c r="B94" s="212" t="s">
        <v>38</v>
      </c>
      <c r="C94" s="212" t="s">
        <v>108</v>
      </c>
      <c r="D94" s="212" t="s">
        <v>530</v>
      </c>
      <c r="E94" s="212"/>
      <c r="F94" s="212" t="s">
        <v>793</v>
      </c>
      <c r="G94" s="217"/>
      <c r="H94" s="213" t="s">
        <v>796</v>
      </c>
      <c r="I94" s="217" t="s">
        <v>797</v>
      </c>
      <c r="J94" s="214" t="s">
        <v>108</v>
      </c>
      <c r="K94" s="215" t="s">
        <v>36</v>
      </c>
      <c r="L94" s="226"/>
      <c r="M94" s="224"/>
      <c r="N94" s="217"/>
      <c r="O94" s="210"/>
    </row>
    <row r="95">
      <c r="A95" s="212">
        <f t="shared" si="2"/>
        <v>93</v>
      </c>
      <c r="B95" s="212" t="s">
        <v>38</v>
      </c>
      <c r="C95" s="212" t="s">
        <v>108</v>
      </c>
      <c r="D95" s="212" t="s">
        <v>530</v>
      </c>
      <c r="E95" s="212"/>
      <c r="F95" s="212" t="s">
        <v>798</v>
      </c>
      <c r="G95" s="217" t="s">
        <v>799</v>
      </c>
      <c r="H95" s="213" t="s">
        <v>800</v>
      </c>
      <c r="I95" s="217" t="s">
        <v>801</v>
      </c>
      <c r="J95" s="214" t="s">
        <v>108</v>
      </c>
      <c r="K95" s="215" t="s">
        <v>36</v>
      </c>
      <c r="L95" s="226"/>
      <c r="M95" s="224"/>
      <c r="N95" s="217"/>
      <c r="O95" s="210"/>
    </row>
    <row r="96">
      <c r="A96" s="212">
        <f t="shared" si="2"/>
        <v>94</v>
      </c>
      <c r="B96" s="212" t="s">
        <v>38</v>
      </c>
      <c r="C96" s="212" t="s">
        <v>108</v>
      </c>
      <c r="D96" s="212" t="s">
        <v>530</v>
      </c>
      <c r="E96" s="212"/>
      <c r="F96" s="212" t="s">
        <v>798</v>
      </c>
      <c r="G96" s="217" t="s">
        <v>802</v>
      </c>
      <c r="H96" s="213" t="s">
        <v>803</v>
      </c>
      <c r="I96" s="217" t="s">
        <v>804</v>
      </c>
      <c r="J96" s="214" t="s">
        <v>108</v>
      </c>
      <c r="K96" s="215" t="s">
        <v>36</v>
      </c>
      <c r="L96" s="226"/>
      <c r="M96" s="224"/>
      <c r="N96" s="217"/>
      <c r="O96" s="210"/>
    </row>
    <row r="97">
      <c r="A97" s="212">
        <f t="shared" si="2"/>
        <v>95</v>
      </c>
      <c r="B97" s="212" t="s">
        <v>38</v>
      </c>
      <c r="C97" s="212" t="s">
        <v>108</v>
      </c>
      <c r="D97" s="212" t="s">
        <v>530</v>
      </c>
      <c r="E97" s="212"/>
      <c r="F97" s="212" t="s">
        <v>805</v>
      </c>
      <c r="G97" s="217"/>
      <c r="H97" s="213" t="s">
        <v>806</v>
      </c>
      <c r="I97" s="217" t="s">
        <v>807</v>
      </c>
      <c r="J97" s="214" t="s">
        <v>108</v>
      </c>
      <c r="K97" s="215" t="s">
        <v>33</v>
      </c>
      <c r="L97" s="226"/>
      <c r="M97" s="227"/>
      <c r="N97" s="217"/>
      <c r="O97" s="210"/>
    </row>
    <row r="98">
      <c r="A98" s="212">
        <f t="shared" si="2"/>
        <v>96</v>
      </c>
      <c r="B98" s="212" t="s">
        <v>38</v>
      </c>
      <c r="C98" s="212" t="s">
        <v>108</v>
      </c>
      <c r="D98" s="212" t="s">
        <v>530</v>
      </c>
      <c r="E98" s="212"/>
      <c r="F98" s="212" t="s">
        <v>805</v>
      </c>
      <c r="G98" s="217"/>
      <c r="H98" s="213" t="s">
        <v>808</v>
      </c>
      <c r="I98" s="217" t="s">
        <v>809</v>
      </c>
      <c r="J98" s="214" t="s">
        <v>108</v>
      </c>
      <c r="K98" s="215" t="s">
        <v>33</v>
      </c>
      <c r="L98" s="226"/>
      <c r="M98" s="224"/>
      <c r="N98" s="217"/>
      <c r="O98" s="210"/>
    </row>
    <row r="99">
      <c r="A99" s="212">
        <f t="shared" si="2"/>
        <v>97</v>
      </c>
      <c r="B99" s="212" t="s">
        <v>38</v>
      </c>
      <c r="C99" s="212" t="s">
        <v>108</v>
      </c>
      <c r="D99" s="212" t="s">
        <v>530</v>
      </c>
      <c r="E99" s="212"/>
      <c r="F99" s="212" t="s">
        <v>805</v>
      </c>
      <c r="G99" s="217"/>
      <c r="H99" s="213" t="s">
        <v>810</v>
      </c>
      <c r="I99" s="217" t="s">
        <v>809</v>
      </c>
      <c r="J99" s="214" t="s">
        <v>108</v>
      </c>
      <c r="K99" s="215" t="s">
        <v>33</v>
      </c>
      <c r="L99" s="226"/>
      <c r="M99" s="224"/>
      <c r="N99" s="217"/>
      <c r="O99" s="210"/>
    </row>
    <row r="100">
      <c r="A100" s="212">
        <f t="shared" si="2"/>
        <v>98</v>
      </c>
      <c r="B100" s="212" t="s">
        <v>38</v>
      </c>
      <c r="C100" s="212" t="s">
        <v>108</v>
      </c>
      <c r="D100" s="212" t="s">
        <v>530</v>
      </c>
      <c r="E100" s="212"/>
      <c r="F100" s="212" t="s">
        <v>805</v>
      </c>
      <c r="G100" s="217"/>
      <c r="H100" s="213" t="s">
        <v>811</v>
      </c>
      <c r="I100" s="217" t="s">
        <v>812</v>
      </c>
      <c r="J100" s="214" t="s">
        <v>108</v>
      </c>
      <c r="K100" s="215" t="s">
        <v>33</v>
      </c>
      <c r="L100" s="226"/>
      <c r="M100" s="224"/>
      <c r="N100" s="217"/>
      <c r="O100" s="210"/>
    </row>
    <row r="101">
      <c r="A101" s="212">
        <f t="shared" si="2"/>
        <v>99</v>
      </c>
      <c r="B101" s="212" t="s">
        <v>38</v>
      </c>
      <c r="C101" s="212" t="s">
        <v>108</v>
      </c>
      <c r="D101" s="212" t="s">
        <v>530</v>
      </c>
      <c r="E101" s="212" t="s">
        <v>813</v>
      </c>
      <c r="F101" s="212" t="s">
        <v>483</v>
      </c>
      <c r="G101" s="217" t="s">
        <v>814</v>
      </c>
      <c r="H101" s="213" t="s">
        <v>815</v>
      </c>
      <c r="I101" s="217" t="s">
        <v>816</v>
      </c>
      <c r="J101" s="214" t="s">
        <v>108</v>
      </c>
      <c r="K101" s="215" t="s">
        <v>34</v>
      </c>
      <c r="L101" s="240" t="s">
        <v>817</v>
      </c>
      <c r="M101" s="224"/>
      <c r="N101" s="217"/>
      <c r="O101" s="210"/>
    </row>
    <row r="102">
      <c r="A102" s="212">
        <f t="shared" si="2"/>
        <v>100</v>
      </c>
      <c r="B102" s="212" t="s">
        <v>38</v>
      </c>
      <c r="C102" s="212" t="s">
        <v>108</v>
      </c>
      <c r="D102" s="212" t="s">
        <v>813</v>
      </c>
      <c r="E102" s="212" t="s">
        <v>818</v>
      </c>
      <c r="F102" s="212" t="s">
        <v>483</v>
      </c>
      <c r="G102" s="217"/>
      <c r="H102" s="213" t="s">
        <v>819</v>
      </c>
      <c r="I102" s="217" t="s">
        <v>820</v>
      </c>
      <c r="J102" s="214" t="s">
        <v>813</v>
      </c>
      <c r="K102" s="215" t="s">
        <v>33</v>
      </c>
      <c r="L102" s="226"/>
      <c r="M102" s="224"/>
      <c r="N102" s="217"/>
      <c r="O102" s="210"/>
    </row>
    <row r="103">
      <c r="A103" s="212">
        <f t="shared" si="2"/>
        <v>101</v>
      </c>
      <c r="B103" s="246" t="s">
        <v>38</v>
      </c>
      <c r="C103" s="246" t="s">
        <v>108</v>
      </c>
      <c r="D103" s="246" t="s">
        <v>813</v>
      </c>
      <c r="E103" s="246" t="s">
        <v>818</v>
      </c>
      <c r="F103" s="246" t="s">
        <v>821</v>
      </c>
      <c r="G103" s="247" t="s">
        <v>822</v>
      </c>
      <c r="H103" s="248" t="s">
        <v>823</v>
      </c>
      <c r="I103" s="247" t="s">
        <v>824</v>
      </c>
      <c r="J103" s="214" t="s">
        <v>813</v>
      </c>
      <c r="K103" s="215" t="s">
        <v>35</v>
      </c>
      <c r="L103" s="226"/>
      <c r="M103" s="227" t="s">
        <v>825</v>
      </c>
      <c r="N103" s="217"/>
      <c r="O103" s="210"/>
    </row>
    <row r="104">
      <c r="A104" s="212">
        <f t="shared" si="2"/>
        <v>102</v>
      </c>
      <c r="B104" s="212" t="s">
        <v>38</v>
      </c>
      <c r="C104" s="212" t="s">
        <v>108</v>
      </c>
      <c r="D104" s="212" t="s">
        <v>813</v>
      </c>
      <c r="E104" s="212" t="s">
        <v>826</v>
      </c>
      <c r="F104" s="212" t="s">
        <v>826</v>
      </c>
      <c r="G104" s="217" t="s">
        <v>827</v>
      </c>
      <c r="H104" s="213" t="s">
        <v>828</v>
      </c>
      <c r="I104" s="217" t="s">
        <v>829</v>
      </c>
      <c r="J104" s="214" t="s">
        <v>813</v>
      </c>
      <c r="K104" s="215" t="s">
        <v>33</v>
      </c>
      <c r="L104" s="226"/>
      <c r="M104" s="224"/>
      <c r="N104" s="217"/>
      <c r="O104" s="210"/>
    </row>
    <row r="105">
      <c r="A105" s="212">
        <f t="shared" si="2"/>
        <v>103</v>
      </c>
      <c r="B105" s="212" t="s">
        <v>38</v>
      </c>
      <c r="C105" s="212" t="s">
        <v>108</v>
      </c>
      <c r="D105" s="212" t="s">
        <v>813</v>
      </c>
      <c r="E105" s="212" t="s">
        <v>830</v>
      </c>
      <c r="F105" s="212" t="s">
        <v>831</v>
      </c>
      <c r="G105" s="217"/>
      <c r="H105" s="213" t="s">
        <v>832</v>
      </c>
      <c r="I105" s="217" t="s">
        <v>833</v>
      </c>
      <c r="J105" s="214" t="s">
        <v>813</v>
      </c>
      <c r="K105" s="215" t="s">
        <v>33</v>
      </c>
      <c r="L105" s="226"/>
      <c r="M105" s="224"/>
      <c r="N105" s="217"/>
      <c r="O105" s="210"/>
    </row>
    <row r="106">
      <c r="A106" s="212">
        <f t="shared" si="2"/>
        <v>104</v>
      </c>
      <c r="B106" s="212" t="s">
        <v>38</v>
      </c>
      <c r="C106" s="212" t="s">
        <v>108</v>
      </c>
      <c r="D106" s="212" t="s">
        <v>813</v>
      </c>
      <c r="E106" s="212" t="s">
        <v>834</v>
      </c>
      <c r="F106" s="212" t="s">
        <v>835</v>
      </c>
      <c r="G106" s="217"/>
      <c r="H106" s="213" t="s">
        <v>836</v>
      </c>
      <c r="I106" s="217" t="s">
        <v>837</v>
      </c>
      <c r="J106" s="214" t="s">
        <v>813</v>
      </c>
      <c r="K106" s="215" t="s">
        <v>34</v>
      </c>
      <c r="L106" s="226"/>
      <c r="M106" s="224"/>
      <c r="N106" s="217"/>
      <c r="O106" s="210"/>
    </row>
    <row r="107">
      <c r="A107" s="212">
        <f t="shared" si="2"/>
        <v>105</v>
      </c>
      <c r="B107" s="212" t="s">
        <v>38</v>
      </c>
      <c r="C107" s="212" t="s">
        <v>108</v>
      </c>
      <c r="D107" s="212" t="s">
        <v>813</v>
      </c>
      <c r="E107" s="212" t="s">
        <v>838</v>
      </c>
      <c r="F107" s="212" t="s">
        <v>838</v>
      </c>
      <c r="G107" s="217"/>
      <c r="H107" s="213" t="s">
        <v>839</v>
      </c>
      <c r="I107" s="217" t="s">
        <v>840</v>
      </c>
      <c r="J107" s="214" t="s">
        <v>813</v>
      </c>
      <c r="K107" s="215" t="s">
        <v>33</v>
      </c>
      <c r="L107" s="226"/>
      <c r="M107" s="224"/>
      <c r="N107" s="217"/>
      <c r="O107" s="210"/>
    </row>
    <row r="108">
      <c r="A108" s="212">
        <f t="shared" si="2"/>
        <v>106</v>
      </c>
      <c r="B108" s="212" t="s">
        <v>38</v>
      </c>
      <c r="C108" s="212" t="s">
        <v>108</v>
      </c>
      <c r="D108" s="212" t="s">
        <v>813</v>
      </c>
      <c r="E108" s="212"/>
      <c r="F108" s="212"/>
      <c r="G108" s="217"/>
      <c r="H108" s="213" t="s">
        <v>841</v>
      </c>
      <c r="I108" s="217" t="s">
        <v>842</v>
      </c>
      <c r="J108" s="214" t="s">
        <v>813</v>
      </c>
      <c r="K108" s="215" t="s">
        <v>33</v>
      </c>
      <c r="L108" s="226"/>
      <c r="M108" s="227" t="s">
        <v>843</v>
      </c>
      <c r="N108" s="217"/>
      <c r="O108" s="210"/>
    </row>
    <row r="109">
      <c r="A109" s="212">
        <f t="shared" si="2"/>
        <v>107</v>
      </c>
      <c r="B109" s="212" t="s">
        <v>38</v>
      </c>
      <c r="C109" s="212" t="s">
        <v>108</v>
      </c>
      <c r="D109" s="212" t="s">
        <v>813</v>
      </c>
      <c r="E109" s="212" t="s">
        <v>844</v>
      </c>
      <c r="F109" s="225" t="s">
        <v>845</v>
      </c>
      <c r="G109" s="217"/>
      <c r="H109" s="213" t="s">
        <v>846</v>
      </c>
      <c r="I109" s="217" t="s">
        <v>847</v>
      </c>
      <c r="J109" s="214" t="s">
        <v>813</v>
      </c>
      <c r="K109" s="215" t="s">
        <v>34</v>
      </c>
      <c r="L109" s="240" t="s">
        <v>848</v>
      </c>
      <c r="M109" s="227" t="s">
        <v>849</v>
      </c>
      <c r="N109" s="217"/>
      <c r="O109" s="210"/>
    </row>
    <row r="110">
      <c r="A110" s="212">
        <f t="shared" si="2"/>
        <v>108</v>
      </c>
      <c r="B110" s="212" t="s">
        <v>38</v>
      </c>
      <c r="C110" s="212" t="s">
        <v>108</v>
      </c>
      <c r="D110" s="212" t="s">
        <v>813</v>
      </c>
      <c r="E110" s="212" t="s">
        <v>844</v>
      </c>
      <c r="F110" s="39"/>
      <c r="G110" s="217" t="s">
        <v>850</v>
      </c>
      <c r="H110" s="213" t="s">
        <v>851</v>
      </c>
      <c r="I110" s="217" t="s">
        <v>852</v>
      </c>
      <c r="J110" s="214" t="s">
        <v>813</v>
      </c>
      <c r="K110" s="215" t="s">
        <v>33</v>
      </c>
      <c r="L110" s="226"/>
      <c r="M110" s="224"/>
      <c r="N110" s="217"/>
      <c r="O110" s="210"/>
    </row>
    <row r="111">
      <c r="A111" s="212">
        <f t="shared" si="2"/>
        <v>109</v>
      </c>
      <c r="B111" s="212" t="s">
        <v>38</v>
      </c>
      <c r="C111" s="212" t="s">
        <v>108</v>
      </c>
      <c r="D111" s="212" t="s">
        <v>813</v>
      </c>
      <c r="E111" s="212" t="s">
        <v>844</v>
      </c>
      <c r="F111" s="212" t="s">
        <v>853</v>
      </c>
      <c r="G111" s="217"/>
      <c r="H111" s="213" t="s">
        <v>854</v>
      </c>
      <c r="I111" s="217" t="s">
        <v>855</v>
      </c>
      <c r="J111" s="214" t="s">
        <v>813</v>
      </c>
      <c r="K111" s="215" t="s">
        <v>34</v>
      </c>
      <c r="L111" s="240" t="s">
        <v>856</v>
      </c>
      <c r="M111" s="227" t="s">
        <v>857</v>
      </c>
      <c r="N111" s="217"/>
      <c r="O111" s="210"/>
    </row>
    <row r="112">
      <c r="A112" s="212">
        <f t="shared" si="2"/>
        <v>110</v>
      </c>
      <c r="B112" s="212" t="s">
        <v>38</v>
      </c>
      <c r="C112" s="212" t="s">
        <v>108</v>
      </c>
      <c r="D112" s="212" t="s">
        <v>813</v>
      </c>
      <c r="E112" s="212" t="s">
        <v>844</v>
      </c>
      <c r="F112" s="225" t="s">
        <v>858</v>
      </c>
      <c r="G112" s="217"/>
      <c r="H112" s="213" t="s">
        <v>859</v>
      </c>
      <c r="I112" s="217" t="s">
        <v>860</v>
      </c>
      <c r="J112" s="214" t="s">
        <v>813</v>
      </c>
      <c r="K112" s="215" t="s">
        <v>34</v>
      </c>
      <c r="L112" s="240" t="s">
        <v>861</v>
      </c>
      <c r="M112" s="227" t="s">
        <v>862</v>
      </c>
      <c r="N112" s="217"/>
      <c r="O112" s="210"/>
    </row>
    <row r="113">
      <c r="A113" s="212">
        <f t="shared" si="2"/>
        <v>111</v>
      </c>
      <c r="B113" s="212" t="s">
        <v>38</v>
      </c>
      <c r="C113" s="212" t="s">
        <v>108</v>
      </c>
      <c r="D113" s="212" t="s">
        <v>813</v>
      </c>
      <c r="E113" s="212" t="s">
        <v>844</v>
      </c>
      <c r="F113" s="220"/>
      <c r="G113" s="217" t="s">
        <v>863</v>
      </c>
      <c r="H113" s="213" t="s">
        <v>864</v>
      </c>
      <c r="I113" s="217" t="s">
        <v>865</v>
      </c>
      <c r="J113" s="214" t="s">
        <v>813</v>
      </c>
      <c r="K113" s="215" t="s">
        <v>33</v>
      </c>
      <c r="L113" s="226"/>
      <c r="M113" s="224"/>
      <c r="N113" s="217"/>
      <c r="O113" s="210"/>
    </row>
    <row r="114">
      <c r="A114" s="212">
        <f t="shared" si="2"/>
        <v>112</v>
      </c>
      <c r="B114" s="212" t="s">
        <v>38</v>
      </c>
      <c r="C114" s="212" t="s">
        <v>108</v>
      </c>
      <c r="D114" s="212" t="s">
        <v>813</v>
      </c>
      <c r="E114" s="212" t="s">
        <v>844</v>
      </c>
      <c r="F114" s="39"/>
      <c r="G114" s="217" t="s">
        <v>863</v>
      </c>
      <c r="H114" s="213" t="s">
        <v>866</v>
      </c>
      <c r="I114" s="217" t="s">
        <v>867</v>
      </c>
      <c r="J114" s="214" t="s">
        <v>813</v>
      </c>
      <c r="K114" s="215" t="s">
        <v>33</v>
      </c>
      <c r="L114" s="226"/>
      <c r="M114" s="224"/>
      <c r="N114" s="217"/>
      <c r="O114" s="210"/>
    </row>
    <row r="115">
      <c r="A115" s="212">
        <f t="shared" si="2"/>
        <v>113</v>
      </c>
      <c r="B115" s="212" t="s">
        <v>38</v>
      </c>
      <c r="C115" s="212" t="s">
        <v>108</v>
      </c>
      <c r="D115" s="212" t="s">
        <v>813</v>
      </c>
      <c r="E115" s="212" t="s">
        <v>844</v>
      </c>
      <c r="F115" s="225" t="s">
        <v>868</v>
      </c>
      <c r="G115" s="217"/>
      <c r="H115" s="213" t="s">
        <v>869</v>
      </c>
      <c r="I115" s="217" t="s">
        <v>870</v>
      </c>
      <c r="J115" s="214" t="s">
        <v>813</v>
      </c>
      <c r="K115" s="215" t="s">
        <v>34</v>
      </c>
      <c r="L115" s="240" t="s">
        <v>861</v>
      </c>
      <c r="M115" s="227" t="s">
        <v>871</v>
      </c>
      <c r="N115" s="217"/>
      <c r="O115" s="210"/>
    </row>
    <row r="116">
      <c r="A116" s="212">
        <f t="shared" si="2"/>
        <v>114</v>
      </c>
      <c r="B116" s="212" t="s">
        <v>38</v>
      </c>
      <c r="C116" s="212" t="s">
        <v>108</v>
      </c>
      <c r="D116" s="212" t="s">
        <v>813</v>
      </c>
      <c r="E116" s="212" t="s">
        <v>844</v>
      </c>
      <c r="F116" s="220"/>
      <c r="G116" s="217" t="s">
        <v>872</v>
      </c>
      <c r="H116" s="213" t="s">
        <v>873</v>
      </c>
      <c r="I116" s="217" t="s">
        <v>874</v>
      </c>
      <c r="J116" s="214" t="s">
        <v>813</v>
      </c>
      <c r="K116" s="215" t="s">
        <v>33</v>
      </c>
      <c r="L116" s="226"/>
      <c r="M116" s="224"/>
      <c r="N116" s="217"/>
      <c r="O116" s="210"/>
    </row>
    <row r="117">
      <c r="A117" s="212">
        <f t="shared" si="2"/>
        <v>115</v>
      </c>
      <c r="B117" s="212" t="s">
        <v>38</v>
      </c>
      <c r="C117" s="212" t="s">
        <v>108</v>
      </c>
      <c r="D117" s="212" t="s">
        <v>813</v>
      </c>
      <c r="E117" s="212" t="s">
        <v>844</v>
      </c>
      <c r="F117" s="39"/>
      <c r="G117" s="217" t="s">
        <v>872</v>
      </c>
      <c r="H117" s="213" t="s">
        <v>875</v>
      </c>
      <c r="I117" s="217" t="s">
        <v>876</v>
      </c>
      <c r="J117" s="214" t="s">
        <v>813</v>
      </c>
      <c r="K117" s="215" t="s">
        <v>33</v>
      </c>
      <c r="L117" s="226"/>
      <c r="M117" s="224"/>
      <c r="N117" s="217"/>
      <c r="O117" s="210"/>
    </row>
    <row r="118">
      <c r="A118" s="212">
        <f t="shared" si="2"/>
        <v>116</v>
      </c>
      <c r="B118" s="212" t="s">
        <v>38</v>
      </c>
      <c r="C118" s="212" t="s">
        <v>108</v>
      </c>
      <c r="D118" s="212" t="s">
        <v>813</v>
      </c>
      <c r="E118" s="212" t="s">
        <v>844</v>
      </c>
      <c r="F118" s="225" t="s">
        <v>877</v>
      </c>
      <c r="G118" s="217"/>
      <c r="H118" s="213" t="s">
        <v>878</v>
      </c>
      <c r="I118" s="217" t="s">
        <v>879</v>
      </c>
      <c r="J118" s="214" t="s">
        <v>813</v>
      </c>
      <c r="K118" s="215" t="s">
        <v>33</v>
      </c>
      <c r="L118" s="226"/>
      <c r="M118" s="224"/>
      <c r="N118" s="217"/>
      <c r="O118" s="210"/>
    </row>
    <row r="119">
      <c r="A119" s="212">
        <f t="shared" si="2"/>
        <v>117</v>
      </c>
      <c r="B119" s="212" t="s">
        <v>38</v>
      </c>
      <c r="C119" s="212" t="s">
        <v>108</v>
      </c>
      <c r="D119" s="212" t="s">
        <v>813</v>
      </c>
      <c r="E119" s="212" t="s">
        <v>844</v>
      </c>
      <c r="F119" s="220"/>
      <c r="G119" s="217" t="s">
        <v>880</v>
      </c>
      <c r="H119" s="213" t="s">
        <v>881</v>
      </c>
      <c r="I119" s="217" t="s">
        <v>882</v>
      </c>
      <c r="J119" s="214" t="s">
        <v>813</v>
      </c>
      <c r="K119" s="215" t="s">
        <v>34</v>
      </c>
      <c r="L119" s="240" t="s">
        <v>883</v>
      </c>
      <c r="M119" s="224"/>
      <c r="N119" s="217"/>
      <c r="O119" s="210"/>
    </row>
    <row r="120">
      <c r="A120" s="212">
        <f t="shared" si="2"/>
        <v>118</v>
      </c>
      <c r="B120" s="212" t="s">
        <v>38</v>
      </c>
      <c r="C120" s="212" t="s">
        <v>108</v>
      </c>
      <c r="D120" s="212" t="s">
        <v>813</v>
      </c>
      <c r="E120" s="212" t="s">
        <v>844</v>
      </c>
      <c r="F120" s="39"/>
      <c r="G120" s="217" t="s">
        <v>880</v>
      </c>
      <c r="H120" s="213" t="s">
        <v>884</v>
      </c>
      <c r="I120" s="217" t="s">
        <v>885</v>
      </c>
      <c r="J120" s="214" t="s">
        <v>813</v>
      </c>
      <c r="K120" s="215" t="s">
        <v>33</v>
      </c>
      <c r="L120" s="226"/>
      <c r="M120" s="224"/>
      <c r="N120" s="217"/>
      <c r="O120" s="210"/>
    </row>
    <row r="121">
      <c r="A121" s="212">
        <f t="shared" si="2"/>
        <v>119</v>
      </c>
      <c r="B121" s="212" t="s">
        <v>38</v>
      </c>
      <c r="C121" s="212" t="s">
        <v>108</v>
      </c>
      <c r="D121" s="212" t="s">
        <v>813</v>
      </c>
      <c r="E121" s="212" t="s">
        <v>844</v>
      </c>
      <c r="F121" s="225" t="s">
        <v>886</v>
      </c>
      <c r="G121" s="217"/>
      <c r="H121" s="213" t="s">
        <v>887</v>
      </c>
      <c r="I121" s="217" t="s">
        <v>888</v>
      </c>
      <c r="J121" s="214" t="s">
        <v>813</v>
      </c>
      <c r="K121" s="215" t="s">
        <v>34</v>
      </c>
      <c r="L121" s="240" t="s">
        <v>889</v>
      </c>
      <c r="M121" s="227" t="s">
        <v>890</v>
      </c>
      <c r="N121" s="217"/>
      <c r="O121" s="210"/>
    </row>
    <row r="122">
      <c r="A122" s="212">
        <f t="shared" si="2"/>
        <v>120</v>
      </c>
      <c r="B122" s="212" t="s">
        <v>38</v>
      </c>
      <c r="C122" s="212" t="s">
        <v>108</v>
      </c>
      <c r="D122" s="212" t="s">
        <v>813</v>
      </c>
      <c r="E122" s="212" t="s">
        <v>844</v>
      </c>
      <c r="F122" s="220"/>
      <c r="G122" s="217" t="s">
        <v>891</v>
      </c>
      <c r="H122" s="213" t="s">
        <v>892</v>
      </c>
      <c r="I122" s="217" t="s">
        <v>893</v>
      </c>
      <c r="J122" s="214" t="s">
        <v>813</v>
      </c>
      <c r="K122" s="215" t="s">
        <v>34</v>
      </c>
      <c r="L122" s="240" t="s">
        <v>894</v>
      </c>
      <c r="M122" s="227" t="s">
        <v>895</v>
      </c>
      <c r="N122" s="217"/>
      <c r="O122" s="210"/>
    </row>
    <row r="123">
      <c r="A123" s="212">
        <f t="shared" si="2"/>
        <v>121</v>
      </c>
      <c r="B123" s="212" t="s">
        <v>38</v>
      </c>
      <c r="C123" s="212" t="s">
        <v>108</v>
      </c>
      <c r="D123" s="212" t="s">
        <v>813</v>
      </c>
      <c r="E123" s="212" t="s">
        <v>844</v>
      </c>
      <c r="F123" s="39"/>
      <c r="G123" s="217" t="s">
        <v>891</v>
      </c>
      <c r="H123" s="213" t="s">
        <v>896</v>
      </c>
      <c r="I123" s="217" t="s">
        <v>897</v>
      </c>
      <c r="J123" s="214" t="s">
        <v>813</v>
      </c>
      <c r="K123" s="215" t="s">
        <v>36</v>
      </c>
      <c r="L123" s="226"/>
      <c r="M123" s="224"/>
      <c r="N123" s="217"/>
      <c r="O123" s="210"/>
    </row>
    <row r="124">
      <c r="A124" s="212">
        <f t="shared" si="2"/>
        <v>122</v>
      </c>
      <c r="B124" s="212" t="s">
        <v>38</v>
      </c>
      <c r="C124" s="212" t="s">
        <v>108</v>
      </c>
      <c r="D124" s="212" t="s">
        <v>813</v>
      </c>
      <c r="E124" s="212" t="s">
        <v>844</v>
      </c>
      <c r="F124" s="225" t="s">
        <v>898</v>
      </c>
      <c r="G124" s="217"/>
      <c r="H124" s="213" t="s">
        <v>899</v>
      </c>
      <c r="I124" s="217" t="s">
        <v>900</v>
      </c>
      <c r="J124" s="214" t="s">
        <v>813</v>
      </c>
      <c r="K124" s="215" t="s">
        <v>34</v>
      </c>
      <c r="L124" s="244" t="s">
        <v>901</v>
      </c>
      <c r="M124" s="227" t="s">
        <v>902</v>
      </c>
      <c r="N124" s="217"/>
      <c r="O124" s="210"/>
    </row>
    <row r="125">
      <c r="A125" s="212">
        <f t="shared" si="2"/>
        <v>123</v>
      </c>
      <c r="B125" s="212" t="s">
        <v>38</v>
      </c>
      <c r="C125" s="212" t="s">
        <v>108</v>
      </c>
      <c r="D125" s="212" t="s">
        <v>813</v>
      </c>
      <c r="E125" s="212" t="s">
        <v>844</v>
      </c>
      <c r="F125" s="220"/>
      <c r="G125" s="217" t="s">
        <v>903</v>
      </c>
      <c r="H125" s="213" t="s">
        <v>904</v>
      </c>
      <c r="I125" s="217" t="s">
        <v>905</v>
      </c>
      <c r="J125" s="214" t="s">
        <v>813</v>
      </c>
      <c r="K125" s="215" t="s">
        <v>34</v>
      </c>
      <c r="L125" s="240" t="s">
        <v>906</v>
      </c>
      <c r="M125" s="224"/>
      <c r="N125" s="217"/>
      <c r="O125" s="210"/>
    </row>
    <row r="126">
      <c r="A126" s="212">
        <f t="shared" si="2"/>
        <v>124</v>
      </c>
      <c r="B126" s="212" t="s">
        <v>38</v>
      </c>
      <c r="C126" s="212" t="s">
        <v>108</v>
      </c>
      <c r="D126" s="212" t="s">
        <v>813</v>
      </c>
      <c r="E126" s="212" t="s">
        <v>844</v>
      </c>
      <c r="F126" s="220"/>
      <c r="G126" s="217" t="s">
        <v>903</v>
      </c>
      <c r="H126" s="213" t="s">
        <v>907</v>
      </c>
      <c r="I126" s="217" t="s">
        <v>908</v>
      </c>
      <c r="J126" s="214" t="s">
        <v>813</v>
      </c>
      <c r="K126" s="215" t="s">
        <v>36</v>
      </c>
      <c r="L126" s="226"/>
      <c r="M126" s="224"/>
      <c r="N126" s="217"/>
      <c r="O126" s="210"/>
    </row>
    <row r="127">
      <c r="A127" s="212">
        <f t="shared" si="2"/>
        <v>125</v>
      </c>
      <c r="B127" s="212" t="s">
        <v>38</v>
      </c>
      <c r="C127" s="212" t="s">
        <v>108</v>
      </c>
      <c r="D127" s="212" t="s">
        <v>813</v>
      </c>
      <c r="E127" s="212" t="s">
        <v>844</v>
      </c>
      <c r="F127" s="39"/>
      <c r="G127" s="217" t="s">
        <v>903</v>
      </c>
      <c r="H127" s="213" t="s">
        <v>884</v>
      </c>
      <c r="I127" s="217" t="s">
        <v>909</v>
      </c>
      <c r="J127" s="214" t="s">
        <v>813</v>
      </c>
      <c r="K127" s="215" t="s">
        <v>36</v>
      </c>
      <c r="L127" s="226"/>
      <c r="M127" s="224"/>
      <c r="N127" s="217"/>
      <c r="O127" s="210"/>
    </row>
    <row r="128">
      <c r="A128" s="212">
        <f t="shared" si="2"/>
        <v>126</v>
      </c>
      <c r="B128" s="212" t="s">
        <v>38</v>
      </c>
      <c r="C128" s="212" t="s">
        <v>108</v>
      </c>
      <c r="D128" s="212" t="s">
        <v>813</v>
      </c>
      <c r="E128" s="212" t="s">
        <v>844</v>
      </c>
      <c r="F128" s="225" t="s">
        <v>910</v>
      </c>
      <c r="G128" s="217"/>
      <c r="H128" s="213" t="s">
        <v>911</v>
      </c>
      <c r="I128" s="217" t="s">
        <v>912</v>
      </c>
      <c r="J128" s="214" t="s">
        <v>813</v>
      </c>
      <c r="K128" s="215" t="s">
        <v>34</v>
      </c>
      <c r="L128" s="240" t="s">
        <v>913</v>
      </c>
      <c r="M128" s="227" t="s">
        <v>914</v>
      </c>
      <c r="N128" s="217"/>
      <c r="O128" s="210"/>
    </row>
    <row r="129">
      <c r="A129" s="212">
        <f t="shared" si="2"/>
        <v>127</v>
      </c>
      <c r="B129" s="212" t="s">
        <v>38</v>
      </c>
      <c r="C129" s="212" t="s">
        <v>108</v>
      </c>
      <c r="D129" s="212" t="s">
        <v>813</v>
      </c>
      <c r="E129" s="212" t="s">
        <v>844</v>
      </c>
      <c r="F129" s="220"/>
      <c r="G129" s="217" t="s">
        <v>915</v>
      </c>
      <c r="H129" s="213" t="s">
        <v>916</v>
      </c>
      <c r="I129" s="217" t="s">
        <v>917</v>
      </c>
      <c r="J129" s="214" t="s">
        <v>813</v>
      </c>
      <c r="K129" s="215" t="s">
        <v>33</v>
      </c>
      <c r="L129" s="226"/>
      <c r="M129" s="224"/>
      <c r="N129" s="217"/>
      <c r="O129" s="210"/>
    </row>
    <row r="130">
      <c r="A130" s="212">
        <f t="shared" si="2"/>
        <v>128</v>
      </c>
      <c r="B130" s="212" t="s">
        <v>38</v>
      </c>
      <c r="C130" s="212" t="s">
        <v>108</v>
      </c>
      <c r="D130" s="212" t="s">
        <v>813</v>
      </c>
      <c r="E130" s="212" t="s">
        <v>844</v>
      </c>
      <c r="F130" s="220"/>
      <c r="G130" s="217" t="s">
        <v>915</v>
      </c>
      <c r="H130" s="213" t="s">
        <v>918</v>
      </c>
      <c r="I130" s="217" t="s">
        <v>919</v>
      </c>
      <c r="J130" s="214" t="s">
        <v>813</v>
      </c>
      <c r="K130" s="215" t="s">
        <v>33</v>
      </c>
      <c r="L130" s="226"/>
      <c r="M130" s="224"/>
      <c r="N130" s="217"/>
      <c r="O130" s="210"/>
    </row>
    <row r="131">
      <c r="A131" s="212">
        <f t="shared" si="2"/>
        <v>129</v>
      </c>
      <c r="B131" s="212" t="s">
        <v>38</v>
      </c>
      <c r="C131" s="212" t="s">
        <v>108</v>
      </c>
      <c r="D131" s="212" t="s">
        <v>813</v>
      </c>
      <c r="E131" s="212" t="s">
        <v>844</v>
      </c>
      <c r="F131" s="220"/>
      <c r="G131" s="217" t="s">
        <v>915</v>
      </c>
      <c r="H131" s="213" t="s">
        <v>920</v>
      </c>
      <c r="I131" s="217" t="s">
        <v>921</v>
      </c>
      <c r="J131" s="214" t="s">
        <v>813</v>
      </c>
      <c r="K131" s="215" t="s">
        <v>34</v>
      </c>
      <c r="L131" s="240" t="s">
        <v>906</v>
      </c>
      <c r="M131" s="227" t="s">
        <v>922</v>
      </c>
      <c r="N131" s="217"/>
      <c r="O131" s="210"/>
    </row>
    <row r="132">
      <c r="A132" s="212">
        <f t="shared" si="2"/>
        <v>130</v>
      </c>
      <c r="B132" s="212" t="s">
        <v>38</v>
      </c>
      <c r="C132" s="212" t="s">
        <v>108</v>
      </c>
      <c r="D132" s="212" t="s">
        <v>813</v>
      </c>
      <c r="E132" s="212" t="s">
        <v>844</v>
      </c>
      <c r="F132" s="220"/>
      <c r="G132" s="217" t="s">
        <v>915</v>
      </c>
      <c r="H132" s="213" t="s">
        <v>907</v>
      </c>
      <c r="I132" s="217" t="s">
        <v>923</v>
      </c>
      <c r="J132" s="214" t="s">
        <v>813</v>
      </c>
      <c r="K132" s="215" t="s">
        <v>36</v>
      </c>
      <c r="L132" s="226"/>
      <c r="M132" s="224"/>
      <c r="N132" s="217"/>
      <c r="O132" s="210"/>
    </row>
    <row r="133">
      <c r="A133" s="212">
        <f t="shared" si="2"/>
        <v>131</v>
      </c>
      <c r="B133" s="212" t="s">
        <v>38</v>
      </c>
      <c r="C133" s="212" t="s">
        <v>108</v>
      </c>
      <c r="D133" s="212" t="s">
        <v>813</v>
      </c>
      <c r="E133" s="212" t="s">
        <v>844</v>
      </c>
      <c r="F133" s="39"/>
      <c r="G133" s="217" t="s">
        <v>915</v>
      </c>
      <c r="H133" s="213" t="s">
        <v>884</v>
      </c>
      <c r="I133" s="217" t="s">
        <v>924</v>
      </c>
      <c r="J133" s="214" t="s">
        <v>813</v>
      </c>
      <c r="K133" s="215" t="s">
        <v>36</v>
      </c>
      <c r="L133" s="226"/>
      <c r="M133" s="224"/>
      <c r="N133" s="217"/>
      <c r="O133" s="210"/>
    </row>
    <row r="134">
      <c r="A134" s="212">
        <f t="shared" si="2"/>
        <v>132</v>
      </c>
      <c r="B134" s="212" t="s">
        <v>38</v>
      </c>
      <c r="C134" s="212" t="s">
        <v>108</v>
      </c>
      <c r="D134" s="212" t="s">
        <v>813</v>
      </c>
      <c r="E134" s="212" t="s">
        <v>844</v>
      </c>
      <c r="F134" s="225" t="s">
        <v>925</v>
      </c>
      <c r="G134" s="217"/>
      <c r="H134" s="213" t="s">
        <v>926</v>
      </c>
      <c r="I134" s="217" t="s">
        <v>927</v>
      </c>
      <c r="J134" s="214" t="s">
        <v>813</v>
      </c>
      <c r="K134" s="215" t="s">
        <v>33</v>
      </c>
      <c r="L134" s="226"/>
      <c r="M134" s="224"/>
      <c r="N134" s="217"/>
      <c r="O134" s="210"/>
    </row>
    <row r="135">
      <c r="A135" s="212">
        <f t="shared" si="2"/>
        <v>133</v>
      </c>
      <c r="B135" s="212" t="s">
        <v>38</v>
      </c>
      <c r="C135" s="212" t="s">
        <v>108</v>
      </c>
      <c r="D135" s="212" t="s">
        <v>813</v>
      </c>
      <c r="E135" s="212" t="s">
        <v>844</v>
      </c>
      <c r="F135" s="220"/>
      <c r="G135" s="217" t="s">
        <v>928</v>
      </c>
      <c r="H135" s="213" t="s">
        <v>907</v>
      </c>
      <c r="I135" s="217" t="s">
        <v>929</v>
      </c>
      <c r="J135" s="214" t="s">
        <v>813</v>
      </c>
      <c r="K135" s="215" t="s">
        <v>33</v>
      </c>
      <c r="L135" s="226"/>
      <c r="M135" s="224"/>
      <c r="N135" s="217"/>
      <c r="O135" s="210"/>
    </row>
    <row r="136">
      <c r="A136" s="212">
        <f t="shared" si="2"/>
        <v>134</v>
      </c>
      <c r="B136" s="212" t="s">
        <v>38</v>
      </c>
      <c r="C136" s="212" t="s">
        <v>108</v>
      </c>
      <c r="D136" s="212" t="s">
        <v>813</v>
      </c>
      <c r="E136" s="212" t="s">
        <v>844</v>
      </c>
      <c r="F136" s="220"/>
      <c r="G136" s="217" t="s">
        <v>928</v>
      </c>
      <c r="H136" s="213" t="s">
        <v>884</v>
      </c>
      <c r="I136" s="217" t="s">
        <v>930</v>
      </c>
      <c r="J136" s="214" t="s">
        <v>813</v>
      </c>
      <c r="K136" s="215" t="s">
        <v>33</v>
      </c>
      <c r="L136" s="226"/>
      <c r="M136" s="224"/>
      <c r="N136" s="217"/>
      <c r="O136" s="210"/>
    </row>
    <row r="137">
      <c r="A137" s="212">
        <f t="shared" si="2"/>
        <v>135</v>
      </c>
      <c r="B137" s="212" t="s">
        <v>38</v>
      </c>
      <c r="C137" s="212" t="s">
        <v>108</v>
      </c>
      <c r="D137" s="212" t="s">
        <v>813</v>
      </c>
      <c r="E137" s="212" t="s">
        <v>844</v>
      </c>
      <c r="F137" s="220"/>
      <c r="G137" s="217" t="s">
        <v>931</v>
      </c>
      <c r="H137" s="213" t="s">
        <v>932</v>
      </c>
      <c r="I137" s="217" t="s">
        <v>933</v>
      </c>
      <c r="J137" s="214" t="s">
        <v>813</v>
      </c>
      <c r="K137" s="215" t="s">
        <v>33</v>
      </c>
      <c r="L137" s="226"/>
      <c r="M137" s="224"/>
      <c r="N137" s="217"/>
      <c r="O137" s="210"/>
    </row>
    <row r="138">
      <c r="A138" s="212">
        <f t="shared" si="2"/>
        <v>136</v>
      </c>
      <c r="B138" s="212" t="s">
        <v>38</v>
      </c>
      <c r="C138" s="212" t="s">
        <v>108</v>
      </c>
      <c r="D138" s="212" t="s">
        <v>813</v>
      </c>
      <c r="E138" s="212" t="s">
        <v>844</v>
      </c>
      <c r="F138" s="220"/>
      <c r="G138" s="217" t="s">
        <v>934</v>
      </c>
      <c r="H138" s="213" t="s">
        <v>907</v>
      </c>
      <c r="I138" s="217" t="s">
        <v>935</v>
      </c>
      <c r="J138" s="214" t="s">
        <v>813</v>
      </c>
      <c r="K138" s="215" t="s">
        <v>33</v>
      </c>
      <c r="L138" s="226"/>
      <c r="M138" s="224"/>
      <c r="N138" s="217"/>
      <c r="O138" s="210"/>
    </row>
    <row r="139">
      <c r="A139" s="212">
        <f t="shared" si="2"/>
        <v>137</v>
      </c>
      <c r="B139" s="212" t="s">
        <v>38</v>
      </c>
      <c r="C139" s="212" t="s">
        <v>108</v>
      </c>
      <c r="D139" s="212" t="s">
        <v>813</v>
      </c>
      <c r="E139" s="212" t="s">
        <v>844</v>
      </c>
      <c r="F139" s="39"/>
      <c r="G139" s="217" t="s">
        <v>934</v>
      </c>
      <c r="H139" s="213" t="s">
        <v>884</v>
      </c>
      <c r="I139" s="217" t="s">
        <v>936</v>
      </c>
      <c r="J139" s="214" t="s">
        <v>813</v>
      </c>
      <c r="K139" s="215" t="s">
        <v>33</v>
      </c>
      <c r="L139" s="226"/>
      <c r="M139" s="224"/>
      <c r="N139" s="217"/>
      <c r="O139" s="210"/>
    </row>
    <row r="140">
      <c r="A140" s="212">
        <f t="shared" si="2"/>
        <v>138</v>
      </c>
      <c r="B140" s="212" t="s">
        <v>38</v>
      </c>
      <c r="C140" s="212" t="s">
        <v>108</v>
      </c>
      <c r="D140" s="212" t="s">
        <v>813</v>
      </c>
      <c r="E140" s="212"/>
      <c r="F140" s="212" t="s">
        <v>937</v>
      </c>
      <c r="G140" s="217" t="s">
        <v>938</v>
      </c>
      <c r="H140" s="213" t="s">
        <v>939</v>
      </c>
      <c r="I140" s="217" t="s">
        <v>940</v>
      </c>
      <c r="J140" s="214" t="s">
        <v>941</v>
      </c>
      <c r="K140" s="215" t="s">
        <v>33</v>
      </c>
      <c r="L140" s="226"/>
      <c r="M140" s="224"/>
      <c r="N140" s="217"/>
      <c r="O140" s="210"/>
    </row>
    <row r="141">
      <c r="A141" s="212"/>
      <c r="B141" s="212"/>
      <c r="C141" s="212"/>
      <c r="D141" s="212"/>
      <c r="E141" s="212"/>
      <c r="F141" s="212" t="s">
        <v>942</v>
      </c>
      <c r="G141" s="217"/>
      <c r="H141" s="213" t="s">
        <v>943</v>
      </c>
      <c r="I141" s="217" t="s">
        <v>944</v>
      </c>
      <c r="J141" s="214" t="s">
        <v>941</v>
      </c>
      <c r="K141" s="215" t="s">
        <v>33</v>
      </c>
      <c r="L141" s="226"/>
      <c r="M141" s="224"/>
      <c r="N141" s="217"/>
      <c r="O141" s="210"/>
    </row>
    <row r="142">
      <c r="A142" s="212">
        <f t="shared" ref="A142:A191" si="3">COUNTA($I$3:$I142)</f>
        <v>140</v>
      </c>
      <c r="B142" s="212" t="s">
        <v>38</v>
      </c>
      <c r="C142" s="212" t="s">
        <v>108</v>
      </c>
      <c r="D142" s="212" t="s">
        <v>813</v>
      </c>
      <c r="E142" s="212"/>
      <c r="F142" s="212" t="s">
        <v>945</v>
      </c>
      <c r="G142" s="217"/>
      <c r="H142" s="213" t="s">
        <v>854</v>
      </c>
      <c r="I142" s="217" t="s">
        <v>855</v>
      </c>
      <c r="J142" s="242"/>
      <c r="K142" s="215" t="s">
        <v>33</v>
      </c>
      <c r="L142" s="226"/>
      <c r="M142" s="224"/>
      <c r="N142" s="217"/>
      <c r="O142" s="210"/>
    </row>
    <row r="143">
      <c r="A143" s="212">
        <f t="shared" si="3"/>
        <v>141</v>
      </c>
      <c r="B143" s="212" t="s">
        <v>38</v>
      </c>
      <c r="C143" s="212" t="s">
        <v>108</v>
      </c>
      <c r="D143" s="212" t="s">
        <v>813</v>
      </c>
      <c r="E143" s="212"/>
      <c r="F143" s="212" t="s">
        <v>946</v>
      </c>
      <c r="G143" s="217"/>
      <c r="H143" s="213" t="s">
        <v>947</v>
      </c>
      <c r="I143" s="217" t="s">
        <v>948</v>
      </c>
      <c r="J143" s="242"/>
      <c r="K143" s="215" t="s">
        <v>33</v>
      </c>
      <c r="L143" s="226"/>
      <c r="M143" s="224"/>
      <c r="N143" s="217"/>
      <c r="O143" s="210"/>
    </row>
    <row r="144">
      <c r="A144" s="212">
        <f t="shared" si="3"/>
        <v>142</v>
      </c>
      <c r="B144" s="212" t="s">
        <v>38</v>
      </c>
      <c r="C144" s="212" t="s">
        <v>108</v>
      </c>
      <c r="D144" s="212" t="s">
        <v>813</v>
      </c>
      <c r="E144" s="212"/>
      <c r="F144" s="225" t="s">
        <v>949</v>
      </c>
      <c r="G144" s="217"/>
      <c r="H144" s="213" t="s">
        <v>950</v>
      </c>
      <c r="I144" s="217" t="s">
        <v>951</v>
      </c>
      <c r="J144" s="242"/>
      <c r="K144" s="215" t="s">
        <v>33</v>
      </c>
      <c r="L144" s="226"/>
      <c r="M144" s="224"/>
      <c r="N144" s="217"/>
      <c r="O144" s="210"/>
    </row>
    <row r="145">
      <c r="A145" s="212">
        <f t="shared" si="3"/>
        <v>143</v>
      </c>
      <c r="B145" s="212" t="s">
        <v>38</v>
      </c>
      <c r="C145" s="212" t="s">
        <v>108</v>
      </c>
      <c r="D145" s="212" t="s">
        <v>813</v>
      </c>
      <c r="E145" s="212"/>
      <c r="F145" s="220"/>
      <c r="G145" s="217"/>
      <c r="H145" s="213" t="s">
        <v>952</v>
      </c>
      <c r="I145" s="217" t="s">
        <v>953</v>
      </c>
      <c r="J145" s="242"/>
      <c r="K145" s="215" t="s">
        <v>33</v>
      </c>
      <c r="L145" s="226"/>
      <c r="M145" s="224"/>
      <c r="N145" s="217"/>
      <c r="O145" s="210"/>
    </row>
    <row r="146">
      <c r="A146" s="212">
        <f t="shared" si="3"/>
        <v>144</v>
      </c>
      <c r="B146" s="212" t="s">
        <v>38</v>
      </c>
      <c r="C146" s="212" t="s">
        <v>108</v>
      </c>
      <c r="D146" s="212" t="s">
        <v>813</v>
      </c>
      <c r="E146" s="212"/>
      <c r="F146" s="39"/>
      <c r="G146" s="217"/>
      <c r="H146" s="213" t="s">
        <v>954</v>
      </c>
      <c r="I146" s="217" t="s">
        <v>955</v>
      </c>
      <c r="J146" s="242"/>
      <c r="K146" s="215" t="s">
        <v>33</v>
      </c>
      <c r="L146" s="226"/>
      <c r="M146" s="224"/>
      <c r="N146" s="217"/>
      <c r="O146" s="210"/>
    </row>
    <row r="147">
      <c r="A147" s="212">
        <f t="shared" si="3"/>
        <v>145</v>
      </c>
      <c r="B147" s="212" t="s">
        <v>38</v>
      </c>
      <c r="C147" s="212" t="s">
        <v>108</v>
      </c>
      <c r="D147" s="212" t="s">
        <v>813</v>
      </c>
      <c r="E147" s="212"/>
      <c r="F147" s="212" t="s">
        <v>956</v>
      </c>
      <c r="G147" s="217" t="s">
        <v>957</v>
      </c>
      <c r="H147" s="213" t="s">
        <v>958</v>
      </c>
      <c r="I147" s="217" t="s">
        <v>959</v>
      </c>
      <c r="J147" s="214" t="s">
        <v>813</v>
      </c>
      <c r="K147" s="215" t="s">
        <v>33</v>
      </c>
      <c r="L147" s="226"/>
      <c r="M147" s="224"/>
      <c r="N147" s="217"/>
      <c r="O147" s="210"/>
    </row>
    <row r="148">
      <c r="A148" s="212">
        <f t="shared" si="3"/>
        <v>146</v>
      </c>
      <c r="B148" s="212" t="s">
        <v>38</v>
      </c>
      <c r="C148" s="212" t="s">
        <v>108</v>
      </c>
      <c r="D148" s="212" t="s">
        <v>530</v>
      </c>
      <c r="E148" s="212"/>
      <c r="F148" s="212" t="s">
        <v>960</v>
      </c>
      <c r="G148" s="217" t="s">
        <v>961</v>
      </c>
      <c r="H148" s="213" t="s">
        <v>962</v>
      </c>
      <c r="I148" s="217" t="s">
        <v>963</v>
      </c>
      <c r="J148" s="214" t="s">
        <v>108</v>
      </c>
      <c r="K148" s="215"/>
      <c r="L148" s="226"/>
      <c r="M148" s="224"/>
      <c r="N148" s="217"/>
      <c r="O148" s="210"/>
    </row>
    <row r="149">
      <c r="A149" s="212">
        <f t="shared" si="3"/>
        <v>147</v>
      </c>
      <c r="B149" s="212" t="s">
        <v>38</v>
      </c>
      <c r="C149" s="212" t="s">
        <v>108</v>
      </c>
      <c r="D149" s="212" t="s">
        <v>530</v>
      </c>
      <c r="E149" s="212"/>
      <c r="F149" s="212" t="s">
        <v>960</v>
      </c>
      <c r="G149" s="217"/>
      <c r="H149" s="213" t="s">
        <v>964</v>
      </c>
      <c r="I149" s="217" t="s">
        <v>965</v>
      </c>
      <c r="J149" s="214" t="s">
        <v>960</v>
      </c>
      <c r="K149" s="215"/>
      <c r="L149" s="226"/>
      <c r="M149" s="227" t="s">
        <v>966</v>
      </c>
      <c r="N149" s="217"/>
      <c r="O149" s="210"/>
    </row>
    <row r="150">
      <c r="A150" s="212">
        <f t="shared" si="3"/>
        <v>148</v>
      </c>
      <c r="B150" s="212" t="s">
        <v>38</v>
      </c>
      <c r="C150" s="212" t="s">
        <v>108</v>
      </c>
      <c r="D150" s="212" t="s">
        <v>530</v>
      </c>
      <c r="E150" s="212" t="s">
        <v>967</v>
      </c>
      <c r="F150" s="212" t="s">
        <v>968</v>
      </c>
      <c r="G150" s="217"/>
      <c r="H150" s="213" t="s">
        <v>969</v>
      </c>
      <c r="I150" s="217" t="s">
        <v>970</v>
      </c>
      <c r="J150" s="214" t="s">
        <v>960</v>
      </c>
      <c r="K150" s="215"/>
      <c r="L150" s="226"/>
      <c r="M150" s="224"/>
      <c r="N150" s="217"/>
      <c r="O150" s="210"/>
    </row>
    <row r="151">
      <c r="A151" s="212">
        <f t="shared" si="3"/>
        <v>149</v>
      </c>
      <c r="B151" s="212" t="s">
        <v>38</v>
      </c>
      <c r="C151" s="212" t="s">
        <v>108</v>
      </c>
      <c r="D151" s="212" t="s">
        <v>530</v>
      </c>
      <c r="E151" s="212" t="s">
        <v>967</v>
      </c>
      <c r="F151" s="212" t="s">
        <v>971</v>
      </c>
      <c r="G151" s="217"/>
      <c r="H151" s="213" t="s">
        <v>972</v>
      </c>
      <c r="I151" s="217" t="s">
        <v>973</v>
      </c>
      <c r="J151" s="214" t="s">
        <v>960</v>
      </c>
      <c r="K151" s="215"/>
      <c r="L151" s="226"/>
      <c r="M151" s="224"/>
      <c r="N151" s="217"/>
      <c r="O151" s="210"/>
    </row>
    <row r="152">
      <c r="A152" s="212">
        <f t="shared" si="3"/>
        <v>150</v>
      </c>
      <c r="B152" s="212" t="s">
        <v>38</v>
      </c>
      <c r="C152" s="212" t="s">
        <v>108</v>
      </c>
      <c r="D152" s="212" t="s">
        <v>530</v>
      </c>
      <c r="E152" s="212" t="s">
        <v>967</v>
      </c>
      <c r="F152" s="212" t="s">
        <v>974</v>
      </c>
      <c r="G152" s="217" t="s">
        <v>975</v>
      </c>
      <c r="H152" s="213" t="s">
        <v>976</v>
      </c>
      <c r="I152" s="217" t="s">
        <v>963</v>
      </c>
      <c r="J152" s="214" t="s">
        <v>108</v>
      </c>
      <c r="K152" s="215"/>
      <c r="L152" s="226"/>
      <c r="M152" s="224"/>
      <c r="N152" s="217"/>
      <c r="O152" s="210"/>
    </row>
    <row r="153">
      <c r="A153" s="212">
        <f t="shared" si="3"/>
        <v>151</v>
      </c>
      <c r="B153" s="212" t="s">
        <v>38</v>
      </c>
      <c r="C153" s="212" t="s">
        <v>108</v>
      </c>
      <c r="D153" s="212" t="s">
        <v>530</v>
      </c>
      <c r="E153" s="212"/>
      <c r="F153" s="212" t="s">
        <v>974</v>
      </c>
      <c r="G153" s="217"/>
      <c r="H153" s="213" t="s">
        <v>964</v>
      </c>
      <c r="I153" s="217" t="s">
        <v>977</v>
      </c>
      <c r="J153" s="214" t="s">
        <v>978</v>
      </c>
      <c r="K153" s="215"/>
      <c r="L153" s="226"/>
      <c r="M153" s="224"/>
      <c r="N153" s="217"/>
      <c r="O153" s="210"/>
    </row>
    <row r="154">
      <c r="A154" s="212">
        <f t="shared" si="3"/>
        <v>152</v>
      </c>
      <c r="B154" s="212" t="s">
        <v>38</v>
      </c>
      <c r="C154" s="212" t="s">
        <v>108</v>
      </c>
      <c r="D154" s="212" t="s">
        <v>530</v>
      </c>
      <c r="E154" s="212" t="s">
        <v>979</v>
      </c>
      <c r="F154" s="212" t="s">
        <v>968</v>
      </c>
      <c r="G154" s="217"/>
      <c r="H154" s="213" t="s">
        <v>980</v>
      </c>
      <c r="I154" s="217" t="s">
        <v>970</v>
      </c>
      <c r="J154" s="214" t="s">
        <v>978</v>
      </c>
      <c r="K154" s="215"/>
      <c r="L154" s="226"/>
      <c r="M154" s="224"/>
      <c r="N154" s="217"/>
      <c r="O154" s="210"/>
    </row>
    <row r="155">
      <c r="A155" s="212">
        <f t="shared" si="3"/>
        <v>153</v>
      </c>
      <c r="B155" s="212" t="s">
        <v>38</v>
      </c>
      <c r="C155" s="212" t="s">
        <v>108</v>
      </c>
      <c r="D155" s="212" t="s">
        <v>530</v>
      </c>
      <c r="E155" s="212" t="s">
        <v>979</v>
      </c>
      <c r="F155" s="212" t="s">
        <v>981</v>
      </c>
      <c r="G155" s="217"/>
      <c r="H155" s="213" t="s">
        <v>982</v>
      </c>
      <c r="I155" s="217" t="s">
        <v>983</v>
      </c>
      <c r="J155" s="214" t="s">
        <v>978</v>
      </c>
      <c r="K155" s="215"/>
      <c r="L155" s="226"/>
      <c r="M155" s="224"/>
      <c r="N155" s="217"/>
      <c r="O155" s="210"/>
    </row>
    <row r="156">
      <c r="A156" s="212">
        <f t="shared" si="3"/>
        <v>154</v>
      </c>
      <c r="B156" s="212" t="s">
        <v>38</v>
      </c>
      <c r="C156" s="212" t="s">
        <v>108</v>
      </c>
      <c r="D156" s="212" t="s">
        <v>530</v>
      </c>
      <c r="E156" s="212"/>
      <c r="F156" s="225" t="s">
        <v>392</v>
      </c>
      <c r="G156" s="217" t="s">
        <v>984</v>
      </c>
      <c r="H156" s="213" t="s">
        <v>985</v>
      </c>
      <c r="I156" s="217" t="s">
        <v>986</v>
      </c>
      <c r="J156" s="214" t="s">
        <v>108</v>
      </c>
      <c r="K156" s="215"/>
      <c r="L156" s="226"/>
      <c r="M156" s="224"/>
      <c r="N156" s="217"/>
      <c r="O156" s="210"/>
    </row>
    <row r="157">
      <c r="A157" s="212">
        <f t="shared" si="3"/>
        <v>155</v>
      </c>
      <c r="B157" s="212" t="s">
        <v>38</v>
      </c>
      <c r="C157" s="212" t="s">
        <v>108</v>
      </c>
      <c r="D157" s="212" t="s">
        <v>530</v>
      </c>
      <c r="E157" s="212"/>
      <c r="F157" s="39"/>
      <c r="G157" s="217"/>
      <c r="H157" s="213" t="s">
        <v>987</v>
      </c>
      <c r="I157" s="217" t="s">
        <v>988</v>
      </c>
      <c r="J157" s="214" t="s">
        <v>392</v>
      </c>
      <c r="K157" s="215"/>
      <c r="L157" s="226"/>
      <c r="M157" s="224"/>
      <c r="N157" s="217"/>
      <c r="O157" s="210"/>
    </row>
    <row r="158">
      <c r="A158" s="212">
        <f t="shared" si="3"/>
        <v>156</v>
      </c>
      <c r="B158" s="212" t="s">
        <v>38</v>
      </c>
      <c r="C158" s="212" t="s">
        <v>108</v>
      </c>
      <c r="D158" s="212" t="s">
        <v>530</v>
      </c>
      <c r="E158" s="212"/>
      <c r="F158" s="225" t="s">
        <v>394</v>
      </c>
      <c r="G158" s="217" t="s">
        <v>989</v>
      </c>
      <c r="H158" s="213" t="s">
        <v>990</v>
      </c>
      <c r="I158" s="217" t="s">
        <v>986</v>
      </c>
      <c r="J158" s="214" t="s">
        <v>108</v>
      </c>
      <c r="K158" s="215"/>
      <c r="L158" s="226"/>
      <c r="M158" s="224"/>
      <c r="N158" s="217"/>
      <c r="O158" s="210"/>
    </row>
    <row r="159">
      <c r="A159" s="212">
        <f t="shared" si="3"/>
        <v>157</v>
      </c>
      <c r="B159" s="212" t="s">
        <v>38</v>
      </c>
      <c r="C159" s="212" t="s">
        <v>108</v>
      </c>
      <c r="D159" s="212" t="s">
        <v>530</v>
      </c>
      <c r="E159" s="212"/>
      <c r="F159" s="39"/>
      <c r="G159" s="217"/>
      <c r="H159" s="213" t="s">
        <v>987</v>
      </c>
      <c r="I159" s="217" t="s">
        <v>991</v>
      </c>
      <c r="J159" s="214" t="s">
        <v>394</v>
      </c>
      <c r="K159" s="215"/>
      <c r="L159" s="226"/>
      <c r="M159" s="224"/>
      <c r="N159" s="217"/>
      <c r="O159" s="210"/>
    </row>
    <row r="160">
      <c r="A160" s="212">
        <f t="shared" si="3"/>
        <v>158</v>
      </c>
      <c r="B160" s="212" t="s">
        <v>38</v>
      </c>
      <c r="C160" s="212" t="s">
        <v>108</v>
      </c>
      <c r="D160" s="212" t="s">
        <v>530</v>
      </c>
      <c r="E160" s="212"/>
      <c r="F160" s="225" t="s">
        <v>992</v>
      </c>
      <c r="G160" s="217" t="s">
        <v>993</v>
      </c>
      <c r="H160" s="213" t="s">
        <v>994</v>
      </c>
      <c r="I160" s="217" t="s">
        <v>986</v>
      </c>
      <c r="J160" s="214" t="s">
        <v>108</v>
      </c>
      <c r="K160" s="215"/>
      <c r="L160" s="226"/>
      <c r="M160" s="224"/>
      <c r="N160" s="217"/>
      <c r="O160" s="210"/>
    </row>
    <row r="161">
      <c r="A161" s="212">
        <f t="shared" si="3"/>
        <v>159</v>
      </c>
      <c r="B161" s="212" t="s">
        <v>38</v>
      </c>
      <c r="C161" s="212" t="s">
        <v>108</v>
      </c>
      <c r="D161" s="212" t="s">
        <v>530</v>
      </c>
      <c r="E161" s="212"/>
      <c r="F161" s="39"/>
      <c r="G161" s="217"/>
      <c r="H161" s="213" t="s">
        <v>987</v>
      </c>
      <c r="I161" s="217" t="s">
        <v>995</v>
      </c>
      <c r="J161" s="214" t="s">
        <v>992</v>
      </c>
      <c r="K161" s="215"/>
      <c r="L161" s="226"/>
      <c r="M161" s="224"/>
      <c r="N161" s="217"/>
      <c r="O161" s="210"/>
    </row>
    <row r="162">
      <c r="A162" s="212">
        <f t="shared" si="3"/>
        <v>160</v>
      </c>
      <c r="B162" s="212" t="s">
        <v>38</v>
      </c>
      <c r="C162" s="212" t="s">
        <v>108</v>
      </c>
      <c r="D162" s="212" t="s">
        <v>530</v>
      </c>
      <c r="E162" s="212"/>
      <c r="F162" s="225" t="s">
        <v>996</v>
      </c>
      <c r="G162" s="217" t="s">
        <v>997</v>
      </c>
      <c r="H162" s="213" t="s">
        <v>998</v>
      </c>
      <c r="I162" s="217" t="s">
        <v>999</v>
      </c>
      <c r="J162" s="214" t="s">
        <v>108</v>
      </c>
      <c r="K162" s="215"/>
      <c r="L162" s="226"/>
      <c r="M162" s="224"/>
      <c r="N162" s="217"/>
      <c r="O162" s="210"/>
    </row>
    <row r="163">
      <c r="A163" s="212">
        <f t="shared" si="3"/>
        <v>161</v>
      </c>
      <c r="B163" s="212" t="s">
        <v>38</v>
      </c>
      <c r="C163" s="212" t="s">
        <v>108</v>
      </c>
      <c r="D163" s="212" t="s">
        <v>530</v>
      </c>
      <c r="E163" s="212"/>
      <c r="F163" s="39"/>
      <c r="G163" s="217"/>
      <c r="H163" s="213" t="s">
        <v>1000</v>
      </c>
      <c r="I163" s="217" t="s">
        <v>1001</v>
      </c>
      <c r="J163" s="214" t="s">
        <v>996</v>
      </c>
      <c r="K163" s="215"/>
      <c r="L163" s="226"/>
      <c r="M163" s="224"/>
      <c r="N163" s="217"/>
      <c r="O163" s="210"/>
    </row>
    <row r="164">
      <c r="A164" s="212">
        <f t="shared" si="3"/>
        <v>162</v>
      </c>
      <c r="B164" s="212" t="s">
        <v>38</v>
      </c>
      <c r="C164" s="212" t="s">
        <v>108</v>
      </c>
      <c r="D164" s="212" t="s">
        <v>530</v>
      </c>
      <c r="E164" s="212"/>
      <c r="F164" s="225" t="s">
        <v>1002</v>
      </c>
      <c r="G164" s="217" t="s">
        <v>1003</v>
      </c>
      <c r="H164" s="213" t="s">
        <v>1004</v>
      </c>
      <c r="I164" s="217" t="s">
        <v>1005</v>
      </c>
      <c r="J164" s="214" t="s">
        <v>108</v>
      </c>
      <c r="K164" s="215"/>
      <c r="L164" s="226"/>
      <c r="M164" s="224"/>
      <c r="N164" s="217"/>
      <c r="O164" s="210"/>
    </row>
    <row r="165">
      <c r="A165" s="212">
        <f t="shared" si="3"/>
        <v>163</v>
      </c>
      <c r="B165" s="212" t="s">
        <v>38</v>
      </c>
      <c r="C165" s="212" t="s">
        <v>108</v>
      </c>
      <c r="D165" s="212" t="s">
        <v>530</v>
      </c>
      <c r="E165" s="212"/>
      <c r="F165" s="39"/>
      <c r="G165" s="217" t="s">
        <v>1006</v>
      </c>
      <c r="H165" s="213" t="s">
        <v>1004</v>
      </c>
      <c r="I165" s="217" t="s">
        <v>1007</v>
      </c>
      <c r="J165" s="214" t="s">
        <v>108</v>
      </c>
      <c r="K165" s="215"/>
      <c r="L165" s="226"/>
      <c r="M165" s="224"/>
      <c r="N165" s="217"/>
      <c r="O165" s="210"/>
    </row>
    <row r="166">
      <c r="A166" s="212">
        <f t="shared" si="3"/>
        <v>164</v>
      </c>
      <c r="B166" s="212" t="s">
        <v>38</v>
      </c>
      <c r="C166" s="212" t="s">
        <v>108</v>
      </c>
      <c r="D166" s="212" t="s">
        <v>530</v>
      </c>
      <c r="E166" s="212"/>
      <c r="F166" s="212" t="s">
        <v>1008</v>
      </c>
      <c r="G166" s="217" t="s">
        <v>1003</v>
      </c>
      <c r="H166" s="213" t="s">
        <v>1009</v>
      </c>
      <c r="I166" s="217" t="s">
        <v>1010</v>
      </c>
      <c r="J166" s="214" t="s">
        <v>108</v>
      </c>
      <c r="K166" s="215"/>
      <c r="L166" s="226"/>
      <c r="M166" s="224"/>
      <c r="N166" s="217"/>
      <c r="O166" s="210"/>
    </row>
    <row r="167">
      <c r="A167" s="212">
        <f t="shared" si="3"/>
        <v>165</v>
      </c>
      <c r="B167" s="212" t="s">
        <v>38</v>
      </c>
      <c r="C167" s="212" t="s">
        <v>108</v>
      </c>
      <c r="D167" s="212" t="s">
        <v>530</v>
      </c>
      <c r="E167" s="212"/>
      <c r="F167" s="225" t="s">
        <v>1011</v>
      </c>
      <c r="G167" s="217" t="s">
        <v>1003</v>
      </c>
      <c r="H167" s="213" t="s">
        <v>1012</v>
      </c>
      <c r="I167" s="217" t="s">
        <v>1013</v>
      </c>
      <c r="J167" s="214" t="s">
        <v>108</v>
      </c>
      <c r="K167" s="215"/>
      <c r="L167" s="226"/>
      <c r="M167" s="224"/>
      <c r="N167" s="217"/>
      <c r="O167" s="210"/>
    </row>
    <row r="168">
      <c r="A168" s="212">
        <f t="shared" si="3"/>
        <v>166</v>
      </c>
      <c r="B168" s="212" t="s">
        <v>38</v>
      </c>
      <c r="C168" s="212" t="s">
        <v>108</v>
      </c>
      <c r="D168" s="212" t="s">
        <v>530</v>
      </c>
      <c r="E168" s="212"/>
      <c r="F168" s="220"/>
      <c r="G168" s="217" t="s">
        <v>1006</v>
      </c>
      <c r="H168" s="213" t="s">
        <v>1012</v>
      </c>
      <c r="I168" s="217" t="s">
        <v>1007</v>
      </c>
      <c r="J168" s="214" t="s">
        <v>108</v>
      </c>
      <c r="K168" s="215"/>
      <c r="L168" s="226"/>
      <c r="M168" s="224"/>
      <c r="N168" s="217"/>
      <c r="O168" s="210"/>
    </row>
    <row r="169">
      <c r="A169" s="212">
        <f t="shared" si="3"/>
        <v>167</v>
      </c>
      <c r="B169" s="212" t="s">
        <v>38</v>
      </c>
      <c r="C169" s="212" t="s">
        <v>108</v>
      </c>
      <c r="D169" s="212" t="s">
        <v>530</v>
      </c>
      <c r="E169" s="212"/>
      <c r="F169" s="220"/>
      <c r="G169" s="249" t="s">
        <v>1003</v>
      </c>
      <c r="H169" s="213" t="s">
        <v>1014</v>
      </c>
      <c r="I169" s="217" t="s">
        <v>1015</v>
      </c>
      <c r="J169" s="214" t="s">
        <v>108</v>
      </c>
      <c r="K169" s="215"/>
      <c r="L169" s="226"/>
      <c r="M169" s="224"/>
      <c r="N169" s="217"/>
      <c r="O169" s="210"/>
    </row>
    <row r="170">
      <c r="A170" s="212">
        <f t="shared" si="3"/>
        <v>168</v>
      </c>
      <c r="B170" s="212" t="s">
        <v>38</v>
      </c>
      <c r="C170" s="212" t="s">
        <v>108</v>
      </c>
      <c r="D170" s="212" t="s">
        <v>530</v>
      </c>
      <c r="E170" s="212"/>
      <c r="F170" s="39"/>
      <c r="G170" s="39"/>
      <c r="H170" s="213" t="s">
        <v>1016</v>
      </c>
      <c r="I170" s="217" t="s">
        <v>1017</v>
      </c>
      <c r="J170" s="214" t="s">
        <v>108</v>
      </c>
      <c r="K170" s="215"/>
      <c r="L170" s="226"/>
      <c r="M170" s="224"/>
      <c r="N170" s="217"/>
      <c r="O170" s="210"/>
    </row>
    <row r="171">
      <c r="A171" s="212">
        <f t="shared" si="3"/>
        <v>169</v>
      </c>
      <c r="B171" s="212" t="s">
        <v>38</v>
      </c>
      <c r="C171" s="212" t="s">
        <v>108</v>
      </c>
      <c r="D171" s="212" t="s">
        <v>530</v>
      </c>
      <c r="E171" s="212"/>
      <c r="F171" s="212" t="s">
        <v>1018</v>
      </c>
      <c r="G171" s="217" t="s">
        <v>1019</v>
      </c>
      <c r="H171" s="213" t="s">
        <v>1020</v>
      </c>
      <c r="I171" s="217" t="s">
        <v>1021</v>
      </c>
      <c r="J171" s="214" t="s">
        <v>116</v>
      </c>
      <c r="K171" s="215"/>
      <c r="L171" s="224"/>
      <c r="M171" s="224"/>
      <c r="N171" s="217"/>
      <c r="O171" s="210"/>
    </row>
    <row r="172">
      <c r="A172" s="212">
        <f t="shared" si="3"/>
        <v>170</v>
      </c>
      <c r="B172" s="212" t="s">
        <v>38</v>
      </c>
      <c r="C172" s="212" t="s">
        <v>108</v>
      </c>
      <c r="D172" s="212" t="s">
        <v>530</v>
      </c>
      <c r="E172" s="212"/>
      <c r="F172" s="212" t="s">
        <v>1022</v>
      </c>
      <c r="G172" s="217"/>
      <c r="H172" s="213"/>
      <c r="I172" s="250" t="s">
        <v>1023</v>
      </c>
      <c r="J172" s="214" t="s">
        <v>108</v>
      </c>
      <c r="K172" s="215"/>
      <c r="L172" s="226"/>
      <c r="M172" s="227" t="s">
        <v>1024</v>
      </c>
      <c r="N172" s="217"/>
      <c r="O172" s="210"/>
    </row>
    <row r="173">
      <c r="A173" s="212">
        <f t="shared" si="3"/>
        <v>171</v>
      </c>
      <c r="B173" s="212" t="s">
        <v>38</v>
      </c>
      <c r="C173" s="212" t="s">
        <v>116</v>
      </c>
      <c r="D173" s="212"/>
      <c r="E173" s="212"/>
      <c r="F173" s="212" t="s">
        <v>483</v>
      </c>
      <c r="G173" s="217"/>
      <c r="H173" s="213" t="s">
        <v>1025</v>
      </c>
      <c r="I173" s="217" t="s">
        <v>1026</v>
      </c>
      <c r="J173" s="214" t="s">
        <v>116</v>
      </c>
      <c r="K173" s="215"/>
      <c r="L173" s="226"/>
      <c r="M173" s="224"/>
      <c r="N173" s="217"/>
      <c r="O173" s="210"/>
    </row>
    <row r="174">
      <c r="A174" s="212">
        <f t="shared" si="3"/>
        <v>172</v>
      </c>
      <c r="B174" s="212" t="s">
        <v>38</v>
      </c>
      <c r="C174" s="212" t="s">
        <v>116</v>
      </c>
      <c r="D174" s="212" t="s">
        <v>1027</v>
      </c>
      <c r="E174" s="212"/>
      <c r="F174" s="212" t="s">
        <v>1027</v>
      </c>
      <c r="G174" s="217"/>
      <c r="H174" s="213" t="s">
        <v>1028</v>
      </c>
      <c r="I174" s="217" t="s">
        <v>1029</v>
      </c>
      <c r="J174" s="214" t="s">
        <v>116</v>
      </c>
      <c r="K174" s="215"/>
      <c r="L174" s="226"/>
      <c r="M174" s="224"/>
      <c r="N174" s="217"/>
      <c r="O174" s="210"/>
    </row>
    <row r="175">
      <c r="A175" s="212">
        <f t="shared" si="3"/>
        <v>173</v>
      </c>
      <c r="B175" s="212" t="s">
        <v>38</v>
      </c>
      <c r="C175" s="212" t="s">
        <v>116</v>
      </c>
      <c r="D175" s="212" t="s">
        <v>1027</v>
      </c>
      <c r="E175" s="212"/>
      <c r="F175" s="225" t="s">
        <v>1030</v>
      </c>
      <c r="G175" s="217"/>
      <c r="H175" s="213" t="s">
        <v>1031</v>
      </c>
      <c r="I175" s="217" t="s">
        <v>1032</v>
      </c>
      <c r="J175" s="214" t="s">
        <v>116</v>
      </c>
      <c r="K175" s="215"/>
      <c r="L175" s="226"/>
      <c r="M175" s="224"/>
      <c r="N175" s="217"/>
      <c r="O175" s="210"/>
    </row>
    <row r="176">
      <c r="A176" s="212">
        <f t="shared" si="3"/>
        <v>174</v>
      </c>
      <c r="B176" s="212" t="s">
        <v>38</v>
      </c>
      <c r="C176" s="212" t="s">
        <v>116</v>
      </c>
      <c r="D176" s="212" t="s">
        <v>1027</v>
      </c>
      <c r="E176" s="212"/>
      <c r="F176" s="39"/>
      <c r="G176" s="217" t="s">
        <v>1033</v>
      </c>
      <c r="H176" s="213" t="s">
        <v>1034</v>
      </c>
      <c r="I176" s="217" t="s">
        <v>1035</v>
      </c>
      <c r="J176" s="214" t="s">
        <v>116</v>
      </c>
      <c r="K176" s="215"/>
      <c r="L176" s="226"/>
      <c r="M176" s="224"/>
      <c r="N176" s="217"/>
      <c r="O176" s="210"/>
    </row>
    <row r="177">
      <c r="A177" s="212">
        <f t="shared" si="3"/>
        <v>175</v>
      </c>
      <c r="B177" s="212" t="s">
        <v>38</v>
      </c>
      <c r="C177" s="212" t="s">
        <v>116</v>
      </c>
      <c r="D177" s="212" t="s">
        <v>1027</v>
      </c>
      <c r="E177" s="212"/>
      <c r="F177" s="225" t="s">
        <v>1036</v>
      </c>
      <c r="G177" s="217"/>
      <c r="H177" s="213" t="s">
        <v>1037</v>
      </c>
      <c r="I177" s="217" t="s">
        <v>1038</v>
      </c>
      <c r="J177" s="214" t="s">
        <v>116</v>
      </c>
      <c r="K177" s="215"/>
      <c r="L177" s="226"/>
      <c r="M177" s="224"/>
      <c r="N177" s="217"/>
      <c r="O177" s="210"/>
    </row>
    <row r="178">
      <c r="A178" s="212">
        <f t="shared" si="3"/>
        <v>176</v>
      </c>
      <c r="B178" s="212" t="s">
        <v>38</v>
      </c>
      <c r="C178" s="212" t="s">
        <v>116</v>
      </c>
      <c r="D178" s="212" t="s">
        <v>1027</v>
      </c>
      <c r="E178" s="212"/>
      <c r="F178" s="39"/>
      <c r="G178" s="217" t="s">
        <v>1039</v>
      </c>
      <c r="H178" s="213" t="s">
        <v>1034</v>
      </c>
      <c r="I178" s="217" t="s">
        <v>1035</v>
      </c>
      <c r="J178" s="214" t="s">
        <v>116</v>
      </c>
      <c r="K178" s="215"/>
      <c r="L178" s="226"/>
      <c r="M178" s="224"/>
      <c r="N178" s="217"/>
      <c r="O178" s="210"/>
    </row>
    <row r="179">
      <c r="A179" s="212">
        <f t="shared" si="3"/>
        <v>177</v>
      </c>
      <c r="B179" s="212" t="s">
        <v>38</v>
      </c>
      <c r="C179" s="212" t="s">
        <v>116</v>
      </c>
      <c r="D179" s="212" t="s">
        <v>1027</v>
      </c>
      <c r="E179" s="212"/>
      <c r="F179" s="212" t="s">
        <v>1040</v>
      </c>
      <c r="G179" s="217" t="s">
        <v>1041</v>
      </c>
      <c r="H179" s="213" t="s">
        <v>1042</v>
      </c>
      <c r="I179" s="217" t="s">
        <v>1043</v>
      </c>
      <c r="J179" s="214" t="s">
        <v>116</v>
      </c>
      <c r="K179" s="215"/>
      <c r="L179" s="226"/>
      <c r="M179" s="224"/>
      <c r="N179" s="217"/>
      <c r="O179" s="210"/>
    </row>
    <row r="180">
      <c r="A180" s="212">
        <f t="shared" si="3"/>
        <v>178</v>
      </c>
      <c r="B180" s="212" t="s">
        <v>38</v>
      </c>
      <c r="C180" s="212" t="s">
        <v>116</v>
      </c>
      <c r="D180" s="212" t="s">
        <v>1027</v>
      </c>
      <c r="E180" s="212"/>
      <c r="F180" s="212" t="s">
        <v>608</v>
      </c>
      <c r="G180" s="217" t="s">
        <v>1044</v>
      </c>
      <c r="H180" s="213" t="s">
        <v>1045</v>
      </c>
      <c r="I180" s="217" t="s">
        <v>1046</v>
      </c>
      <c r="J180" s="214" t="s">
        <v>116</v>
      </c>
      <c r="K180" s="215"/>
      <c r="L180" s="226"/>
      <c r="M180" s="224"/>
      <c r="N180" s="217"/>
      <c r="O180" s="210"/>
    </row>
    <row r="181">
      <c r="A181" s="212">
        <f t="shared" si="3"/>
        <v>179</v>
      </c>
      <c r="B181" s="212" t="s">
        <v>38</v>
      </c>
      <c r="C181" s="212" t="s">
        <v>116</v>
      </c>
      <c r="D181" s="212" t="s">
        <v>1027</v>
      </c>
      <c r="E181" s="212"/>
      <c r="F181" s="212" t="s">
        <v>1047</v>
      </c>
      <c r="G181" s="227"/>
      <c r="H181" s="213" t="s">
        <v>1048</v>
      </c>
      <c r="I181" s="227" t="s">
        <v>1049</v>
      </c>
      <c r="J181" s="214" t="s">
        <v>116</v>
      </c>
      <c r="K181" s="215"/>
      <c r="L181" s="224"/>
      <c r="M181" s="224"/>
      <c r="N181" s="217"/>
      <c r="O181" s="210"/>
    </row>
    <row r="182">
      <c r="A182" s="212">
        <f t="shared" si="3"/>
        <v>180</v>
      </c>
      <c r="B182" s="212" t="s">
        <v>38</v>
      </c>
      <c r="C182" s="212" t="s">
        <v>116</v>
      </c>
      <c r="D182" s="212" t="s">
        <v>1027</v>
      </c>
      <c r="E182" s="212"/>
      <c r="F182" s="212" t="s">
        <v>1050</v>
      </c>
      <c r="G182" s="227"/>
      <c r="H182" s="213" t="s">
        <v>1051</v>
      </c>
      <c r="I182" s="227" t="s">
        <v>1052</v>
      </c>
      <c r="J182" s="214" t="s">
        <v>116</v>
      </c>
      <c r="K182" s="215"/>
      <c r="L182" s="224"/>
      <c r="M182" s="224"/>
      <c r="N182" s="217"/>
      <c r="O182" s="210"/>
    </row>
    <row r="183">
      <c r="A183" s="212">
        <f t="shared" si="3"/>
        <v>181</v>
      </c>
      <c r="B183" s="212" t="s">
        <v>38</v>
      </c>
      <c r="C183" s="212" t="s">
        <v>116</v>
      </c>
      <c r="D183" s="212" t="s">
        <v>1053</v>
      </c>
      <c r="E183" s="212"/>
      <c r="F183" s="212" t="s">
        <v>1053</v>
      </c>
      <c r="G183" s="227"/>
      <c r="H183" s="213" t="s">
        <v>1054</v>
      </c>
      <c r="I183" s="227" t="s">
        <v>1055</v>
      </c>
      <c r="J183" s="214" t="s">
        <v>116</v>
      </c>
      <c r="K183" s="215"/>
      <c r="L183" s="224"/>
      <c r="M183" s="224"/>
      <c r="N183" s="217"/>
      <c r="O183" s="210"/>
    </row>
    <row r="184">
      <c r="A184" s="212">
        <f t="shared" si="3"/>
        <v>182</v>
      </c>
      <c r="B184" s="212" t="s">
        <v>38</v>
      </c>
      <c r="C184" s="212" t="s">
        <v>116</v>
      </c>
      <c r="D184" s="212" t="s">
        <v>1053</v>
      </c>
      <c r="E184" s="212"/>
      <c r="F184" s="212" t="s">
        <v>1056</v>
      </c>
      <c r="G184" s="227"/>
      <c r="H184" s="213" t="s">
        <v>1057</v>
      </c>
      <c r="I184" s="227" t="s">
        <v>1032</v>
      </c>
      <c r="J184" s="214" t="s">
        <v>116</v>
      </c>
      <c r="K184" s="215"/>
      <c r="L184" s="224"/>
      <c r="M184" s="224"/>
      <c r="N184" s="217"/>
      <c r="O184" s="210"/>
    </row>
    <row r="185">
      <c r="A185" s="212">
        <f t="shared" si="3"/>
        <v>183</v>
      </c>
      <c r="B185" s="212" t="s">
        <v>38</v>
      </c>
      <c r="C185" s="212" t="s">
        <v>116</v>
      </c>
      <c r="D185" s="212" t="s">
        <v>1053</v>
      </c>
      <c r="E185" s="212"/>
      <c r="F185" s="212"/>
      <c r="G185" s="227" t="s">
        <v>1058</v>
      </c>
      <c r="H185" s="213" t="s">
        <v>1034</v>
      </c>
      <c r="I185" s="217" t="s">
        <v>1035</v>
      </c>
      <c r="J185" s="214" t="s">
        <v>116</v>
      </c>
      <c r="K185" s="215"/>
      <c r="L185" s="224"/>
      <c r="M185" s="224"/>
      <c r="N185" s="217"/>
      <c r="O185" s="210"/>
    </row>
    <row r="186">
      <c r="A186" s="212">
        <f t="shared" si="3"/>
        <v>184</v>
      </c>
      <c r="B186" s="212" t="s">
        <v>38</v>
      </c>
      <c r="C186" s="212" t="s">
        <v>116</v>
      </c>
      <c r="D186" s="212" t="s">
        <v>1053</v>
      </c>
      <c r="E186" s="212"/>
      <c r="F186" s="225" t="s">
        <v>1059</v>
      </c>
      <c r="G186" s="227"/>
      <c r="H186" s="213" t="s">
        <v>1060</v>
      </c>
      <c r="I186" s="227" t="s">
        <v>1061</v>
      </c>
      <c r="J186" s="214" t="s">
        <v>116</v>
      </c>
      <c r="K186" s="215"/>
      <c r="L186" s="224"/>
      <c r="M186" s="224"/>
      <c r="N186" s="217"/>
      <c r="O186" s="210"/>
    </row>
    <row r="187">
      <c r="A187" s="212">
        <f t="shared" si="3"/>
        <v>185</v>
      </c>
      <c r="B187" s="212" t="s">
        <v>38</v>
      </c>
      <c r="C187" s="212" t="s">
        <v>116</v>
      </c>
      <c r="D187" s="212" t="s">
        <v>1053</v>
      </c>
      <c r="E187" s="212"/>
      <c r="F187" s="39"/>
      <c r="G187" s="227"/>
      <c r="H187" s="213" t="s">
        <v>1062</v>
      </c>
      <c r="I187" s="227" t="s">
        <v>1063</v>
      </c>
      <c r="J187" s="214" t="s">
        <v>116</v>
      </c>
      <c r="K187" s="215"/>
      <c r="L187" s="224"/>
      <c r="M187" s="224"/>
      <c r="N187" s="217"/>
      <c r="O187" s="210"/>
    </row>
    <row r="188">
      <c r="A188" s="212">
        <f t="shared" si="3"/>
        <v>186</v>
      </c>
      <c r="B188" s="212" t="s">
        <v>38</v>
      </c>
      <c r="C188" s="212" t="s">
        <v>116</v>
      </c>
      <c r="D188" s="212" t="s">
        <v>1053</v>
      </c>
      <c r="E188" s="212"/>
      <c r="F188" s="212" t="s">
        <v>1040</v>
      </c>
      <c r="G188" s="227"/>
      <c r="H188" s="213" t="s">
        <v>1064</v>
      </c>
      <c r="I188" s="227" t="s">
        <v>1065</v>
      </c>
      <c r="J188" s="214" t="s">
        <v>116</v>
      </c>
      <c r="K188" s="215"/>
      <c r="L188" s="224"/>
      <c r="M188" s="224"/>
      <c r="N188" s="217"/>
      <c r="O188" s="210"/>
    </row>
    <row r="189">
      <c r="A189" s="212">
        <f t="shared" si="3"/>
        <v>187</v>
      </c>
      <c r="B189" s="212" t="s">
        <v>38</v>
      </c>
      <c r="C189" s="212" t="s">
        <v>116</v>
      </c>
      <c r="D189" s="212" t="s">
        <v>1053</v>
      </c>
      <c r="E189" s="212"/>
      <c r="F189" s="212" t="s">
        <v>608</v>
      </c>
      <c r="G189" s="227" t="s">
        <v>1066</v>
      </c>
      <c r="H189" s="227" t="s">
        <v>1067</v>
      </c>
      <c r="I189" s="227" t="s">
        <v>1068</v>
      </c>
      <c r="J189" s="214" t="s">
        <v>116</v>
      </c>
      <c r="K189" s="215"/>
      <c r="L189" s="224"/>
      <c r="M189" s="224"/>
      <c r="N189" s="217"/>
      <c r="O189" s="210"/>
    </row>
    <row r="190">
      <c r="A190" s="212">
        <f t="shared" si="3"/>
        <v>188</v>
      </c>
      <c r="B190" s="212" t="s">
        <v>38</v>
      </c>
      <c r="C190" s="212" t="s">
        <v>116</v>
      </c>
      <c r="D190" s="212" t="s">
        <v>1053</v>
      </c>
      <c r="E190" s="212"/>
      <c r="F190" s="212" t="s">
        <v>1069</v>
      </c>
      <c r="G190" s="217"/>
      <c r="H190" s="213" t="s">
        <v>1070</v>
      </c>
      <c r="I190" s="227" t="s">
        <v>1065</v>
      </c>
      <c r="J190" s="214" t="s">
        <v>116</v>
      </c>
      <c r="K190" s="215"/>
      <c r="L190" s="224"/>
      <c r="M190" s="224"/>
      <c r="N190" s="217"/>
      <c r="O190" s="210"/>
    </row>
    <row r="191">
      <c r="A191" s="212">
        <f t="shared" si="3"/>
        <v>189</v>
      </c>
      <c r="B191" s="212" t="s">
        <v>38</v>
      </c>
      <c r="C191" s="212" t="s">
        <v>116</v>
      </c>
      <c r="D191" s="212" t="s">
        <v>1053</v>
      </c>
      <c r="E191" s="212"/>
      <c r="F191" s="225" t="s">
        <v>1071</v>
      </c>
      <c r="G191" s="217"/>
      <c r="H191" s="213" t="s">
        <v>1072</v>
      </c>
      <c r="I191" s="217" t="s">
        <v>1073</v>
      </c>
      <c r="J191" s="214" t="s">
        <v>116</v>
      </c>
      <c r="K191" s="215"/>
      <c r="L191" s="224"/>
      <c r="M191" s="224"/>
      <c r="N191" s="217"/>
      <c r="O191" s="210"/>
    </row>
    <row r="192">
      <c r="A192" s="212">
        <f>COUNTA($I$3:$I194)</f>
        <v>192</v>
      </c>
      <c r="B192" s="212" t="s">
        <v>38</v>
      </c>
      <c r="C192" s="212" t="s">
        <v>116</v>
      </c>
      <c r="D192" s="212" t="s">
        <v>1053</v>
      </c>
      <c r="E192" s="212"/>
      <c r="F192" s="39"/>
      <c r="G192" s="217" t="s">
        <v>1074</v>
      </c>
      <c r="H192" s="213" t="s">
        <v>1075</v>
      </c>
      <c r="I192" s="217" t="s">
        <v>1076</v>
      </c>
      <c r="J192" s="214" t="s">
        <v>116</v>
      </c>
      <c r="K192" s="215"/>
      <c r="L192" s="224"/>
      <c r="M192" s="224"/>
      <c r="N192" s="217"/>
      <c r="O192" s="210"/>
    </row>
    <row r="193">
      <c r="A193" s="212">
        <f t="shared" ref="A193:A203" si="4">COUNTA($I$3:$I193)</f>
        <v>191</v>
      </c>
      <c r="B193" s="212" t="s">
        <v>38</v>
      </c>
      <c r="C193" s="212" t="s">
        <v>116</v>
      </c>
      <c r="D193" s="212" t="s">
        <v>1053</v>
      </c>
      <c r="E193" s="212"/>
      <c r="F193" s="225" t="s">
        <v>1077</v>
      </c>
      <c r="G193" s="217"/>
      <c r="H193" s="213" t="s">
        <v>1078</v>
      </c>
      <c r="I193" s="217" t="s">
        <v>1073</v>
      </c>
      <c r="J193" s="214" t="s">
        <v>116</v>
      </c>
      <c r="K193" s="215"/>
      <c r="L193" s="224"/>
      <c r="M193" s="224"/>
      <c r="N193" s="217"/>
      <c r="O193" s="210"/>
    </row>
    <row r="194">
      <c r="A194" s="212">
        <f t="shared" si="4"/>
        <v>192</v>
      </c>
      <c r="B194" s="212" t="s">
        <v>38</v>
      </c>
      <c r="C194" s="212" t="s">
        <v>116</v>
      </c>
      <c r="D194" s="212" t="s">
        <v>1053</v>
      </c>
      <c r="E194" s="212"/>
      <c r="F194" s="39"/>
      <c r="G194" s="217" t="s">
        <v>1074</v>
      </c>
      <c r="H194" s="213" t="s">
        <v>1075</v>
      </c>
      <c r="I194" s="217" t="s">
        <v>1076</v>
      </c>
      <c r="J194" s="214" t="s">
        <v>116</v>
      </c>
      <c r="K194" s="215"/>
      <c r="L194" s="224"/>
      <c r="M194" s="224"/>
      <c r="N194" s="217"/>
      <c r="O194" s="210"/>
    </row>
    <row r="195">
      <c r="A195" s="212">
        <f t="shared" si="4"/>
        <v>193</v>
      </c>
      <c r="B195" s="212" t="s">
        <v>38</v>
      </c>
      <c r="C195" s="212" t="s">
        <v>116</v>
      </c>
      <c r="D195" s="212" t="s">
        <v>1079</v>
      </c>
      <c r="E195" s="212"/>
      <c r="F195" s="212" t="s">
        <v>483</v>
      </c>
      <c r="G195" s="217"/>
      <c r="H195" s="213" t="s">
        <v>1080</v>
      </c>
      <c r="I195" s="217" t="s">
        <v>1081</v>
      </c>
      <c r="J195" s="214" t="s">
        <v>116</v>
      </c>
      <c r="K195" s="215"/>
      <c r="L195" s="224"/>
      <c r="M195" s="224"/>
      <c r="N195" s="217"/>
      <c r="O195" s="210"/>
    </row>
    <row r="196">
      <c r="A196" s="212">
        <f t="shared" si="4"/>
        <v>194</v>
      </c>
      <c r="B196" s="212" t="s">
        <v>38</v>
      </c>
      <c r="C196" s="212" t="s">
        <v>116</v>
      </c>
      <c r="D196" s="212" t="s">
        <v>1079</v>
      </c>
      <c r="E196" s="212"/>
      <c r="F196" s="225" t="s">
        <v>1082</v>
      </c>
      <c r="G196" s="217"/>
      <c r="H196" s="213" t="s">
        <v>1083</v>
      </c>
      <c r="I196" s="217" t="s">
        <v>1084</v>
      </c>
      <c r="J196" s="214" t="s">
        <v>116</v>
      </c>
      <c r="K196" s="215"/>
      <c r="L196" s="224"/>
      <c r="M196" s="224"/>
      <c r="N196" s="217"/>
      <c r="O196" s="210"/>
    </row>
    <row r="197">
      <c r="A197" s="212">
        <f t="shared" si="4"/>
        <v>195</v>
      </c>
      <c r="B197" s="212" t="s">
        <v>38</v>
      </c>
      <c r="C197" s="212" t="s">
        <v>116</v>
      </c>
      <c r="D197" s="212" t="s">
        <v>1079</v>
      </c>
      <c r="E197" s="212"/>
      <c r="F197" s="220"/>
      <c r="G197" s="217"/>
      <c r="H197" s="213" t="s">
        <v>1085</v>
      </c>
      <c r="I197" s="217" t="s">
        <v>1086</v>
      </c>
      <c r="J197" s="214" t="s">
        <v>116</v>
      </c>
      <c r="K197" s="215"/>
      <c r="L197" s="224"/>
      <c r="M197" s="224"/>
      <c r="N197" s="217"/>
      <c r="O197" s="210"/>
    </row>
    <row r="198">
      <c r="A198" s="212">
        <f t="shared" si="4"/>
        <v>196</v>
      </c>
      <c r="B198" s="212" t="s">
        <v>38</v>
      </c>
      <c r="C198" s="212" t="s">
        <v>116</v>
      </c>
      <c r="D198" s="212" t="s">
        <v>1079</v>
      </c>
      <c r="E198" s="212"/>
      <c r="F198" s="220"/>
      <c r="G198" s="217"/>
      <c r="H198" s="213" t="s">
        <v>1087</v>
      </c>
      <c r="I198" s="217" t="s">
        <v>1088</v>
      </c>
      <c r="J198" s="214" t="s">
        <v>116</v>
      </c>
      <c r="K198" s="215"/>
      <c r="L198" s="224"/>
      <c r="M198" s="224"/>
      <c r="N198" s="217"/>
      <c r="O198" s="210"/>
    </row>
    <row r="199">
      <c r="A199" s="212">
        <f t="shared" si="4"/>
        <v>197</v>
      </c>
      <c r="B199" s="212" t="s">
        <v>38</v>
      </c>
      <c r="C199" s="212" t="s">
        <v>116</v>
      </c>
      <c r="D199" s="212" t="s">
        <v>1079</v>
      </c>
      <c r="E199" s="212"/>
      <c r="F199" s="39"/>
      <c r="G199" s="217"/>
      <c r="H199" s="213" t="s">
        <v>1089</v>
      </c>
      <c r="I199" s="217" t="s">
        <v>1090</v>
      </c>
      <c r="J199" s="214" t="s">
        <v>116</v>
      </c>
      <c r="K199" s="215"/>
      <c r="L199" s="224"/>
      <c r="M199" s="224"/>
      <c r="N199" s="217"/>
      <c r="O199" s="210"/>
    </row>
    <row r="200">
      <c r="A200" s="212">
        <f t="shared" si="4"/>
        <v>198</v>
      </c>
      <c r="B200" s="212" t="s">
        <v>38</v>
      </c>
      <c r="C200" s="212" t="s">
        <v>116</v>
      </c>
      <c r="D200" s="212" t="s">
        <v>1079</v>
      </c>
      <c r="E200" s="212"/>
      <c r="F200" s="212" t="s">
        <v>1091</v>
      </c>
      <c r="G200" s="217" t="s">
        <v>1092</v>
      </c>
      <c r="H200" s="213" t="s">
        <v>1093</v>
      </c>
      <c r="I200" s="217" t="s">
        <v>1094</v>
      </c>
      <c r="J200" s="214" t="s">
        <v>116</v>
      </c>
      <c r="K200" s="215"/>
      <c r="L200" s="224"/>
      <c r="M200" s="224"/>
      <c r="N200" s="217"/>
      <c r="O200" s="210"/>
    </row>
    <row r="201">
      <c r="A201" s="212">
        <f t="shared" si="4"/>
        <v>199</v>
      </c>
      <c r="B201" s="212" t="s">
        <v>38</v>
      </c>
      <c r="C201" s="212" t="s">
        <v>116</v>
      </c>
      <c r="D201" s="212" t="s">
        <v>1079</v>
      </c>
      <c r="E201" s="212"/>
      <c r="F201" s="212" t="s">
        <v>608</v>
      </c>
      <c r="G201" s="217" t="s">
        <v>1095</v>
      </c>
      <c r="H201" s="213" t="s">
        <v>1096</v>
      </c>
      <c r="I201" s="217" t="s">
        <v>1097</v>
      </c>
      <c r="J201" s="214" t="s">
        <v>116</v>
      </c>
      <c r="K201" s="215"/>
      <c r="L201" s="224"/>
      <c r="M201" s="224"/>
      <c r="N201" s="217"/>
      <c r="O201" s="210"/>
    </row>
    <row r="202">
      <c r="A202" s="212">
        <f t="shared" si="4"/>
        <v>200</v>
      </c>
      <c r="B202" s="212" t="s">
        <v>38</v>
      </c>
      <c r="C202" s="212" t="s">
        <v>116</v>
      </c>
      <c r="D202" s="212" t="s">
        <v>1098</v>
      </c>
      <c r="E202" s="212"/>
      <c r="F202" s="212" t="s">
        <v>483</v>
      </c>
      <c r="G202" s="217"/>
      <c r="H202" s="213" t="s">
        <v>1099</v>
      </c>
      <c r="I202" s="217" t="s">
        <v>1100</v>
      </c>
      <c r="J202" s="214" t="s">
        <v>1098</v>
      </c>
      <c r="K202" s="215"/>
      <c r="L202" s="224"/>
      <c r="M202" s="224"/>
      <c r="N202" s="217"/>
      <c r="O202" s="210"/>
    </row>
    <row r="203">
      <c r="A203" s="212">
        <f t="shared" si="4"/>
        <v>201</v>
      </c>
      <c r="B203" s="212" t="s">
        <v>38</v>
      </c>
      <c r="C203" s="212" t="s">
        <v>116</v>
      </c>
      <c r="D203" s="212" t="s">
        <v>1098</v>
      </c>
      <c r="E203" s="212"/>
      <c r="F203" s="212" t="s">
        <v>1101</v>
      </c>
      <c r="G203" s="217"/>
      <c r="H203" s="213" t="s">
        <v>1102</v>
      </c>
      <c r="I203" s="217" t="s">
        <v>1103</v>
      </c>
      <c r="J203" s="214" t="s">
        <v>1098</v>
      </c>
      <c r="K203" s="215"/>
      <c r="L203" s="224"/>
      <c r="M203" s="224"/>
      <c r="N203" s="217"/>
      <c r="O203" s="210"/>
    </row>
    <row r="204">
      <c r="A204" s="212">
        <f t="shared" ref="A204:A207" si="5">COUNTA($I$3:$I211)</f>
        <v>209</v>
      </c>
      <c r="B204" s="212" t="s">
        <v>38</v>
      </c>
      <c r="C204" s="212" t="s">
        <v>116</v>
      </c>
      <c r="D204" s="212" t="s">
        <v>1098</v>
      </c>
      <c r="E204" s="212"/>
      <c r="F204" s="225" t="s">
        <v>1104</v>
      </c>
      <c r="G204" s="217"/>
      <c r="H204" s="213" t="s">
        <v>1105</v>
      </c>
      <c r="I204" s="243" t="s">
        <v>1106</v>
      </c>
      <c r="J204" s="214" t="s">
        <v>1098</v>
      </c>
      <c r="K204" s="215"/>
      <c r="L204" s="224"/>
      <c r="M204" s="227" t="s">
        <v>1107</v>
      </c>
      <c r="N204" s="217"/>
      <c r="O204" s="210"/>
    </row>
    <row r="205">
      <c r="A205" s="212">
        <f t="shared" si="5"/>
        <v>210</v>
      </c>
      <c r="B205" s="212" t="s">
        <v>38</v>
      </c>
      <c r="C205" s="212" t="s">
        <v>116</v>
      </c>
      <c r="D205" s="212" t="s">
        <v>1098</v>
      </c>
      <c r="E205" s="212"/>
      <c r="F205" s="220"/>
      <c r="G205" s="217" t="s">
        <v>1108</v>
      </c>
      <c r="H205" s="213" t="s">
        <v>1109</v>
      </c>
      <c r="I205" s="217" t="s">
        <v>1110</v>
      </c>
      <c r="J205" s="214" t="s">
        <v>1098</v>
      </c>
      <c r="K205" s="215"/>
      <c r="L205" s="224"/>
      <c r="M205" s="224"/>
      <c r="N205" s="217"/>
      <c r="O205" s="210"/>
    </row>
    <row r="206">
      <c r="A206" s="212">
        <f t="shared" si="5"/>
        <v>211</v>
      </c>
      <c r="B206" s="212" t="s">
        <v>38</v>
      </c>
      <c r="C206" s="212" t="s">
        <v>116</v>
      </c>
      <c r="D206" s="212" t="s">
        <v>1098</v>
      </c>
      <c r="E206" s="212"/>
      <c r="F206" s="220"/>
      <c r="G206" s="217" t="s">
        <v>1111</v>
      </c>
      <c r="H206" s="213" t="s">
        <v>1109</v>
      </c>
      <c r="I206" s="217" t="s">
        <v>1112</v>
      </c>
      <c r="J206" s="214" t="s">
        <v>1098</v>
      </c>
      <c r="K206" s="215"/>
      <c r="L206" s="224"/>
      <c r="M206" s="224"/>
      <c r="N206" s="217"/>
      <c r="O206" s="210"/>
    </row>
    <row r="207">
      <c r="A207" s="212">
        <f t="shared" si="5"/>
        <v>212</v>
      </c>
      <c r="B207" s="212" t="s">
        <v>38</v>
      </c>
      <c r="C207" s="212" t="s">
        <v>116</v>
      </c>
      <c r="D207" s="212" t="s">
        <v>1098</v>
      </c>
      <c r="E207" s="212"/>
      <c r="F207" s="39"/>
      <c r="G207" s="217" t="s">
        <v>1113</v>
      </c>
      <c r="H207" s="213" t="s">
        <v>1109</v>
      </c>
      <c r="I207" s="217" t="s">
        <v>1114</v>
      </c>
      <c r="J207" s="214" t="s">
        <v>1098</v>
      </c>
      <c r="K207" s="215"/>
      <c r="L207" s="224"/>
      <c r="M207" s="224"/>
      <c r="N207" s="217"/>
      <c r="O207" s="210"/>
    </row>
    <row r="208">
      <c r="A208" s="212">
        <f t="shared" ref="A208:A307" si="6">COUNTA($I$3:$I208)</f>
        <v>206</v>
      </c>
      <c r="B208" s="212" t="s">
        <v>38</v>
      </c>
      <c r="C208" s="212" t="s">
        <v>116</v>
      </c>
      <c r="D208" s="212" t="s">
        <v>1098</v>
      </c>
      <c r="E208" s="212"/>
      <c r="F208" s="212" t="s">
        <v>1115</v>
      </c>
      <c r="G208" s="217"/>
      <c r="H208" s="213" t="s">
        <v>1116</v>
      </c>
      <c r="I208" s="217" t="s">
        <v>1117</v>
      </c>
      <c r="J208" s="214" t="s">
        <v>1098</v>
      </c>
      <c r="K208" s="215"/>
      <c r="L208" s="224"/>
      <c r="M208" s="224"/>
      <c r="N208" s="217"/>
      <c r="O208" s="210"/>
    </row>
    <row r="209">
      <c r="A209" s="212">
        <f t="shared" si="6"/>
        <v>207</v>
      </c>
      <c r="B209" s="212" t="s">
        <v>38</v>
      </c>
      <c r="C209" s="212" t="s">
        <v>116</v>
      </c>
      <c r="D209" s="212" t="s">
        <v>1098</v>
      </c>
      <c r="E209" s="212"/>
      <c r="F209" s="225" t="s">
        <v>1040</v>
      </c>
      <c r="G209" s="217"/>
      <c r="H209" s="213" t="s">
        <v>1118</v>
      </c>
      <c r="I209" s="217" t="s">
        <v>1119</v>
      </c>
      <c r="J209" s="214" t="s">
        <v>1098</v>
      </c>
      <c r="K209" s="215"/>
      <c r="L209" s="224"/>
      <c r="M209" s="224"/>
      <c r="N209" s="217"/>
      <c r="O209" s="210"/>
    </row>
    <row r="210">
      <c r="A210" s="212">
        <f t="shared" si="6"/>
        <v>208</v>
      </c>
      <c r="B210" s="212" t="s">
        <v>38</v>
      </c>
      <c r="C210" s="212" t="s">
        <v>116</v>
      </c>
      <c r="D210" s="212" t="s">
        <v>1098</v>
      </c>
      <c r="E210" s="212"/>
      <c r="F210" s="39"/>
      <c r="G210" s="217"/>
      <c r="H210" s="213" t="s">
        <v>1120</v>
      </c>
      <c r="I210" s="217" t="s">
        <v>1121</v>
      </c>
      <c r="J210" s="214" t="s">
        <v>1098</v>
      </c>
      <c r="K210" s="215"/>
      <c r="L210" s="224"/>
      <c r="M210" s="224"/>
      <c r="N210" s="217"/>
      <c r="O210" s="210"/>
    </row>
    <row r="211">
      <c r="A211" s="212">
        <f t="shared" si="6"/>
        <v>209</v>
      </c>
      <c r="B211" s="212" t="s">
        <v>38</v>
      </c>
      <c r="C211" s="212" t="s">
        <v>116</v>
      </c>
      <c r="D211" s="212" t="s">
        <v>1098</v>
      </c>
      <c r="E211" s="212"/>
      <c r="F211" s="212" t="s">
        <v>608</v>
      </c>
      <c r="G211" s="217" t="s">
        <v>1122</v>
      </c>
      <c r="H211" s="213" t="s">
        <v>1123</v>
      </c>
      <c r="I211" s="217" t="s">
        <v>1124</v>
      </c>
      <c r="J211" s="214" t="s">
        <v>1098</v>
      </c>
      <c r="K211" s="215"/>
      <c r="L211" s="224"/>
      <c r="M211" s="224"/>
      <c r="N211" s="217"/>
      <c r="O211" s="210"/>
    </row>
    <row r="212">
      <c r="A212" s="212">
        <f t="shared" si="6"/>
        <v>210</v>
      </c>
      <c r="B212" s="212" t="s">
        <v>38</v>
      </c>
      <c r="C212" s="212" t="s">
        <v>116</v>
      </c>
      <c r="D212" s="212" t="s">
        <v>1125</v>
      </c>
      <c r="E212" s="212"/>
      <c r="F212" s="212" t="s">
        <v>1126</v>
      </c>
      <c r="G212" s="217" t="s">
        <v>1127</v>
      </c>
      <c r="H212" s="213" t="s">
        <v>1128</v>
      </c>
      <c r="I212" s="217" t="s">
        <v>1129</v>
      </c>
      <c r="J212" s="214" t="s">
        <v>1098</v>
      </c>
      <c r="K212" s="215"/>
      <c r="L212" s="224"/>
      <c r="M212" s="224"/>
      <c r="N212" s="217"/>
      <c r="O212" s="210"/>
    </row>
    <row r="213">
      <c r="A213" s="212">
        <f t="shared" si="6"/>
        <v>211</v>
      </c>
      <c r="B213" s="212" t="s">
        <v>38</v>
      </c>
      <c r="C213" s="212" t="s">
        <v>116</v>
      </c>
      <c r="D213" s="212" t="s">
        <v>1125</v>
      </c>
      <c r="E213" s="212"/>
      <c r="F213" s="212" t="s">
        <v>1130</v>
      </c>
      <c r="G213" s="217" t="s">
        <v>1131</v>
      </c>
      <c r="H213" s="213" t="s">
        <v>1132</v>
      </c>
      <c r="I213" s="217" t="s">
        <v>1133</v>
      </c>
      <c r="J213" s="214" t="s">
        <v>1098</v>
      </c>
      <c r="K213" s="215"/>
      <c r="L213" s="224"/>
      <c r="M213" s="224"/>
      <c r="N213" s="217"/>
      <c r="O213" s="210"/>
    </row>
    <row r="214">
      <c r="A214" s="212">
        <f t="shared" si="6"/>
        <v>212</v>
      </c>
      <c r="B214" s="212" t="s">
        <v>38</v>
      </c>
      <c r="C214" s="212" t="s">
        <v>120</v>
      </c>
      <c r="D214" s="212" t="s">
        <v>1134</v>
      </c>
      <c r="E214" s="212"/>
      <c r="F214" s="212" t="s">
        <v>613</v>
      </c>
      <c r="G214" s="217"/>
      <c r="H214" s="213" t="s">
        <v>1135</v>
      </c>
      <c r="I214" s="217" t="s">
        <v>1136</v>
      </c>
      <c r="J214" s="214" t="s">
        <v>125</v>
      </c>
      <c r="K214" s="215"/>
      <c r="L214" s="224"/>
      <c r="M214" s="224"/>
      <c r="N214" s="217"/>
      <c r="O214" s="210"/>
    </row>
    <row r="215">
      <c r="A215" s="212">
        <f t="shared" si="6"/>
        <v>213</v>
      </c>
      <c r="B215" s="212" t="s">
        <v>38</v>
      </c>
      <c r="C215" s="212" t="s">
        <v>120</v>
      </c>
      <c r="D215" s="212" t="s">
        <v>587</v>
      </c>
      <c r="E215" s="212"/>
      <c r="F215" s="225" t="s">
        <v>1137</v>
      </c>
      <c r="G215" s="217"/>
      <c r="H215" s="213" t="s">
        <v>1138</v>
      </c>
      <c r="I215" s="217" t="s">
        <v>1139</v>
      </c>
      <c r="J215" s="214" t="s">
        <v>125</v>
      </c>
      <c r="K215" s="215"/>
      <c r="L215" s="224"/>
      <c r="M215" s="224"/>
      <c r="N215" s="217"/>
      <c r="O215" s="210"/>
    </row>
    <row r="216">
      <c r="A216" s="212">
        <f t="shared" si="6"/>
        <v>214</v>
      </c>
      <c r="B216" s="212" t="s">
        <v>38</v>
      </c>
      <c r="C216" s="212" t="s">
        <v>120</v>
      </c>
      <c r="D216" s="212" t="s">
        <v>587</v>
      </c>
      <c r="E216" s="212"/>
      <c r="F216" s="220"/>
      <c r="G216" s="217"/>
      <c r="H216" s="213" t="s">
        <v>1140</v>
      </c>
      <c r="I216" s="217" t="s">
        <v>1141</v>
      </c>
      <c r="J216" s="214" t="s">
        <v>125</v>
      </c>
      <c r="K216" s="215"/>
      <c r="L216" s="224"/>
      <c r="M216" s="224"/>
      <c r="N216" s="217"/>
      <c r="O216" s="210"/>
    </row>
    <row r="217">
      <c r="A217" s="212">
        <f t="shared" si="6"/>
        <v>215</v>
      </c>
      <c r="B217" s="212" t="s">
        <v>38</v>
      </c>
      <c r="C217" s="212" t="s">
        <v>120</v>
      </c>
      <c r="D217" s="212" t="s">
        <v>587</v>
      </c>
      <c r="E217" s="212"/>
      <c r="F217" s="220"/>
      <c r="G217" s="217"/>
      <c r="H217" s="213" t="s">
        <v>1142</v>
      </c>
      <c r="I217" s="217" t="s">
        <v>1143</v>
      </c>
      <c r="J217" s="214" t="s">
        <v>125</v>
      </c>
      <c r="K217" s="215"/>
      <c r="L217" s="224"/>
      <c r="M217" s="224"/>
      <c r="N217" s="217"/>
      <c r="O217" s="210"/>
    </row>
    <row r="218">
      <c r="A218" s="212">
        <f t="shared" si="6"/>
        <v>216</v>
      </c>
      <c r="B218" s="212" t="s">
        <v>38</v>
      </c>
      <c r="C218" s="212" t="s">
        <v>120</v>
      </c>
      <c r="D218" s="212" t="s">
        <v>587</v>
      </c>
      <c r="E218" s="212"/>
      <c r="F218" s="39"/>
      <c r="G218" s="217"/>
      <c r="H218" s="213" t="s">
        <v>1144</v>
      </c>
      <c r="I218" s="217" t="s">
        <v>1145</v>
      </c>
      <c r="J218" s="214" t="s">
        <v>125</v>
      </c>
      <c r="K218" s="215"/>
      <c r="L218" s="224"/>
      <c r="M218" s="224"/>
      <c r="N218" s="217"/>
      <c r="O218" s="210"/>
    </row>
    <row r="219">
      <c r="A219" s="212">
        <f t="shared" si="6"/>
        <v>217</v>
      </c>
      <c r="B219" s="212" t="s">
        <v>38</v>
      </c>
      <c r="C219" s="212" t="s">
        <v>120</v>
      </c>
      <c r="D219" s="212" t="s">
        <v>1146</v>
      </c>
      <c r="E219" s="212"/>
      <c r="F219" s="212" t="s">
        <v>1147</v>
      </c>
      <c r="G219" s="217"/>
      <c r="H219" s="213" t="s">
        <v>1148</v>
      </c>
      <c r="I219" s="217" t="s">
        <v>1149</v>
      </c>
      <c r="J219" s="214" t="s">
        <v>125</v>
      </c>
      <c r="K219" s="215"/>
      <c r="L219" s="224"/>
      <c r="M219" s="224"/>
      <c r="N219" s="217"/>
      <c r="O219" s="210"/>
    </row>
    <row r="220">
      <c r="A220" s="212">
        <f t="shared" si="6"/>
        <v>218</v>
      </c>
      <c r="B220" s="212" t="s">
        <v>38</v>
      </c>
      <c r="C220" s="212" t="s">
        <v>120</v>
      </c>
      <c r="D220" s="212" t="s">
        <v>1146</v>
      </c>
      <c r="E220" s="212"/>
      <c r="F220" s="225" t="s">
        <v>1150</v>
      </c>
      <c r="G220" s="217" t="s">
        <v>1151</v>
      </c>
      <c r="H220" s="213" t="s">
        <v>1152</v>
      </c>
      <c r="I220" s="217" t="s">
        <v>1153</v>
      </c>
      <c r="J220" s="214" t="s">
        <v>125</v>
      </c>
      <c r="K220" s="215"/>
      <c r="L220" s="224"/>
      <c r="M220" s="224"/>
      <c r="N220" s="217"/>
      <c r="O220" s="210"/>
    </row>
    <row r="221" ht="60.0" customHeight="1">
      <c r="A221" s="212">
        <f t="shared" si="6"/>
        <v>219</v>
      </c>
      <c r="B221" s="212" t="s">
        <v>38</v>
      </c>
      <c r="C221" s="212" t="s">
        <v>120</v>
      </c>
      <c r="D221" s="212" t="s">
        <v>1146</v>
      </c>
      <c r="E221" s="212"/>
      <c r="F221" s="220"/>
      <c r="G221" s="217" t="s">
        <v>1154</v>
      </c>
      <c r="H221" s="213" t="s">
        <v>1155</v>
      </c>
      <c r="I221" s="217" t="s">
        <v>1156</v>
      </c>
      <c r="J221" s="214" t="s">
        <v>125</v>
      </c>
      <c r="K221" s="215"/>
      <c r="L221" s="224"/>
      <c r="M221" s="224"/>
      <c r="N221" s="217"/>
      <c r="O221" s="210"/>
    </row>
    <row r="222">
      <c r="A222" s="212">
        <f t="shared" si="6"/>
        <v>220</v>
      </c>
      <c r="B222" s="212" t="s">
        <v>38</v>
      </c>
      <c r="C222" s="212" t="s">
        <v>120</v>
      </c>
      <c r="D222" s="212" t="s">
        <v>1146</v>
      </c>
      <c r="E222" s="212"/>
      <c r="F222" s="220"/>
      <c r="G222" s="217" t="s">
        <v>1157</v>
      </c>
      <c r="H222" s="213" t="s">
        <v>1158</v>
      </c>
      <c r="I222" s="217" t="s">
        <v>1159</v>
      </c>
      <c r="J222" s="214" t="s">
        <v>125</v>
      </c>
      <c r="K222" s="215"/>
      <c r="L222" s="224"/>
      <c r="M222" s="224"/>
      <c r="N222" s="217"/>
      <c r="O222" s="210"/>
    </row>
    <row r="223">
      <c r="A223" s="212">
        <f t="shared" si="6"/>
        <v>221</v>
      </c>
      <c r="B223" s="212" t="s">
        <v>38</v>
      </c>
      <c r="C223" s="212" t="s">
        <v>120</v>
      </c>
      <c r="D223" s="212" t="s">
        <v>1146</v>
      </c>
      <c r="E223" s="212"/>
      <c r="F223" s="220"/>
      <c r="G223" s="217" t="s">
        <v>1160</v>
      </c>
      <c r="H223" s="213" t="s">
        <v>1158</v>
      </c>
      <c r="I223" s="217" t="s">
        <v>1161</v>
      </c>
      <c r="J223" s="214" t="s">
        <v>125</v>
      </c>
      <c r="K223" s="215"/>
      <c r="L223" s="224"/>
      <c r="M223" s="224"/>
      <c r="N223" s="217"/>
      <c r="O223" s="210"/>
    </row>
    <row r="224">
      <c r="A224" s="212">
        <f t="shared" si="6"/>
        <v>222</v>
      </c>
      <c r="B224" s="212" t="s">
        <v>38</v>
      </c>
      <c r="C224" s="212" t="s">
        <v>120</v>
      </c>
      <c r="D224" s="212" t="s">
        <v>1146</v>
      </c>
      <c r="E224" s="212"/>
      <c r="F224" s="39"/>
      <c r="G224" s="217" t="s">
        <v>1157</v>
      </c>
      <c r="H224" s="213" t="s">
        <v>1162</v>
      </c>
      <c r="I224" s="217" t="s">
        <v>1163</v>
      </c>
      <c r="J224" s="214" t="s">
        <v>125</v>
      </c>
      <c r="K224" s="215"/>
      <c r="L224" s="224"/>
      <c r="M224" s="224"/>
      <c r="N224" s="217"/>
      <c r="O224" s="210"/>
    </row>
    <row r="225">
      <c r="A225" s="212">
        <f t="shared" si="6"/>
        <v>223</v>
      </c>
      <c r="B225" s="212" t="s">
        <v>38</v>
      </c>
      <c r="C225" s="212" t="s">
        <v>120</v>
      </c>
      <c r="D225" s="212" t="s">
        <v>1146</v>
      </c>
      <c r="E225" s="212"/>
      <c r="F225" s="225" t="s">
        <v>1164</v>
      </c>
      <c r="G225" s="217" t="s">
        <v>1165</v>
      </c>
      <c r="H225" s="213" t="s">
        <v>1166</v>
      </c>
      <c r="I225" s="217" t="s">
        <v>1167</v>
      </c>
      <c r="J225" s="214" t="s">
        <v>125</v>
      </c>
      <c r="K225" s="215"/>
      <c r="L225" s="224"/>
      <c r="M225" s="224"/>
      <c r="N225" s="217"/>
      <c r="O225" s="210"/>
    </row>
    <row r="226">
      <c r="A226" s="212">
        <f t="shared" si="6"/>
        <v>224</v>
      </c>
      <c r="B226" s="212" t="s">
        <v>38</v>
      </c>
      <c r="C226" s="212" t="s">
        <v>120</v>
      </c>
      <c r="D226" s="212" t="s">
        <v>1146</v>
      </c>
      <c r="E226" s="212"/>
      <c r="F226" s="220"/>
      <c r="G226" s="217"/>
      <c r="H226" s="213" t="s">
        <v>1168</v>
      </c>
      <c r="I226" s="217" t="s">
        <v>1169</v>
      </c>
      <c r="J226" s="214" t="s">
        <v>125</v>
      </c>
      <c r="K226" s="215"/>
      <c r="L226" s="224"/>
      <c r="M226" s="224"/>
      <c r="N226" s="217"/>
      <c r="O226" s="210"/>
    </row>
    <row r="227">
      <c r="A227" s="212">
        <f t="shared" si="6"/>
        <v>225</v>
      </c>
      <c r="B227" s="212" t="s">
        <v>38</v>
      </c>
      <c r="C227" s="212" t="s">
        <v>120</v>
      </c>
      <c r="D227" s="212" t="s">
        <v>1146</v>
      </c>
      <c r="E227" s="212"/>
      <c r="F227" s="220"/>
      <c r="G227" s="217"/>
      <c r="H227" s="213" t="s">
        <v>1170</v>
      </c>
      <c r="I227" s="217" t="s">
        <v>1171</v>
      </c>
      <c r="J227" s="214" t="s">
        <v>125</v>
      </c>
      <c r="K227" s="215"/>
      <c r="L227" s="224"/>
      <c r="M227" s="224"/>
      <c r="N227" s="217"/>
      <c r="O227" s="210"/>
    </row>
    <row r="228">
      <c r="A228" s="212">
        <f t="shared" si="6"/>
        <v>226</v>
      </c>
      <c r="B228" s="212" t="s">
        <v>38</v>
      </c>
      <c r="C228" s="212" t="s">
        <v>120</v>
      </c>
      <c r="D228" s="212" t="s">
        <v>1146</v>
      </c>
      <c r="E228" s="212"/>
      <c r="F228" s="220"/>
      <c r="G228" s="217" t="s">
        <v>1172</v>
      </c>
      <c r="H228" s="213" t="s">
        <v>1173</v>
      </c>
      <c r="I228" s="217" t="s">
        <v>1159</v>
      </c>
      <c r="J228" s="214" t="s">
        <v>125</v>
      </c>
      <c r="K228" s="215"/>
      <c r="L228" s="224"/>
      <c r="M228" s="224"/>
      <c r="N228" s="217"/>
      <c r="O228" s="210"/>
    </row>
    <row r="229">
      <c r="A229" s="212">
        <f t="shared" si="6"/>
        <v>227</v>
      </c>
      <c r="B229" s="212" t="s">
        <v>38</v>
      </c>
      <c r="C229" s="212" t="s">
        <v>120</v>
      </c>
      <c r="D229" s="212" t="s">
        <v>1146</v>
      </c>
      <c r="E229" s="212"/>
      <c r="F229" s="220"/>
      <c r="G229" s="217" t="s">
        <v>1160</v>
      </c>
      <c r="H229" s="213" t="s">
        <v>1173</v>
      </c>
      <c r="I229" s="217" t="s">
        <v>1161</v>
      </c>
      <c r="J229" s="214" t="s">
        <v>125</v>
      </c>
      <c r="K229" s="215"/>
      <c r="L229" s="224"/>
      <c r="M229" s="224"/>
      <c r="N229" s="217"/>
      <c r="O229" s="210"/>
    </row>
    <row r="230">
      <c r="A230" s="212">
        <f t="shared" si="6"/>
        <v>228</v>
      </c>
      <c r="B230" s="212" t="s">
        <v>38</v>
      </c>
      <c r="C230" s="212" t="s">
        <v>120</v>
      </c>
      <c r="D230" s="212" t="s">
        <v>1146</v>
      </c>
      <c r="E230" s="212"/>
      <c r="F230" s="39"/>
      <c r="G230" s="217" t="s">
        <v>1172</v>
      </c>
      <c r="H230" s="213" t="s">
        <v>1162</v>
      </c>
      <c r="I230" s="217" t="s">
        <v>1163</v>
      </c>
      <c r="J230" s="214" t="s">
        <v>125</v>
      </c>
      <c r="K230" s="215"/>
      <c r="L230" s="224"/>
      <c r="M230" s="224"/>
      <c r="N230" s="217"/>
      <c r="O230" s="210"/>
    </row>
    <row r="231">
      <c r="A231" s="212">
        <f t="shared" si="6"/>
        <v>229</v>
      </c>
      <c r="B231" s="212" t="s">
        <v>38</v>
      </c>
      <c r="C231" s="212" t="s">
        <v>120</v>
      </c>
      <c r="D231" s="212" t="s">
        <v>530</v>
      </c>
      <c r="E231" s="212"/>
      <c r="F231" s="212" t="s">
        <v>613</v>
      </c>
      <c r="G231" s="217"/>
      <c r="H231" s="213" t="s">
        <v>1174</v>
      </c>
      <c r="I231" s="217" t="s">
        <v>1175</v>
      </c>
      <c r="J231" s="214" t="s">
        <v>125</v>
      </c>
      <c r="K231" s="215"/>
      <c r="L231" s="224"/>
      <c r="M231" s="224"/>
      <c r="N231" s="217"/>
      <c r="O231" s="210"/>
    </row>
    <row r="232">
      <c r="A232" s="212">
        <f t="shared" si="6"/>
        <v>230</v>
      </c>
      <c r="B232" s="212" t="s">
        <v>38</v>
      </c>
      <c r="C232" s="212" t="s">
        <v>120</v>
      </c>
      <c r="D232" s="212" t="s">
        <v>530</v>
      </c>
      <c r="E232" s="212"/>
      <c r="F232" s="212" t="s">
        <v>1176</v>
      </c>
      <c r="G232" s="217"/>
      <c r="H232" s="213" t="s">
        <v>1177</v>
      </c>
      <c r="I232" s="217" t="s">
        <v>1178</v>
      </c>
      <c r="J232" s="214" t="s">
        <v>125</v>
      </c>
      <c r="K232" s="215"/>
      <c r="L232" s="224"/>
      <c r="M232" s="224"/>
      <c r="N232" s="217"/>
      <c r="O232" s="210"/>
    </row>
    <row r="233">
      <c r="A233" s="212">
        <f t="shared" si="6"/>
        <v>231</v>
      </c>
      <c r="B233" s="212" t="s">
        <v>38</v>
      </c>
      <c r="C233" s="212" t="s">
        <v>120</v>
      </c>
      <c r="D233" s="212" t="s">
        <v>530</v>
      </c>
      <c r="E233" s="212"/>
      <c r="F233" s="212" t="s">
        <v>1179</v>
      </c>
      <c r="G233" s="217"/>
      <c r="H233" s="213" t="s">
        <v>1180</v>
      </c>
      <c r="I233" s="217" t="s">
        <v>1181</v>
      </c>
      <c r="J233" s="214" t="s">
        <v>125</v>
      </c>
      <c r="K233" s="215"/>
      <c r="L233" s="224"/>
      <c r="M233" s="224"/>
      <c r="N233" s="217"/>
      <c r="O233" s="210"/>
    </row>
    <row r="234">
      <c r="A234" s="212">
        <f t="shared" si="6"/>
        <v>232</v>
      </c>
      <c r="B234" s="212" t="s">
        <v>38</v>
      </c>
      <c r="C234" s="212" t="s">
        <v>120</v>
      </c>
      <c r="D234" s="212" t="s">
        <v>530</v>
      </c>
      <c r="E234" s="212"/>
      <c r="F234" s="212" t="s">
        <v>1182</v>
      </c>
      <c r="G234" s="217"/>
      <c r="H234" s="213" t="s">
        <v>1183</v>
      </c>
      <c r="I234" s="217" t="s">
        <v>1184</v>
      </c>
      <c r="J234" s="214" t="s">
        <v>125</v>
      </c>
      <c r="K234" s="215"/>
      <c r="L234" s="224"/>
      <c r="M234" s="224"/>
      <c r="N234" s="217"/>
      <c r="O234" s="210"/>
    </row>
    <row r="235">
      <c r="A235" s="212">
        <f t="shared" si="6"/>
        <v>233</v>
      </c>
      <c r="B235" s="212" t="s">
        <v>38</v>
      </c>
      <c r="C235" s="212" t="s">
        <v>120</v>
      </c>
      <c r="D235" s="212" t="s">
        <v>1185</v>
      </c>
      <c r="E235" s="212" t="s">
        <v>1186</v>
      </c>
      <c r="F235" s="212" t="s">
        <v>483</v>
      </c>
      <c r="G235" s="217" t="s">
        <v>1187</v>
      </c>
      <c r="H235" s="213" t="s">
        <v>1188</v>
      </c>
      <c r="I235" s="217" t="s">
        <v>1189</v>
      </c>
      <c r="J235" s="214" t="s">
        <v>125</v>
      </c>
      <c r="K235" s="215"/>
      <c r="L235" s="224"/>
      <c r="M235" s="224"/>
      <c r="N235" s="217"/>
      <c r="O235" s="210"/>
    </row>
    <row r="236">
      <c r="A236" s="212">
        <f t="shared" si="6"/>
        <v>234</v>
      </c>
      <c r="B236" s="212" t="s">
        <v>38</v>
      </c>
      <c r="C236" s="212" t="s">
        <v>120</v>
      </c>
      <c r="D236" s="212" t="s">
        <v>1185</v>
      </c>
      <c r="E236" s="212" t="s">
        <v>1190</v>
      </c>
      <c r="F236" s="225" t="s">
        <v>1191</v>
      </c>
      <c r="G236" s="217"/>
      <c r="H236" s="213" t="s">
        <v>589</v>
      </c>
      <c r="I236" s="217" t="s">
        <v>590</v>
      </c>
      <c r="J236" s="214" t="s">
        <v>125</v>
      </c>
      <c r="K236" s="215"/>
      <c r="L236" s="224"/>
      <c r="M236" s="224"/>
      <c r="N236" s="217"/>
      <c r="O236" s="210"/>
    </row>
    <row r="237">
      <c r="A237" s="212">
        <f t="shared" si="6"/>
        <v>235</v>
      </c>
      <c r="B237" s="212" t="s">
        <v>38</v>
      </c>
      <c r="C237" s="212" t="s">
        <v>120</v>
      </c>
      <c r="D237" s="212" t="s">
        <v>1185</v>
      </c>
      <c r="E237" s="212" t="s">
        <v>1190</v>
      </c>
      <c r="F237" s="39"/>
      <c r="G237" s="217"/>
      <c r="H237" s="251" t="s">
        <v>594</v>
      </c>
      <c r="I237" s="219" t="s">
        <v>595</v>
      </c>
      <c r="J237" s="214" t="s">
        <v>125</v>
      </c>
      <c r="K237" s="215"/>
      <c r="L237" s="224"/>
      <c r="M237" s="224"/>
      <c r="N237" s="217"/>
      <c r="O237" s="210"/>
    </row>
    <row r="238">
      <c r="A238" s="212">
        <f t="shared" si="6"/>
        <v>236</v>
      </c>
      <c r="B238" s="212" t="s">
        <v>38</v>
      </c>
      <c r="C238" s="212" t="s">
        <v>120</v>
      </c>
      <c r="D238" s="212" t="s">
        <v>1185</v>
      </c>
      <c r="E238" s="212" t="s">
        <v>1190</v>
      </c>
      <c r="F238" s="218" t="s">
        <v>598</v>
      </c>
      <c r="G238" s="217" t="s">
        <v>1192</v>
      </c>
      <c r="H238" s="251" t="s">
        <v>596</v>
      </c>
      <c r="I238" s="217" t="s">
        <v>1193</v>
      </c>
      <c r="J238" s="214" t="s">
        <v>125</v>
      </c>
      <c r="K238" s="215"/>
      <c r="L238" s="224"/>
      <c r="M238" s="224"/>
      <c r="N238" s="217"/>
      <c r="O238" s="210"/>
    </row>
    <row r="239">
      <c r="A239" s="212">
        <f t="shared" si="6"/>
        <v>237</v>
      </c>
      <c r="B239" s="212" t="s">
        <v>38</v>
      </c>
      <c r="C239" s="212" t="s">
        <v>120</v>
      </c>
      <c r="D239" s="212" t="s">
        <v>1185</v>
      </c>
      <c r="E239" s="212" t="s">
        <v>1190</v>
      </c>
      <c r="F239" s="39"/>
      <c r="G239" s="217" t="s">
        <v>1194</v>
      </c>
      <c r="H239" s="251" t="s">
        <v>596</v>
      </c>
      <c r="I239" s="252" t="s">
        <v>1195</v>
      </c>
      <c r="J239" s="214" t="s">
        <v>125</v>
      </c>
      <c r="K239" s="215"/>
      <c r="L239" s="224"/>
      <c r="M239" s="224"/>
      <c r="N239" s="217"/>
      <c r="O239" s="210"/>
    </row>
    <row r="240">
      <c r="A240" s="212">
        <f t="shared" si="6"/>
        <v>238</v>
      </c>
      <c r="B240" s="212" t="s">
        <v>38</v>
      </c>
      <c r="C240" s="212" t="s">
        <v>120</v>
      </c>
      <c r="D240" s="212" t="s">
        <v>1185</v>
      </c>
      <c r="E240" s="212" t="s">
        <v>1190</v>
      </c>
      <c r="F240" s="230" t="s">
        <v>605</v>
      </c>
      <c r="G240" s="219" t="s">
        <v>606</v>
      </c>
      <c r="H240" s="251" t="s">
        <v>596</v>
      </c>
      <c r="I240" s="252" t="s">
        <v>1195</v>
      </c>
      <c r="J240" s="214" t="s">
        <v>125</v>
      </c>
      <c r="K240" s="215"/>
      <c r="L240" s="224"/>
      <c r="M240" s="224"/>
      <c r="N240" s="217"/>
      <c r="O240" s="210"/>
    </row>
    <row r="241">
      <c r="A241" s="212">
        <f t="shared" si="6"/>
        <v>239</v>
      </c>
      <c r="B241" s="212" t="s">
        <v>38</v>
      </c>
      <c r="C241" s="212" t="s">
        <v>120</v>
      </c>
      <c r="D241" s="212" t="s">
        <v>1185</v>
      </c>
      <c r="E241" s="212" t="s">
        <v>1190</v>
      </c>
      <c r="F241" s="230" t="s">
        <v>608</v>
      </c>
      <c r="G241" s="219"/>
      <c r="H241" s="251" t="s">
        <v>609</v>
      </c>
      <c r="I241" s="217" t="s">
        <v>1196</v>
      </c>
      <c r="J241" s="214" t="s">
        <v>125</v>
      </c>
      <c r="K241" s="215"/>
      <c r="L241" s="224"/>
      <c r="M241" s="224"/>
      <c r="N241" s="217"/>
      <c r="O241" s="210"/>
    </row>
    <row r="242">
      <c r="A242" s="212">
        <f t="shared" si="6"/>
        <v>240</v>
      </c>
      <c r="B242" s="212" t="s">
        <v>38</v>
      </c>
      <c r="C242" s="212" t="s">
        <v>120</v>
      </c>
      <c r="D242" s="212" t="s">
        <v>1185</v>
      </c>
      <c r="E242" s="212" t="s">
        <v>530</v>
      </c>
      <c r="F242" s="225" t="s">
        <v>483</v>
      </c>
      <c r="G242" s="217" t="s">
        <v>1197</v>
      </c>
      <c r="H242" s="213" t="s">
        <v>1198</v>
      </c>
      <c r="I242" s="217" t="s">
        <v>1199</v>
      </c>
      <c r="J242" s="214" t="s">
        <v>125</v>
      </c>
      <c r="K242" s="215"/>
      <c r="L242" s="224"/>
      <c r="M242" s="224"/>
      <c r="N242" s="217"/>
      <c r="O242" s="210"/>
    </row>
    <row r="243">
      <c r="A243" s="212">
        <f t="shared" si="6"/>
        <v>241</v>
      </c>
      <c r="B243" s="212" t="s">
        <v>38</v>
      </c>
      <c r="C243" s="212" t="s">
        <v>120</v>
      </c>
      <c r="D243" s="212" t="s">
        <v>1185</v>
      </c>
      <c r="E243" s="212" t="s">
        <v>530</v>
      </c>
      <c r="F243" s="39"/>
      <c r="G243" s="217" t="s">
        <v>1200</v>
      </c>
      <c r="H243" s="213" t="s">
        <v>1198</v>
      </c>
      <c r="I243" s="217" t="s">
        <v>1201</v>
      </c>
      <c r="J243" s="214" t="s">
        <v>125</v>
      </c>
      <c r="K243" s="215"/>
      <c r="L243" s="224"/>
      <c r="M243" s="224"/>
      <c r="N243" s="217"/>
      <c r="O243" s="210"/>
    </row>
    <row r="244">
      <c r="A244" s="212">
        <f t="shared" si="6"/>
        <v>242</v>
      </c>
      <c r="B244" s="212" t="s">
        <v>38</v>
      </c>
      <c r="C244" s="212" t="s">
        <v>120</v>
      </c>
      <c r="D244" s="212" t="s">
        <v>1185</v>
      </c>
      <c r="E244" s="212" t="s">
        <v>530</v>
      </c>
      <c r="F244" s="212" t="s">
        <v>743</v>
      </c>
      <c r="G244" s="217"/>
      <c r="H244" s="213" t="s">
        <v>1202</v>
      </c>
      <c r="I244" s="217" t="s">
        <v>1203</v>
      </c>
      <c r="J244" s="214" t="s">
        <v>125</v>
      </c>
      <c r="K244" s="215"/>
      <c r="L244" s="224"/>
      <c r="M244" s="224"/>
      <c r="N244" s="217"/>
      <c r="O244" s="210"/>
    </row>
    <row r="245">
      <c r="A245" s="212">
        <f t="shared" si="6"/>
        <v>243</v>
      </c>
      <c r="B245" s="212" t="s">
        <v>38</v>
      </c>
      <c r="C245" s="212" t="s">
        <v>120</v>
      </c>
      <c r="D245" s="212" t="s">
        <v>1185</v>
      </c>
      <c r="E245" s="212" t="s">
        <v>530</v>
      </c>
      <c r="F245" s="212" t="s">
        <v>1204</v>
      </c>
      <c r="G245" s="217"/>
      <c r="H245" s="213" t="s">
        <v>1205</v>
      </c>
      <c r="I245" s="217" t="s">
        <v>1206</v>
      </c>
      <c r="J245" s="214" t="s">
        <v>125</v>
      </c>
      <c r="K245" s="215"/>
      <c r="L245" s="224"/>
      <c r="M245" s="224"/>
      <c r="N245" s="217"/>
      <c r="O245" s="210"/>
    </row>
    <row r="246">
      <c r="A246" s="212">
        <f t="shared" si="6"/>
        <v>244</v>
      </c>
      <c r="B246" s="212" t="s">
        <v>38</v>
      </c>
      <c r="C246" s="212" t="s">
        <v>120</v>
      </c>
      <c r="D246" s="212" t="s">
        <v>1185</v>
      </c>
      <c r="E246" s="212" t="s">
        <v>530</v>
      </c>
      <c r="F246" s="212" t="s">
        <v>1207</v>
      </c>
      <c r="G246" s="217"/>
      <c r="H246" s="213" t="s">
        <v>1208</v>
      </c>
      <c r="I246" s="217" t="s">
        <v>1209</v>
      </c>
      <c r="J246" s="214" t="s">
        <v>125</v>
      </c>
      <c r="K246" s="215"/>
      <c r="L246" s="224"/>
      <c r="M246" s="224"/>
      <c r="N246" s="217"/>
      <c r="O246" s="210"/>
    </row>
    <row r="247">
      <c r="A247" s="212">
        <f t="shared" si="6"/>
        <v>245</v>
      </c>
      <c r="B247" s="212" t="s">
        <v>38</v>
      </c>
      <c r="C247" s="212" t="s">
        <v>120</v>
      </c>
      <c r="D247" s="212" t="s">
        <v>1185</v>
      </c>
      <c r="E247" s="212" t="s">
        <v>530</v>
      </c>
      <c r="F247" s="212" t="s">
        <v>1210</v>
      </c>
      <c r="G247" s="217"/>
      <c r="H247" s="213" t="s">
        <v>1211</v>
      </c>
      <c r="I247" s="217" t="s">
        <v>1212</v>
      </c>
      <c r="J247" s="214" t="s">
        <v>125</v>
      </c>
      <c r="K247" s="215"/>
      <c r="L247" s="224"/>
      <c r="M247" s="224"/>
      <c r="N247" s="217"/>
      <c r="O247" s="210"/>
    </row>
    <row r="248">
      <c r="A248" s="212">
        <f t="shared" si="6"/>
        <v>246</v>
      </c>
      <c r="B248" s="212" t="s">
        <v>38</v>
      </c>
      <c r="C248" s="212" t="s">
        <v>120</v>
      </c>
      <c r="D248" s="212" t="s">
        <v>1185</v>
      </c>
      <c r="E248" s="212" t="s">
        <v>530</v>
      </c>
      <c r="F248" s="212" t="s">
        <v>752</v>
      </c>
      <c r="G248" s="217"/>
      <c r="H248" s="213" t="s">
        <v>1213</v>
      </c>
      <c r="I248" s="217" t="s">
        <v>1214</v>
      </c>
      <c r="J248" s="214" t="s">
        <v>125</v>
      </c>
      <c r="K248" s="215"/>
      <c r="L248" s="224"/>
      <c r="M248" s="224"/>
      <c r="N248" s="217"/>
      <c r="O248" s="210"/>
    </row>
    <row r="249">
      <c r="A249" s="212">
        <f t="shared" si="6"/>
        <v>247</v>
      </c>
      <c r="B249" s="212" t="s">
        <v>38</v>
      </c>
      <c r="C249" s="212" t="s">
        <v>120</v>
      </c>
      <c r="D249" s="212" t="s">
        <v>1185</v>
      </c>
      <c r="E249" s="212" t="s">
        <v>530</v>
      </c>
      <c r="F249" s="212" t="s">
        <v>777</v>
      </c>
      <c r="G249" s="217"/>
      <c r="H249" s="213" t="s">
        <v>1215</v>
      </c>
      <c r="I249" s="217" t="s">
        <v>1216</v>
      </c>
      <c r="J249" s="214" t="s">
        <v>125</v>
      </c>
      <c r="K249" s="215"/>
      <c r="L249" s="224"/>
      <c r="M249" s="224"/>
      <c r="N249" s="217"/>
      <c r="O249" s="210"/>
    </row>
    <row r="250">
      <c r="A250" s="212">
        <f t="shared" si="6"/>
        <v>248</v>
      </c>
      <c r="B250" s="212" t="s">
        <v>38</v>
      </c>
      <c r="C250" s="212" t="s">
        <v>120</v>
      </c>
      <c r="D250" s="212" t="s">
        <v>1185</v>
      </c>
      <c r="E250" s="212" t="s">
        <v>530</v>
      </c>
      <c r="F250" s="212" t="s">
        <v>788</v>
      </c>
      <c r="G250" s="217"/>
      <c r="H250" s="213" t="s">
        <v>1217</v>
      </c>
      <c r="I250" s="217" t="s">
        <v>1218</v>
      </c>
      <c r="J250" s="214" t="s">
        <v>125</v>
      </c>
      <c r="K250" s="215"/>
      <c r="L250" s="224"/>
      <c r="M250" s="224"/>
      <c r="N250" s="217"/>
      <c r="O250" s="210"/>
    </row>
    <row r="251">
      <c r="A251" s="212">
        <f t="shared" si="6"/>
        <v>249</v>
      </c>
      <c r="B251" s="212" t="s">
        <v>38</v>
      </c>
      <c r="C251" s="212" t="s">
        <v>120</v>
      </c>
      <c r="D251" s="212" t="s">
        <v>1185</v>
      </c>
      <c r="E251" s="212" t="s">
        <v>530</v>
      </c>
      <c r="F251" s="212" t="s">
        <v>1219</v>
      </c>
      <c r="G251" s="217"/>
      <c r="H251" s="213" t="s">
        <v>1220</v>
      </c>
      <c r="I251" s="217" t="s">
        <v>1221</v>
      </c>
      <c r="J251" s="214" t="s">
        <v>125</v>
      </c>
      <c r="K251" s="215"/>
      <c r="L251" s="224"/>
      <c r="M251" s="224"/>
      <c r="N251" s="217"/>
      <c r="O251" s="210"/>
    </row>
    <row r="252">
      <c r="A252" s="212">
        <f t="shared" si="6"/>
        <v>250</v>
      </c>
      <c r="B252" s="212" t="s">
        <v>38</v>
      </c>
      <c r="C252" s="212" t="s">
        <v>120</v>
      </c>
      <c r="D252" s="212" t="s">
        <v>1185</v>
      </c>
      <c r="E252" s="212" t="s">
        <v>530</v>
      </c>
      <c r="F252" s="212" t="s">
        <v>960</v>
      </c>
      <c r="G252" s="217"/>
      <c r="H252" s="213" t="s">
        <v>1222</v>
      </c>
      <c r="I252" s="217" t="s">
        <v>1223</v>
      </c>
      <c r="J252" s="214" t="s">
        <v>125</v>
      </c>
      <c r="K252" s="215"/>
      <c r="L252" s="224"/>
      <c r="M252" s="224"/>
      <c r="N252" s="217"/>
      <c r="O252" s="210"/>
    </row>
    <row r="253">
      <c r="A253" s="212">
        <f t="shared" si="6"/>
        <v>251</v>
      </c>
      <c r="B253" s="212" t="s">
        <v>38</v>
      </c>
      <c r="C253" s="212" t="s">
        <v>120</v>
      </c>
      <c r="D253" s="212" t="s">
        <v>1185</v>
      </c>
      <c r="E253" s="212" t="s">
        <v>530</v>
      </c>
      <c r="F253" s="212" t="s">
        <v>1224</v>
      </c>
      <c r="G253" s="217"/>
      <c r="H253" s="213" t="s">
        <v>1225</v>
      </c>
      <c r="I253" s="217" t="s">
        <v>1226</v>
      </c>
      <c r="J253" s="214" t="s">
        <v>125</v>
      </c>
      <c r="K253" s="215"/>
      <c r="L253" s="224"/>
      <c r="M253" s="224"/>
      <c r="N253" s="217"/>
      <c r="O253" s="210"/>
    </row>
    <row r="254">
      <c r="A254" s="212">
        <f t="shared" si="6"/>
        <v>252</v>
      </c>
      <c r="B254" s="212" t="s">
        <v>38</v>
      </c>
      <c r="C254" s="212" t="s">
        <v>120</v>
      </c>
      <c r="D254" s="212" t="s">
        <v>1185</v>
      </c>
      <c r="E254" s="212" t="s">
        <v>530</v>
      </c>
      <c r="F254" s="212" t="s">
        <v>974</v>
      </c>
      <c r="G254" s="217"/>
      <c r="H254" s="213" t="s">
        <v>1227</v>
      </c>
      <c r="I254" s="217" t="s">
        <v>1228</v>
      </c>
      <c r="J254" s="214" t="s">
        <v>125</v>
      </c>
      <c r="K254" s="215"/>
      <c r="L254" s="224"/>
      <c r="M254" s="224"/>
      <c r="N254" s="217"/>
      <c r="O254" s="210"/>
    </row>
    <row r="255">
      <c r="A255" s="212">
        <f t="shared" si="6"/>
        <v>253</v>
      </c>
      <c r="B255" s="212" t="s">
        <v>38</v>
      </c>
      <c r="C255" s="212" t="s">
        <v>120</v>
      </c>
      <c r="D255" s="212" t="s">
        <v>1185</v>
      </c>
      <c r="E255" s="212" t="s">
        <v>530</v>
      </c>
      <c r="F255" s="212" t="s">
        <v>1229</v>
      </c>
      <c r="G255" s="217"/>
      <c r="H255" s="213" t="s">
        <v>1230</v>
      </c>
      <c r="I255" s="217" t="s">
        <v>1231</v>
      </c>
      <c r="J255" s="214" t="s">
        <v>125</v>
      </c>
      <c r="K255" s="215"/>
      <c r="L255" s="224"/>
      <c r="M255" s="224"/>
      <c r="N255" s="217"/>
      <c r="O255" s="210"/>
    </row>
    <row r="256">
      <c r="A256" s="212">
        <f t="shared" si="6"/>
        <v>254</v>
      </c>
      <c r="B256" s="212" t="s">
        <v>38</v>
      </c>
      <c r="C256" s="212" t="s">
        <v>120</v>
      </c>
      <c r="D256" s="212" t="s">
        <v>530</v>
      </c>
      <c r="E256" s="212"/>
      <c r="F256" s="212" t="s">
        <v>1232</v>
      </c>
      <c r="G256" s="217"/>
      <c r="H256" s="213" t="s">
        <v>1233</v>
      </c>
      <c r="I256" s="217" t="s">
        <v>1234</v>
      </c>
      <c r="J256" s="214" t="s">
        <v>125</v>
      </c>
      <c r="K256" s="215"/>
      <c r="L256" s="224"/>
      <c r="M256" s="224"/>
      <c r="N256" s="217"/>
      <c r="O256" s="210"/>
    </row>
    <row r="257">
      <c r="A257" s="212">
        <f t="shared" si="6"/>
        <v>255</v>
      </c>
      <c r="B257" s="212" t="s">
        <v>38</v>
      </c>
      <c r="C257" s="212" t="s">
        <v>120</v>
      </c>
      <c r="D257" s="212" t="s">
        <v>530</v>
      </c>
      <c r="E257" s="212"/>
      <c r="F257" s="225" t="s">
        <v>1235</v>
      </c>
      <c r="G257" s="217" t="s">
        <v>1236</v>
      </c>
      <c r="H257" s="213" t="s">
        <v>1237</v>
      </c>
      <c r="I257" s="217" t="s">
        <v>1238</v>
      </c>
      <c r="J257" s="214" t="s">
        <v>125</v>
      </c>
      <c r="K257" s="215"/>
      <c r="L257" s="224"/>
      <c r="M257" s="224"/>
      <c r="N257" s="217"/>
      <c r="O257" s="210"/>
    </row>
    <row r="258">
      <c r="A258" s="212">
        <f t="shared" si="6"/>
        <v>256</v>
      </c>
      <c r="B258" s="212" t="s">
        <v>38</v>
      </c>
      <c r="C258" s="212" t="s">
        <v>120</v>
      </c>
      <c r="D258" s="212" t="s">
        <v>530</v>
      </c>
      <c r="E258" s="212"/>
      <c r="F258" s="220"/>
      <c r="G258" s="217" t="s">
        <v>1239</v>
      </c>
      <c r="H258" s="213" t="s">
        <v>1240</v>
      </c>
      <c r="I258" s="217" t="s">
        <v>1241</v>
      </c>
      <c r="J258" s="214" t="s">
        <v>125</v>
      </c>
      <c r="K258" s="215"/>
      <c r="L258" s="224"/>
      <c r="M258" s="224"/>
      <c r="N258" s="217"/>
      <c r="O258" s="210"/>
    </row>
    <row r="259">
      <c r="A259" s="212">
        <f t="shared" si="6"/>
        <v>257</v>
      </c>
      <c r="B259" s="212" t="s">
        <v>38</v>
      </c>
      <c r="C259" s="212" t="s">
        <v>120</v>
      </c>
      <c r="D259" s="212" t="s">
        <v>530</v>
      </c>
      <c r="E259" s="212"/>
      <c r="F259" s="220"/>
      <c r="G259" s="217" t="s">
        <v>1242</v>
      </c>
      <c r="H259" s="213" t="s">
        <v>1240</v>
      </c>
      <c r="I259" s="217" t="s">
        <v>1243</v>
      </c>
      <c r="J259" s="214" t="s">
        <v>125</v>
      </c>
      <c r="K259" s="215"/>
      <c r="L259" s="224"/>
      <c r="M259" s="224"/>
      <c r="N259" s="217"/>
      <c r="O259" s="210"/>
    </row>
    <row r="260">
      <c r="A260" s="212">
        <f t="shared" si="6"/>
        <v>258</v>
      </c>
      <c r="B260" s="212" t="s">
        <v>38</v>
      </c>
      <c r="C260" s="212" t="s">
        <v>120</v>
      </c>
      <c r="D260" s="212" t="s">
        <v>530</v>
      </c>
      <c r="E260" s="212"/>
      <c r="F260" s="220"/>
      <c r="G260" s="217" t="s">
        <v>1239</v>
      </c>
      <c r="H260" s="213" t="s">
        <v>1244</v>
      </c>
      <c r="I260" s="217" t="s">
        <v>1245</v>
      </c>
      <c r="J260" s="214" t="s">
        <v>125</v>
      </c>
      <c r="K260" s="215"/>
      <c r="L260" s="224"/>
      <c r="M260" s="224"/>
      <c r="N260" s="217"/>
      <c r="O260" s="210"/>
    </row>
    <row r="261">
      <c r="A261" s="212">
        <f t="shared" si="6"/>
        <v>259</v>
      </c>
      <c r="B261" s="212" t="s">
        <v>38</v>
      </c>
      <c r="C261" s="212" t="s">
        <v>120</v>
      </c>
      <c r="D261" s="212" t="s">
        <v>530</v>
      </c>
      <c r="E261" s="212"/>
      <c r="F261" s="220"/>
      <c r="G261" s="217" t="s">
        <v>1246</v>
      </c>
      <c r="H261" s="213" t="s">
        <v>1247</v>
      </c>
      <c r="I261" s="217" t="s">
        <v>1248</v>
      </c>
      <c r="J261" s="214" t="s">
        <v>125</v>
      </c>
      <c r="K261" s="215"/>
      <c r="L261" s="224"/>
      <c r="M261" s="224"/>
      <c r="N261" s="217"/>
      <c r="O261" s="210"/>
    </row>
    <row r="262">
      <c r="A262" s="212">
        <f t="shared" si="6"/>
        <v>260</v>
      </c>
      <c r="B262" s="212" t="s">
        <v>38</v>
      </c>
      <c r="C262" s="212" t="s">
        <v>120</v>
      </c>
      <c r="D262" s="212" t="s">
        <v>530</v>
      </c>
      <c r="E262" s="212"/>
      <c r="F262" s="220"/>
      <c r="G262" s="217" t="s">
        <v>1249</v>
      </c>
      <c r="H262" s="213" t="s">
        <v>1240</v>
      </c>
      <c r="I262" s="217" t="s">
        <v>1250</v>
      </c>
      <c r="J262" s="214" t="s">
        <v>125</v>
      </c>
      <c r="K262" s="215"/>
      <c r="L262" s="224"/>
      <c r="M262" s="224"/>
      <c r="N262" s="217"/>
      <c r="O262" s="210"/>
    </row>
    <row r="263">
      <c r="A263" s="212">
        <f t="shared" si="6"/>
        <v>261</v>
      </c>
      <c r="B263" s="212" t="s">
        <v>38</v>
      </c>
      <c r="C263" s="212" t="s">
        <v>120</v>
      </c>
      <c r="D263" s="212" t="s">
        <v>530</v>
      </c>
      <c r="E263" s="212"/>
      <c r="F263" s="220"/>
      <c r="G263" s="217" t="s">
        <v>1251</v>
      </c>
      <c r="H263" s="213" t="s">
        <v>1240</v>
      </c>
      <c r="I263" s="217" t="s">
        <v>1243</v>
      </c>
      <c r="J263" s="214" t="s">
        <v>125</v>
      </c>
      <c r="K263" s="215"/>
      <c r="L263" s="224"/>
      <c r="M263" s="224"/>
      <c r="N263" s="217"/>
      <c r="O263" s="210"/>
    </row>
    <row r="264">
      <c r="A264" s="212">
        <f t="shared" si="6"/>
        <v>262</v>
      </c>
      <c r="B264" s="212" t="s">
        <v>38</v>
      </c>
      <c r="C264" s="212" t="s">
        <v>120</v>
      </c>
      <c r="D264" s="212" t="s">
        <v>530</v>
      </c>
      <c r="E264" s="212"/>
      <c r="F264" s="39"/>
      <c r="G264" s="217" t="s">
        <v>1249</v>
      </c>
      <c r="H264" s="213" t="s">
        <v>1252</v>
      </c>
      <c r="I264" s="217" t="s">
        <v>1245</v>
      </c>
      <c r="J264" s="214" t="s">
        <v>125</v>
      </c>
      <c r="K264" s="215"/>
      <c r="L264" s="224"/>
      <c r="M264" s="224"/>
      <c r="N264" s="217"/>
      <c r="O264" s="210"/>
    </row>
    <row r="265">
      <c r="A265" s="212">
        <f t="shared" si="6"/>
        <v>263</v>
      </c>
      <c r="B265" s="212" t="s">
        <v>38</v>
      </c>
      <c r="C265" s="212" t="s">
        <v>120</v>
      </c>
      <c r="D265" s="212" t="s">
        <v>530</v>
      </c>
      <c r="E265" s="212"/>
      <c r="F265" s="212" t="s">
        <v>1253</v>
      </c>
      <c r="G265" s="217"/>
      <c r="H265" s="213" t="s">
        <v>1254</v>
      </c>
      <c r="I265" s="217" t="s">
        <v>1255</v>
      </c>
      <c r="J265" s="214" t="s">
        <v>125</v>
      </c>
      <c r="K265" s="215"/>
      <c r="L265" s="224"/>
      <c r="M265" s="224"/>
      <c r="N265" s="217"/>
      <c r="O265" s="210"/>
    </row>
    <row r="266">
      <c r="A266" s="212">
        <f t="shared" si="6"/>
        <v>264</v>
      </c>
      <c r="B266" s="212" t="s">
        <v>38</v>
      </c>
      <c r="C266" s="212" t="s">
        <v>1256</v>
      </c>
      <c r="D266" s="212"/>
      <c r="E266" s="212"/>
      <c r="F266" s="212" t="s">
        <v>483</v>
      </c>
      <c r="G266" s="217"/>
      <c r="H266" s="213" t="s">
        <v>1257</v>
      </c>
      <c r="I266" s="217" t="s">
        <v>1258</v>
      </c>
      <c r="J266" s="214" t="s">
        <v>1256</v>
      </c>
      <c r="K266" s="215"/>
      <c r="L266" s="224"/>
      <c r="M266" s="224"/>
      <c r="N266" s="217"/>
      <c r="O266" s="210"/>
    </row>
    <row r="267">
      <c r="A267" s="212">
        <f t="shared" si="6"/>
        <v>265</v>
      </c>
      <c r="B267" s="212" t="s">
        <v>38</v>
      </c>
      <c r="C267" s="212" t="s">
        <v>1256</v>
      </c>
      <c r="D267" s="212"/>
      <c r="E267" s="212"/>
      <c r="F267" s="212" t="s">
        <v>1259</v>
      </c>
      <c r="G267" s="217"/>
      <c r="H267" s="213" t="s">
        <v>1260</v>
      </c>
      <c r="I267" s="217" t="s">
        <v>1261</v>
      </c>
      <c r="J267" s="214" t="s">
        <v>1256</v>
      </c>
      <c r="K267" s="215"/>
      <c r="L267" s="224"/>
      <c r="M267" s="224"/>
      <c r="N267" s="217"/>
      <c r="O267" s="210"/>
    </row>
    <row r="268">
      <c r="A268" s="212">
        <f t="shared" si="6"/>
        <v>266</v>
      </c>
      <c r="B268" s="212" t="s">
        <v>38</v>
      </c>
      <c r="C268" s="212" t="s">
        <v>1256</v>
      </c>
      <c r="D268" s="212" t="s">
        <v>1262</v>
      </c>
      <c r="E268" s="212"/>
      <c r="F268" s="212" t="s">
        <v>1262</v>
      </c>
      <c r="G268" s="217"/>
      <c r="H268" s="213" t="s">
        <v>1263</v>
      </c>
      <c r="I268" s="217" t="s">
        <v>1264</v>
      </c>
      <c r="J268" s="214" t="s">
        <v>1256</v>
      </c>
      <c r="K268" s="215"/>
      <c r="L268" s="224"/>
      <c r="M268" s="224"/>
      <c r="N268" s="217"/>
      <c r="O268" s="210"/>
    </row>
    <row r="269">
      <c r="A269" s="212">
        <f t="shared" si="6"/>
        <v>267</v>
      </c>
      <c r="B269" s="212" t="s">
        <v>38</v>
      </c>
      <c r="C269" s="212" t="s">
        <v>1256</v>
      </c>
      <c r="D269" s="212" t="s">
        <v>1262</v>
      </c>
      <c r="E269" s="212"/>
      <c r="F269" s="212" t="s">
        <v>1265</v>
      </c>
      <c r="G269" s="217" t="s">
        <v>1266</v>
      </c>
      <c r="H269" s="213" t="s">
        <v>1267</v>
      </c>
      <c r="I269" s="243" t="s">
        <v>1268</v>
      </c>
      <c r="J269" s="214" t="s">
        <v>1256</v>
      </c>
      <c r="K269" s="215"/>
      <c r="L269" s="224"/>
      <c r="M269" s="224"/>
      <c r="N269" s="217"/>
      <c r="O269" s="210"/>
    </row>
    <row r="270">
      <c r="A270" s="212">
        <f t="shared" si="6"/>
        <v>268</v>
      </c>
      <c r="B270" s="212" t="s">
        <v>38</v>
      </c>
      <c r="C270" s="212" t="s">
        <v>1256</v>
      </c>
      <c r="D270" s="212" t="s">
        <v>1262</v>
      </c>
      <c r="E270" s="212"/>
      <c r="F270" s="212" t="s">
        <v>1269</v>
      </c>
      <c r="G270" s="217" t="s">
        <v>1270</v>
      </c>
      <c r="H270" s="213" t="s">
        <v>1271</v>
      </c>
      <c r="I270" s="217" t="s">
        <v>1272</v>
      </c>
      <c r="J270" s="214" t="s">
        <v>1256</v>
      </c>
      <c r="K270" s="215"/>
      <c r="L270" s="224"/>
      <c r="M270" s="227" t="s">
        <v>1273</v>
      </c>
      <c r="N270" s="217"/>
      <c r="O270" s="210"/>
    </row>
    <row r="271">
      <c r="A271" s="212">
        <f t="shared" si="6"/>
        <v>269</v>
      </c>
      <c r="B271" s="212" t="s">
        <v>38</v>
      </c>
      <c r="C271" s="212" t="s">
        <v>1256</v>
      </c>
      <c r="D271" s="212" t="s">
        <v>1262</v>
      </c>
      <c r="E271" s="212"/>
      <c r="F271" s="212" t="s">
        <v>1274</v>
      </c>
      <c r="G271" s="217" t="s">
        <v>1275</v>
      </c>
      <c r="H271" s="213" t="s">
        <v>1276</v>
      </c>
      <c r="I271" s="243" t="s">
        <v>1277</v>
      </c>
      <c r="J271" s="214" t="s">
        <v>1256</v>
      </c>
      <c r="K271" s="215"/>
      <c r="L271" s="224"/>
      <c r="M271" s="224"/>
      <c r="N271" s="217"/>
      <c r="O271" s="210"/>
    </row>
    <row r="272">
      <c r="A272" s="212">
        <f t="shared" si="6"/>
        <v>270</v>
      </c>
      <c r="B272" s="212" t="s">
        <v>38</v>
      </c>
      <c r="C272" s="212" t="s">
        <v>1256</v>
      </c>
      <c r="D272" s="212" t="s">
        <v>1262</v>
      </c>
      <c r="E272" s="212"/>
      <c r="F272" s="212" t="s">
        <v>1269</v>
      </c>
      <c r="G272" s="217" t="s">
        <v>1278</v>
      </c>
      <c r="H272" s="213" t="s">
        <v>1271</v>
      </c>
      <c r="I272" s="217" t="s">
        <v>1279</v>
      </c>
      <c r="J272" s="214" t="s">
        <v>1256</v>
      </c>
      <c r="K272" s="215"/>
      <c r="L272" s="224"/>
      <c r="M272" s="227" t="s">
        <v>1273</v>
      </c>
      <c r="N272" s="217"/>
      <c r="O272" s="210"/>
    </row>
    <row r="273">
      <c r="A273" s="212">
        <f t="shared" si="6"/>
        <v>271</v>
      </c>
      <c r="B273" s="212" t="s">
        <v>38</v>
      </c>
      <c r="C273" s="212" t="s">
        <v>1256</v>
      </c>
      <c r="D273" s="212" t="s">
        <v>1280</v>
      </c>
      <c r="E273" s="212"/>
      <c r="F273" s="212" t="s">
        <v>1280</v>
      </c>
      <c r="G273" s="217"/>
      <c r="H273" s="213" t="s">
        <v>1281</v>
      </c>
      <c r="I273" s="217" t="s">
        <v>1282</v>
      </c>
      <c r="J273" s="214" t="s">
        <v>1256</v>
      </c>
      <c r="K273" s="215"/>
      <c r="L273" s="224"/>
      <c r="M273" s="224"/>
      <c r="N273" s="217"/>
      <c r="O273" s="210"/>
    </row>
    <row r="274">
      <c r="A274" s="212">
        <f t="shared" si="6"/>
        <v>272</v>
      </c>
      <c r="B274" s="212" t="s">
        <v>38</v>
      </c>
      <c r="C274" s="212" t="s">
        <v>1256</v>
      </c>
      <c r="D274" s="212" t="s">
        <v>1280</v>
      </c>
      <c r="E274" s="212"/>
      <c r="F274" s="212" t="s">
        <v>1040</v>
      </c>
      <c r="G274" s="217"/>
      <c r="H274" s="213" t="s">
        <v>1283</v>
      </c>
      <c r="I274" s="217" t="s">
        <v>1284</v>
      </c>
      <c r="J274" s="214" t="s">
        <v>1256</v>
      </c>
      <c r="K274" s="215"/>
      <c r="L274" s="224"/>
      <c r="M274" s="224"/>
      <c r="N274" s="217"/>
      <c r="O274" s="210"/>
    </row>
    <row r="275">
      <c r="A275" s="212">
        <f t="shared" si="6"/>
        <v>273</v>
      </c>
      <c r="B275" s="212" t="s">
        <v>38</v>
      </c>
      <c r="C275" s="212" t="s">
        <v>1256</v>
      </c>
      <c r="D275" s="212" t="s">
        <v>1280</v>
      </c>
      <c r="E275" s="212"/>
      <c r="F275" s="225" t="s">
        <v>1285</v>
      </c>
      <c r="G275" s="217"/>
      <c r="H275" s="213" t="s">
        <v>1286</v>
      </c>
      <c r="I275" s="217" t="s">
        <v>1284</v>
      </c>
      <c r="J275" s="214" t="s">
        <v>1256</v>
      </c>
      <c r="K275" s="215"/>
      <c r="L275" s="224"/>
      <c r="M275" s="224"/>
      <c r="N275" s="217"/>
      <c r="O275" s="210"/>
    </row>
    <row r="276">
      <c r="A276" s="212">
        <f t="shared" si="6"/>
        <v>274</v>
      </c>
      <c r="B276" s="212" t="s">
        <v>38</v>
      </c>
      <c r="C276" s="212" t="s">
        <v>1256</v>
      </c>
      <c r="D276" s="212" t="s">
        <v>1280</v>
      </c>
      <c r="E276" s="212"/>
      <c r="F276" s="39"/>
      <c r="G276" s="217"/>
      <c r="H276" s="213" t="s">
        <v>1287</v>
      </c>
      <c r="I276" s="217" t="s">
        <v>1288</v>
      </c>
      <c r="J276" s="214" t="s">
        <v>1256</v>
      </c>
      <c r="K276" s="215"/>
      <c r="L276" s="224"/>
      <c r="M276" s="224"/>
      <c r="N276" s="217"/>
      <c r="O276" s="210"/>
    </row>
    <row r="277">
      <c r="A277" s="212">
        <f t="shared" si="6"/>
        <v>275</v>
      </c>
      <c r="B277" s="212" t="s">
        <v>38</v>
      </c>
      <c r="C277" s="212" t="s">
        <v>1256</v>
      </c>
      <c r="D277" s="212" t="s">
        <v>1280</v>
      </c>
      <c r="E277" s="212"/>
      <c r="F277" s="212" t="s">
        <v>1289</v>
      </c>
      <c r="G277" s="217" t="s">
        <v>1290</v>
      </c>
      <c r="H277" s="213" t="s">
        <v>1291</v>
      </c>
      <c r="I277" s="217" t="s">
        <v>1292</v>
      </c>
      <c r="J277" s="214" t="s">
        <v>1256</v>
      </c>
      <c r="K277" s="215"/>
      <c r="L277" s="224"/>
      <c r="M277" s="224"/>
      <c r="N277" s="217"/>
      <c r="O277" s="210"/>
    </row>
    <row r="278">
      <c r="A278" s="212">
        <f t="shared" si="6"/>
        <v>276</v>
      </c>
      <c r="B278" s="212" t="s">
        <v>38</v>
      </c>
      <c r="C278" s="212" t="s">
        <v>1256</v>
      </c>
      <c r="D278" s="212" t="s">
        <v>1280</v>
      </c>
      <c r="E278" s="212"/>
      <c r="F278" s="212" t="s">
        <v>1293</v>
      </c>
      <c r="G278" s="217" t="s">
        <v>1294</v>
      </c>
      <c r="H278" s="213" t="s">
        <v>1295</v>
      </c>
      <c r="I278" s="217" t="s">
        <v>1296</v>
      </c>
      <c r="J278" s="214" t="s">
        <v>1256</v>
      </c>
      <c r="K278" s="215"/>
      <c r="L278" s="224"/>
      <c r="M278" s="224"/>
      <c r="N278" s="217"/>
      <c r="O278" s="210"/>
    </row>
    <row r="279">
      <c r="A279" s="212">
        <f t="shared" si="6"/>
        <v>277</v>
      </c>
      <c r="B279" s="212" t="s">
        <v>38</v>
      </c>
      <c r="C279" s="212" t="s">
        <v>1256</v>
      </c>
      <c r="D279" s="212" t="s">
        <v>1280</v>
      </c>
      <c r="E279" s="212"/>
      <c r="F279" s="212" t="s">
        <v>1297</v>
      </c>
      <c r="G279" s="217"/>
      <c r="H279" s="213" t="s">
        <v>1298</v>
      </c>
      <c r="I279" s="217" t="s">
        <v>1299</v>
      </c>
      <c r="J279" s="214" t="s">
        <v>1256</v>
      </c>
      <c r="K279" s="215"/>
      <c r="L279" s="224"/>
      <c r="M279" s="227" t="s">
        <v>1300</v>
      </c>
      <c r="N279" s="217"/>
      <c r="O279" s="210"/>
    </row>
    <row r="280">
      <c r="A280" s="212">
        <f t="shared" si="6"/>
        <v>278</v>
      </c>
      <c r="B280" s="212" t="s">
        <v>38</v>
      </c>
      <c r="C280" s="212" t="s">
        <v>1256</v>
      </c>
      <c r="D280" s="212" t="s">
        <v>1280</v>
      </c>
      <c r="E280" s="212"/>
      <c r="F280" s="212" t="s">
        <v>608</v>
      </c>
      <c r="G280" s="217" t="s">
        <v>1301</v>
      </c>
      <c r="H280" s="213" t="s">
        <v>1302</v>
      </c>
      <c r="I280" s="217" t="s">
        <v>1303</v>
      </c>
      <c r="J280" s="214" t="s">
        <v>1256</v>
      </c>
      <c r="K280" s="215"/>
      <c r="L280" s="224"/>
      <c r="M280" s="224"/>
      <c r="N280" s="217"/>
      <c r="O280" s="210"/>
    </row>
    <row r="281">
      <c r="A281" s="212">
        <f t="shared" si="6"/>
        <v>279</v>
      </c>
      <c r="B281" s="212" t="s">
        <v>38</v>
      </c>
      <c r="C281" s="212" t="s">
        <v>1256</v>
      </c>
      <c r="D281" s="212" t="s">
        <v>1304</v>
      </c>
      <c r="E281" s="212"/>
      <c r="F281" s="212" t="s">
        <v>1304</v>
      </c>
      <c r="G281" s="217"/>
      <c r="H281" s="213" t="s">
        <v>1305</v>
      </c>
      <c r="I281" s="217" t="s">
        <v>1306</v>
      </c>
      <c r="J281" s="214" t="s">
        <v>1256</v>
      </c>
      <c r="K281" s="215"/>
      <c r="L281" s="224"/>
      <c r="M281" s="227"/>
      <c r="N281" s="217"/>
      <c r="O281" s="210"/>
    </row>
    <row r="282">
      <c r="A282" s="212">
        <f t="shared" si="6"/>
        <v>280</v>
      </c>
      <c r="B282" s="212" t="s">
        <v>38</v>
      </c>
      <c r="C282" s="212" t="s">
        <v>1256</v>
      </c>
      <c r="D282" s="212" t="s">
        <v>1304</v>
      </c>
      <c r="E282" s="212" t="s">
        <v>1190</v>
      </c>
      <c r="F282" s="212" t="s">
        <v>1307</v>
      </c>
      <c r="G282" s="217"/>
      <c r="H282" s="213" t="s">
        <v>698</v>
      </c>
      <c r="I282" s="217" t="s">
        <v>1308</v>
      </c>
      <c r="J282" s="214" t="s">
        <v>1256</v>
      </c>
      <c r="K282" s="215"/>
      <c r="L282" s="224"/>
      <c r="M282" s="224"/>
      <c r="N282" s="217"/>
      <c r="O282" s="210"/>
    </row>
    <row r="283">
      <c r="A283" s="212">
        <f t="shared" si="6"/>
        <v>281</v>
      </c>
      <c r="B283" s="212" t="s">
        <v>38</v>
      </c>
      <c r="C283" s="212" t="s">
        <v>1256</v>
      </c>
      <c r="D283" s="212" t="s">
        <v>1304</v>
      </c>
      <c r="E283" s="212" t="s">
        <v>1190</v>
      </c>
      <c r="F283" s="212" t="s">
        <v>1191</v>
      </c>
      <c r="G283" s="217"/>
      <c r="H283" s="213" t="s">
        <v>1309</v>
      </c>
      <c r="I283" s="217" t="s">
        <v>590</v>
      </c>
      <c r="J283" s="214" t="s">
        <v>1256</v>
      </c>
      <c r="K283" s="215"/>
      <c r="L283" s="224"/>
      <c r="M283" s="224"/>
      <c r="N283" s="217"/>
      <c r="O283" s="210"/>
    </row>
    <row r="284">
      <c r="A284" s="212">
        <f t="shared" si="6"/>
        <v>282</v>
      </c>
      <c r="B284" s="212" t="s">
        <v>38</v>
      </c>
      <c r="C284" s="212" t="s">
        <v>1256</v>
      </c>
      <c r="D284" s="212" t="s">
        <v>1304</v>
      </c>
      <c r="E284" s="212" t="s">
        <v>1190</v>
      </c>
      <c r="F284" s="212" t="s">
        <v>1310</v>
      </c>
      <c r="G284" s="217" t="s">
        <v>1311</v>
      </c>
      <c r="H284" s="213" t="s">
        <v>1312</v>
      </c>
      <c r="I284" s="217" t="s">
        <v>1313</v>
      </c>
      <c r="J284" s="214" t="s">
        <v>1256</v>
      </c>
      <c r="K284" s="215"/>
      <c r="L284" s="224"/>
      <c r="M284" s="224"/>
      <c r="N284" s="217"/>
      <c r="O284" s="210"/>
    </row>
    <row r="285">
      <c r="A285" s="212">
        <f t="shared" si="6"/>
        <v>283</v>
      </c>
      <c r="B285" s="212" t="s">
        <v>38</v>
      </c>
      <c r="C285" s="212" t="s">
        <v>1256</v>
      </c>
      <c r="D285" s="212" t="s">
        <v>1304</v>
      </c>
      <c r="E285" s="212" t="s">
        <v>1190</v>
      </c>
      <c r="F285" s="225" t="s">
        <v>1285</v>
      </c>
      <c r="G285" s="217" t="s">
        <v>1314</v>
      </c>
      <c r="H285" s="213" t="s">
        <v>1315</v>
      </c>
      <c r="I285" s="217" t="s">
        <v>1316</v>
      </c>
      <c r="J285" s="214" t="s">
        <v>1256</v>
      </c>
      <c r="K285" s="215"/>
      <c r="L285" s="224"/>
      <c r="M285" s="224"/>
      <c r="N285" s="217"/>
      <c r="O285" s="210"/>
    </row>
    <row r="286">
      <c r="A286" s="212">
        <f t="shared" si="6"/>
        <v>284</v>
      </c>
      <c r="B286" s="212" t="s">
        <v>38</v>
      </c>
      <c r="C286" s="212" t="s">
        <v>1256</v>
      </c>
      <c r="D286" s="212" t="s">
        <v>1304</v>
      </c>
      <c r="E286" s="212" t="s">
        <v>1190</v>
      </c>
      <c r="F286" s="39"/>
      <c r="G286" s="217" t="s">
        <v>1317</v>
      </c>
      <c r="H286" s="213" t="s">
        <v>1318</v>
      </c>
      <c r="I286" s="243" t="s">
        <v>1319</v>
      </c>
      <c r="J286" s="214" t="s">
        <v>1256</v>
      </c>
      <c r="K286" s="215"/>
      <c r="L286" s="224"/>
      <c r="M286" s="224"/>
      <c r="N286" s="217"/>
      <c r="O286" s="210"/>
    </row>
    <row r="287">
      <c r="A287" s="212">
        <f t="shared" si="6"/>
        <v>285</v>
      </c>
      <c r="B287" s="212" t="s">
        <v>38</v>
      </c>
      <c r="C287" s="212" t="s">
        <v>1256</v>
      </c>
      <c r="D287" s="212" t="s">
        <v>1304</v>
      </c>
      <c r="E287" s="212" t="s">
        <v>1190</v>
      </c>
      <c r="F287" s="212" t="s">
        <v>1320</v>
      </c>
      <c r="G287" s="217"/>
      <c r="H287" s="213" t="s">
        <v>1321</v>
      </c>
      <c r="I287" s="217" t="s">
        <v>1322</v>
      </c>
      <c r="J287" s="214" t="s">
        <v>1256</v>
      </c>
      <c r="K287" s="215"/>
      <c r="L287" s="224"/>
      <c r="M287" s="224"/>
      <c r="N287" s="217"/>
      <c r="O287" s="210"/>
    </row>
    <row r="288">
      <c r="A288" s="212">
        <f t="shared" si="6"/>
        <v>286</v>
      </c>
      <c r="B288" s="212" t="s">
        <v>38</v>
      </c>
      <c r="C288" s="212" t="s">
        <v>1256</v>
      </c>
      <c r="D288" s="212" t="s">
        <v>1304</v>
      </c>
      <c r="E288" s="212" t="s">
        <v>1190</v>
      </c>
      <c r="F288" s="212" t="s">
        <v>1310</v>
      </c>
      <c r="G288" s="217" t="s">
        <v>1323</v>
      </c>
      <c r="H288" s="213" t="s">
        <v>1324</v>
      </c>
      <c r="I288" s="217" t="s">
        <v>1325</v>
      </c>
      <c r="J288" s="214" t="s">
        <v>1256</v>
      </c>
      <c r="K288" s="215"/>
      <c r="L288" s="224"/>
      <c r="M288" s="224"/>
      <c r="N288" s="217"/>
      <c r="O288" s="210"/>
    </row>
    <row r="289">
      <c r="A289" s="212">
        <f t="shared" si="6"/>
        <v>287</v>
      </c>
      <c r="B289" s="212" t="s">
        <v>38</v>
      </c>
      <c r="C289" s="212" t="s">
        <v>1256</v>
      </c>
      <c r="D289" s="212" t="s">
        <v>1304</v>
      </c>
      <c r="E289" s="212" t="s">
        <v>1190</v>
      </c>
      <c r="F289" s="225" t="s">
        <v>1285</v>
      </c>
      <c r="G289" s="217" t="s">
        <v>1326</v>
      </c>
      <c r="H289" s="213" t="s">
        <v>1327</v>
      </c>
      <c r="I289" s="217" t="s">
        <v>1328</v>
      </c>
      <c r="J289" s="214" t="s">
        <v>1256</v>
      </c>
      <c r="K289" s="215"/>
      <c r="L289" s="224"/>
      <c r="M289" s="224"/>
      <c r="N289" s="217"/>
      <c r="O289" s="210"/>
    </row>
    <row r="290">
      <c r="A290" s="212">
        <f t="shared" si="6"/>
        <v>288</v>
      </c>
      <c r="B290" s="212" t="s">
        <v>38</v>
      </c>
      <c r="C290" s="212" t="s">
        <v>1256</v>
      </c>
      <c r="D290" s="212" t="s">
        <v>1304</v>
      </c>
      <c r="E290" s="212" t="s">
        <v>1190</v>
      </c>
      <c r="F290" s="39"/>
      <c r="G290" s="217" t="s">
        <v>1329</v>
      </c>
      <c r="H290" s="213" t="s">
        <v>1330</v>
      </c>
      <c r="I290" s="217" t="s">
        <v>1331</v>
      </c>
      <c r="J290" s="214" t="s">
        <v>1256</v>
      </c>
      <c r="K290" s="215"/>
      <c r="L290" s="224"/>
      <c r="M290" s="224"/>
      <c r="N290" s="217"/>
      <c r="O290" s="210"/>
    </row>
    <row r="291">
      <c r="A291" s="212">
        <f t="shared" si="6"/>
        <v>289</v>
      </c>
      <c r="B291" s="212" t="s">
        <v>38</v>
      </c>
      <c r="C291" s="212" t="s">
        <v>1256</v>
      </c>
      <c r="D291" s="212" t="s">
        <v>1304</v>
      </c>
      <c r="E291" s="212" t="s">
        <v>1190</v>
      </c>
      <c r="F291" s="212" t="s">
        <v>1332</v>
      </c>
      <c r="G291" s="217"/>
      <c r="H291" s="213" t="s">
        <v>1333</v>
      </c>
      <c r="I291" s="217" t="s">
        <v>1334</v>
      </c>
      <c r="J291" s="214" t="s">
        <v>1256</v>
      </c>
      <c r="K291" s="215"/>
      <c r="L291" s="224"/>
      <c r="M291" s="224"/>
      <c r="N291" s="217"/>
      <c r="O291" s="210"/>
    </row>
    <row r="292">
      <c r="A292" s="212">
        <f t="shared" si="6"/>
        <v>290</v>
      </c>
      <c r="B292" s="212" t="s">
        <v>38</v>
      </c>
      <c r="C292" s="212" t="s">
        <v>1256</v>
      </c>
      <c r="D292" s="212" t="s">
        <v>1304</v>
      </c>
      <c r="E292" s="212" t="s">
        <v>1190</v>
      </c>
      <c r="F292" s="212" t="s">
        <v>1310</v>
      </c>
      <c r="G292" s="217" t="s">
        <v>1335</v>
      </c>
      <c r="H292" s="213" t="s">
        <v>1336</v>
      </c>
      <c r="I292" s="217" t="s">
        <v>1337</v>
      </c>
      <c r="J292" s="214" t="s">
        <v>1256</v>
      </c>
      <c r="K292" s="215"/>
      <c r="L292" s="224"/>
      <c r="M292" s="224"/>
      <c r="N292" s="217"/>
      <c r="O292" s="210"/>
    </row>
    <row r="293">
      <c r="A293" s="212">
        <f t="shared" si="6"/>
        <v>291</v>
      </c>
      <c r="B293" s="212" t="s">
        <v>38</v>
      </c>
      <c r="C293" s="212" t="s">
        <v>1256</v>
      </c>
      <c r="D293" s="212" t="s">
        <v>1304</v>
      </c>
      <c r="E293" s="212" t="s">
        <v>1190</v>
      </c>
      <c r="F293" s="225" t="s">
        <v>1285</v>
      </c>
      <c r="G293" s="217" t="s">
        <v>1326</v>
      </c>
      <c r="H293" s="213" t="s">
        <v>1338</v>
      </c>
      <c r="I293" s="217" t="s">
        <v>1328</v>
      </c>
      <c r="J293" s="214" t="s">
        <v>1256</v>
      </c>
      <c r="K293" s="215"/>
      <c r="L293" s="224"/>
      <c r="M293" s="224"/>
      <c r="N293" s="217"/>
      <c r="O293" s="210"/>
    </row>
    <row r="294">
      <c r="A294" s="212">
        <f t="shared" si="6"/>
        <v>292</v>
      </c>
      <c r="B294" s="212" t="s">
        <v>38</v>
      </c>
      <c r="C294" s="212" t="s">
        <v>1256</v>
      </c>
      <c r="D294" s="212" t="s">
        <v>1304</v>
      </c>
      <c r="E294" s="212" t="s">
        <v>1190</v>
      </c>
      <c r="F294" s="39"/>
      <c r="G294" s="217" t="s">
        <v>1329</v>
      </c>
      <c r="H294" s="213" t="s">
        <v>1339</v>
      </c>
      <c r="I294" s="217" t="s">
        <v>1331</v>
      </c>
      <c r="J294" s="214" t="s">
        <v>1256</v>
      </c>
      <c r="K294" s="215"/>
      <c r="L294" s="224"/>
      <c r="M294" s="224"/>
      <c r="N294" s="217"/>
      <c r="O294" s="210"/>
    </row>
    <row r="295">
      <c r="A295" s="212">
        <f t="shared" si="6"/>
        <v>293</v>
      </c>
      <c r="B295" s="212" t="s">
        <v>38</v>
      </c>
      <c r="C295" s="212" t="s">
        <v>1256</v>
      </c>
      <c r="D295" s="212" t="s">
        <v>1304</v>
      </c>
      <c r="E295" s="212" t="s">
        <v>1190</v>
      </c>
      <c r="F295" s="225" t="s">
        <v>730</v>
      </c>
      <c r="G295" s="217"/>
      <c r="H295" s="213" t="s">
        <v>1340</v>
      </c>
      <c r="I295" s="217" t="s">
        <v>1341</v>
      </c>
      <c r="J295" s="214" t="s">
        <v>1256</v>
      </c>
      <c r="K295" s="215"/>
      <c r="L295" s="224"/>
      <c r="M295" s="224"/>
      <c r="N295" s="217"/>
      <c r="O295" s="210"/>
    </row>
    <row r="296">
      <c r="A296" s="212">
        <f t="shared" si="6"/>
        <v>294</v>
      </c>
      <c r="B296" s="212" t="s">
        <v>38</v>
      </c>
      <c r="C296" s="212" t="s">
        <v>1256</v>
      </c>
      <c r="D296" s="212" t="s">
        <v>1304</v>
      </c>
      <c r="E296" s="212" t="s">
        <v>1190</v>
      </c>
      <c r="F296" s="220"/>
      <c r="G296" s="217"/>
      <c r="H296" s="213" t="s">
        <v>1342</v>
      </c>
      <c r="I296" s="217" t="s">
        <v>1343</v>
      </c>
      <c r="J296" s="214" t="s">
        <v>1256</v>
      </c>
      <c r="K296" s="215"/>
      <c r="L296" s="224"/>
      <c r="M296" s="224"/>
      <c r="N296" s="217"/>
      <c r="O296" s="210"/>
    </row>
    <row r="297">
      <c r="A297" s="212">
        <f t="shared" si="6"/>
        <v>295</v>
      </c>
      <c r="B297" s="212" t="s">
        <v>38</v>
      </c>
      <c r="C297" s="212" t="s">
        <v>1256</v>
      </c>
      <c r="D297" s="212" t="s">
        <v>1304</v>
      </c>
      <c r="E297" s="212" t="s">
        <v>1190</v>
      </c>
      <c r="F297" s="220"/>
      <c r="G297" s="217"/>
      <c r="H297" s="213" t="s">
        <v>1344</v>
      </c>
      <c r="I297" s="217" t="s">
        <v>1345</v>
      </c>
      <c r="J297" s="214" t="s">
        <v>1256</v>
      </c>
      <c r="K297" s="215"/>
      <c r="L297" s="224"/>
      <c r="M297" s="224"/>
      <c r="N297" s="217"/>
      <c r="O297" s="210"/>
    </row>
    <row r="298">
      <c r="A298" s="212">
        <f t="shared" si="6"/>
        <v>296</v>
      </c>
      <c r="B298" s="212" t="s">
        <v>38</v>
      </c>
      <c r="C298" s="212" t="s">
        <v>1256</v>
      </c>
      <c r="D298" s="212" t="s">
        <v>1304</v>
      </c>
      <c r="E298" s="212" t="s">
        <v>1190</v>
      </c>
      <c r="F298" s="39"/>
      <c r="G298" s="217"/>
      <c r="H298" s="213" t="s">
        <v>1346</v>
      </c>
      <c r="I298" s="217" t="s">
        <v>1347</v>
      </c>
      <c r="J298" s="214" t="s">
        <v>1256</v>
      </c>
      <c r="K298" s="215"/>
      <c r="L298" s="224"/>
      <c r="M298" s="224"/>
      <c r="N298" s="217"/>
      <c r="O298" s="210"/>
    </row>
    <row r="299">
      <c r="A299" s="212">
        <f t="shared" si="6"/>
        <v>297</v>
      </c>
      <c r="B299" s="212" t="s">
        <v>38</v>
      </c>
      <c r="C299" s="212" t="s">
        <v>1256</v>
      </c>
      <c r="D299" s="212" t="s">
        <v>1304</v>
      </c>
      <c r="E299" s="212" t="s">
        <v>1190</v>
      </c>
      <c r="F299" s="212" t="s">
        <v>608</v>
      </c>
      <c r="G299" s="217"/>
      <c r="H299" s="213" t="s">
        <v>1348</v>
      </c>
      <c r="I299" s="217" t="s">
        <v>1349</v>
      </c>
      <c r="J299" s="214" t="s">
        <v>1256</v>
      </c>
      <c r="K299" s="215"/>
      <c r="L299" s="224"/>
      <c r="M299" s="224"/>
      <c r="N299" s="217"/>
      <c r="O299" s="210"/>
    </row>
    <row r="300">
      <c r="A300" s="212">
        <f t="shared" si="6"/>
        <v>298</v>
      </c>
      <c r="B300" s="212" t="s">
        <v>38</v>
      </c>
      <c r="C300" s="212" t="s">
        <v>1256</v>
      </c>
      <c r="D300" s="212" t="s">
        <v>1304</v>
      </c>
      <c r="E300" s="212" t="s">
        <v>530</v>
      </c>
      <c r="F300" s="212" t="s">
        <v>1350</v>
      </c>
      <c r="G300" s="217"/>
      <c r="H300" s="213" t="s">
        <v>1351</v>
      </c>
      <c r="I300" s="217" t="s">
        <v>1352</v>
      </c>
      <c r="J300" s="214" t="s">
        <v>1256</v>
      </c>
      <c r="K300" s="215"/>
      <c r="L300" s="224"/>
      <c r="M300" s="224"/>
      <c r="N300" s="217"/>
      <c r="O300" s="210"/>
    </row>
    <row r="301">
      <c r="A301" s="212">
        <f t="shared" si="6"/>
        <v>299</v>
      </c>
      <c r="B301" s="212" t="s">
        <v>38</v>
      </c>
      <c r="C301" s="212" t="s">
        <v>1256</v>
      </c>
      <c r="D301" s="212" t="s">
        <v>1304</v>
      </c>
      <c r="E301" s="212" t="s">
        <v>530</v>
      </c>
      <c r="F301" s="212" t="s">
        <v>483</v>
      </c>
      <c r="G301" s="217"/>
      <c r="H301" s="213" t="s">
        <v>531</v>
      </c>
      <c r="I301" s="217" t="s">
        <v>1353</v>
      </c>
      <c r="J301" s="214" t="s">
        <v>1256</v>
      </c>
      <c r="K301" s="215"/>
      <c r="L301" s="224"/>
      <c r="M301" s="224"/>
      <c r="N301" s="217"/>
      <c r="O301" s="210"/>
    </row>
    <row r="302">
      <c r="A302" s="212">
        <f t="shared" si="6"/>
        <v>300</v>
      </c>
      <c r="B302" s="212" t="s">
        <v>38</v>
      </c>
      <c r="C302" s="212" t="s">
        <v>1256</v>
      </c>
      <c r="D302" s="212" t="s">
        <v>1304</v>
      </c>
      <c r="E302" s="212" t="s">
        <v>530</v>
      </c>
      <c r="F302" s="212" t="s">
        <v>67</v>
      </c>
      <c r="G302" s="217"/>
      <c r="H302" s="213" t="s">
        <v>1354</v>
      </c>
      <c r="I302" s="217" t="s">
        <v>1355</v>
      </c>
      <c r="J302" s="214" t="s">
        <v>1256</v>
      </c>
      <c r="K302" s="215"/>
      <c r="L302" s="224"/>
      <c r="M302" s="224"/>
      <c r="N302" s="217"/>
      <c r="O302" s="210"/>
    </row>
    <row r="303">
      <c r="A303" s="212">
        <f t="shared" si="6"/>
        <v>301</v>
      </c>
      <c r="B303" s="212" t="s">
        <v>38</v>
      </c>
      <c r="C303" s="212" t="s">
        <v>1256</v>
      </c>
      <c r="D303" s="212" t="s">
        <v>1304</v>
      </c>
      <c r="E303" s="212" t="s">
        <v>530</v>
      </c>
      <c r="F303" s="212" t="s">
        <v>1356</v>
      </c>
      <c r="G303" s="217"/>
      <c r="H303" s="213" t="s">
        <v>1357</v>
      </c>
      <c r="I303" s="217" t="s">
        <v>1358</v>
      </c>
      <c r="J303" s="214" t="s">
        <v>1256</v>
      </c>
      <c r="K303" s="215"/>
      <c r="L303" s="224"/>
      <c r="M303" s="224"/>
      <c r="N303" s="217"/>
      <c r="O303" s="210"/>
    </row>
    <row r="304">
      <c r="A304" s="212">
        <f t="shared" si="6"/>
        <v>302</v>
      </c>
      <c r="B304" s="212" t="s">
        <v>38</v>
      </c>
      <c r="C304" s="212" t="s">
        <v>1256</v>
      </c>
      <c r="D304" s="212" t="s">
        <v>1304</v>
      </c>
      <c r="E304" s="212" t="s">
        <v>530</v>
      </c>
      <c r="F304" s="212" t="s">
        <v>1207</v>
      </c>
      <c r="G304" s="217"/>
      <c r="H304" s="213" t="s">
        <v>1359</v>
      </c>
      <c r="I304" s="217" t="s">
        <v>1360</v>
      </c>
      <c r="J304" s="214" t="s">
        <v>1256</v>
      </c>
      <c r="K304" s="215"/>
      <c r="L304" s="224"/>
      <c r="M304" s="224"/>
      <c r="N304" s="217"/>
      <c r="O304" s="210"/>
    </row>
    <row r="305">
      <c r="A305" s="212">
        <f t="shared" si="6"/>
        <v>303</v>
      </c>
      <c r="B305" s="212" t="s">
        <v>38</v>
      </c>
      <c r="C305" s="212" t="s">
        <v>1256</v>
      </c>
      <c r="D305" s="212" t="s">
        <v>1304</v>
      </c>
      <c r="E305" s="212" t="s">
        <v>530</v>
      </c>
      <c r="F305" s="212" t="s">
        <v>1361</v>
      </c>
      <c r="G305" s="217"/>
      <c r="H305" s="213" t="s">
        <v>1362</v>
      </c>
      <c r="I305" s="217" t="s">
        <v>1363</v>
      </c>
      <c r="J305" s="214" t="s">
        <v>1256</v>
      </c>
      <c r="K305" s="215"/>
      <c r="L305" s="224"/>
      <c r="M305" s="224"/>
      <c r="N305" s="217"/>
      <c r="O305" s="210"/>
    </row>
    <row r="306">
      <c r="A306" s="212">
        <f t="shared" si="6"/>
        <v>304</v>
      </c>
      <c r="B306" s="212" t="s">
        <v>38</v>
      </c>
      <c r="C306" s="212" t="s">
        <v>1256</v>
      </c>
      <c r="D306" s="212" t="s">
        <v>1304</v>
      </c>
      <c r="E306" s="212" t="s">
        <v>530</v>
      </c>
      <c r="F306" s="212" t="s">
        <v>1364</v>
      </c>
      <c r="G306" s="217"/>
      <c r="H306" s="213" t="s">
        <v>1365</v>
      </c>
      <c r="I306" s="217" t="s">
        <v>1366</v>
      </c>
      <c r="J306" s="214" t="s">
        <v>1256</v>
      </c>
      <c r="K306" s="215"/>
      <c r="L306" s="224"/>
      <c r="M306" s="224"/>
      <c r="N306" s="217"/>
      <c r="O306" s="210"/>
    </row>
    <row r="307">
      <c r="A307" s="212">
        <f t="shared" si="6"/>
        <v>305</v>
      </c>
      <c r="B307" s="212" t="s">
        <v>38</v>
      </c>
      <c r="C307" s="212" t="s">
        <v>1256</v>
      </c>
      <c r="D307" s="212" t="s">
        <v>1304</v>
      </c>
      <c r="E307" s="212" t="s">
        <v>530</v>
      </c>
      <c r="F307" s="212" t="s">
        <v>1367</v>
      </c>
      <c r="G307" s="217"/>
      <c r="H307" s="213" t="s">
        <v>1368</v>
      </c>
      <c r="I307" s="217" t="s">
        <v>1369</v>
      </c>
      <c r="J307" s="214" t="s">
        <v>1256</v>
      </c>
      <c r="K307" s="215"/>
      <c r="L307" s="224"/>
      <c r="M307" s="224"/>
      <c r="N307" s="217"/>
      <c r="O307" s="210"/>
    </row>
    <row r="308">
      <c r="A308" s="212"/>
      <c r="B308" s="212"/>
      <c r="C308" s="212"/>
      <c r="D308" s="212"/>
      <c r="E308" s="212"/>
      <c r="F308" s="212"/>
      <c r="G308" s="217"/>
      <c r="H308" s="213"/>
      <c r="I308" s="217"/>
      <c r="J308" s="242"/>
      <c r="K308" s="215"/>
      <c r="L308" s="224"/>
      <c r="M308" s="224"/>
      <c r="N308" s="217"/>
      <c r="O308" s="210"/>
    </row>
    <row r="309">
      <c r="A309" s="212"/>
      <c r="B309" s="212"/>
      <c r="C309" s="212"/>
      <c r="D309" s="212"/>
      <c r="E309" s="212"/>
      <c r="F309" s="212"/>
      <c r="G309" s="217"/>
      <c r="H309" s="213"/>
      <c r="I309" s="217"/>
      <c r="J309" s="242"/>
      <c r="K309" s="215"/>
      <c r="L309" s="224"/>
      <c r="M309" s="224"/>
      <c r="N309" s="217"/>
      <c r="O309" s="210"/>
    </row>
    <row r="310">
      <c r="A310" s="212"/>
      <c r="B310" s="212"/>
      <c r="C310" s="212"/>
      <c r="D310" s="212"/>
      <c r="E310" s="212"/>
      <c r="F310" s="212"/>
      <c r="G310" s="217"/>
      <c r="H310" s="213"/>
      <c r="I310" s="217"/>
      <c r="J310" s="242"/>
      <c r="K310" s="215"/>
      <c r="L310" s="224"/>
      <c r="M310" s="224"/>
      <c r="N310" s="217"/>
      <c r="O310" s="210"/>
    </row>
    <row r="311">
      <c r="A311" s="212"/>
      <c r="B311" s="212"/>
      <c r="C311" s="212"/>
      <c r="D311" s="212"/>
      <c r="E311" s="212"/>
      <c r="F311" s="212"/>
      <c r="G311" s="217"/>
      <c r="H311" s="213"/>
      <c r="I311" s="217"/>
      <c r="J311" s="242"/>
      <c r="K311" s="215"/>
      <c r="L311" s="224"/>
      <c r="M311" s="224"/>
      <c r="N311" s="217"/>
      <c r="O311" s="210"/>
    </row>
    <row r="312">
      <c r="A312" s="212"/>
      <c r="B312" s="212"/>
      <c r="C312" s="212"/>
      <c r="D312" s="212"/>
      <c r="E312" s="212"/>
      <c r="F312" s="212"/>
      <c r="G312" s="217"/>
      <c r="H312" s="213"/>
      <c r="I312" s="217"/>
      <c r="J312" s="242"/>
      <c r="K312" s="215"/>
      <c r="L312" s="224"/>
      <c r="M312" s="224"/>
      <c r="N312" s="217"/>
      <c r="O312" s="210"/>
    </row>
    <row r="313">
      <c r="A313" s="212"/>
      <c r="B313" s="212"/>
      <c r="C313" s="212"/>
      <c r="D313" s="212"/>
      <c r="E313" s="212"/>
      <c r="F313" s="212"/>
      <c r="G313" s="217"/>
      <c r="H313" s="213"/>
      <c r="I313" s="217"/>
      <c r="J313" s="242"/>
      <c r="K313" s="215"/>
      <c r="L313" s="224"/>
      <c r="M313" s="224"/>
      <c r="N313" s="217"/>
      <c r="O313" s="210"/>
    </row>
    <row r="314">
      <c r="A314" s="212"/>
      <c r="B314" s="212"/>
      <c r="C314" s="212"/>
      <c r="D314" s="212"/>
      <c r="E314" s="212"/>
      <c r="F314" s="212"/>
      <c r="G314" s="217"/>
      <c r="H314" s="213"/>
      <c r="I314" s="217"/>
      <c r="J314" s="242"/>
      <c r="K314" s="215"/>
      <c r="L314" s="224"/>
      <c r="M314" s="224"/>
      <c r="N314" s="217"/>
      <c r="O314" s="210"/>
    </row>
    <row r="315">
      <c r="A315" s="212"/>
      <c r="B315" s="212"/>
      <c r="C315" s="212"/>
      <c r="D315" s="212"/>
      <c r="E315" s="212"/>
      <c r="F315" s="212"/>
      <c r="G315" s="217"/>
      <c r="H315" s="213"/>
      <c r="I315" s="217"/>
      <c r="J315" s="242"/>
      <c r="K315" s="215"/>
      <c r="L315" s="224"/>
      <c r="M315" s="224"/>
      <c r="N315" s="217"/>
      <c r="O315" s="210"/>
    </row>
    <row r="316">
      <c r="A316" s="212"/>
      <c r="B316" s="212"/>
      <c r="C316" s="212"/>
      <c r="D316" s="212"/>
      <c r="E316" s="212"/>
      <c r="F316" s="212"/>
      <c r="G316" s="217"/>
      <c r="H316" s="213"/>
      <c r="I316" s="217"/>
      <c r="J316" s="242"/>
      <c r="K316" s="215"/>
      <c r="L316" s="224"/>
      <c r="M316" s="224"/>
      <c r="N316" s="217"/>
      <c r="O316" s="210"/>
    </row>
    <row r="317">
      <c r="A317" s="212"/>
      <c r="B317" s="212"/>
      <c r="C317" s="212"/>
      <c r="D317" s="212"/>
      <c r="E317" s="212"/>
      <c r="F317" s="212"/>
      <c r="G317" s="217"/>
      <c r="H317" s="213"/>
      <c r="I317" s="217"/>
      <c r="J317" s="242"/>
      <c r="K317" s="215"/>
      <c r="L317" s="224"/>
      <c r="M317" s="224"/>
      <c r="N317" s="217"/>
      <c r="O317" s="210"/>
    </row>
    <row r="318">
      <c r="A318" s="212"/>
      <c r="B318" s="212"/>
      <c r="C318" s="212"/>
      <c r="D318" s="212"/>
      <c r="E318" s="212"/>
      <c r="F318" s="212"/>
      <c r="G318" s="217"/>
      <c r="H318" s="213"/>
      <c r="I318" s="217"/>
      <c r="J318" s="242"/>
      <c r="K318" s="215"/>
      <c r="L318" s="224"/>
      <c r="M318" s="224"/>
      <c r="N318" s="217"/>
      <c r="O318" s="210"/>
    </row>
    <row r="319">
      <c r="A319" s="212"/>
      <c r="B319" s="212"/>
      <c r="C319" s="212"/>
      <c r="D319" s="212"/>
      <c r="E319" s="212"/>
      <c r="F319" s="212"/>
      <c r="G319" s="217"/>
      <c r="H319" s="213"/>
      <c r="I319" s="217"/>
      <c r="J319" s="242"/>
      <c r="K319" s="215"/>
      <c r="L319" s="224"/>
      <c r="M319" s="224"/>
      <c r="N319" s="217"/>
      <c r="O319" s="210"/>
    </row>
    <row r="320">
      <c r="A320" s="212"/>
      <c r="B320" s="212"/>
      <c r="C320" s="212"/>
      <c r="D320" s="212"/>
      <c r="E320" s="212"/>
      <c r="F320" s="212"/>
      <c r="G320" s="217"/>
      <c r="H320" s="213"/>
      <c r="I320" s="217"/>
      <c r="J320" s="242"/>
      <c r="K320" s="215"/>
      <c r="L320" s="224"/>
      <c r="M320" s="224"/>
      <c r="N320" s="217"/>
      <c r="O320" s="210"/>
    </row>
    <row r="321">
      <c r="A321" s="212"/>
      <c r="B321" s="212"/>
      <c r="C321" s="212"/>
      <c r="D321" s="212"/>
      <c r="E321" s="212"/>
      <c r="F321" s="212"/>
      <c r="G321" s="217"/>
      <c r="H321" s="213"/>
      <c r="I321" s="217"/>
      <c r="J321" s="242"/>
      <c r="K321" s="215"/>
      <c r="L321" s="224"/>
      <c r="M321" s="224"/>
      <c r="N321" s="217"/>
      <c r="O321" s="210"/>
    </row>
    <row r="322">
      <c r="A322" s="212"/>
      <c r="B322" s="212"/>
      <c r="C322" s="212"/>
      <c r="D322" s="212"/>
      <c r="E322" s="212"/>
      <c r="F322" s="212"/>
      <c r="G322" s="217"/>
      <c r="H322" s="213"/>
      <c r="I322" s="217"/>
      <c r="J322" s="242"/>
      <c r="K322" s="215"/>
      <c r="L322" s="224"/>
      <c r="M322" s="224"/>
      <c r="N322" s="217"/>
      <c r="O322" s="210"/>
    </row>
    <row r="323">
      <c r="A323" s="212"/>
      <c r="B323" s="212"/>
      <c r="C323" s="212"/>
      <c r="D323" s="212"/>
      <c r="E323" s="212"/>
      <c r="F323" s="212"/>
      <c r="G323" s="217"/>
      <c r="H323" s="213"/>
      <c r="I323" s="217"/>
      <c r="J323" s="242"/>
      <c r="K323" s="215"/>
      <c r="L323" s="224"/>
      <c r="M323" s="224"/>
      <c r="N323" s="217"/>
      <c r="O323" s="210"/>
    </row>
    <row r="324">
      <c r="A324" s="212"/>
      <c r="B324" s="212"/>
      <c r="C324" s="212"/>
      <c r="D324" s="212"/>
      <c r="E324" s="212"/>
      <c r="F324" s="212"/>
      <c r="G324" s="217"/>
      <c r="H324" s="213"/>
      <c r="I324" s="217"/>
      <c r="J324" s="242"/>
      <c r="K324" s="215"/>
      <c r="L324" s="224"/>
      <c r="M324" s="224"/>
      <c r="N324" s="217"/>
      <c r="O324" s="210"/>
    </row>
    <row r="325">
      <c r="A325" s="224"/>
      <c r="B325" s="228"/>
      <c r="C325" s="212"/>
      <c r="D325" s="212"/>
      <c r="E325" s="212"/>
      <c r="F325" s="212"/>
      <c r="G325" s="224"/>
      <c r="H325" s="224"/>
      <c r="I325" s="224"/>
      <c r="J325" s="228"/>
      <c r="K325" s="224"/>
      <c r="L325" s="224"/>
      <c r="M325" s="224"/>
      <c r="N325" s="224"/>
      <c r="O325" s="210"/>
    </row>
    <row r="326">
      <c r="A326" s="224"/>
      <c r="B326" s="228"/>
      <c r="C326" s="228"/>
      <c r="D326" s="228"/>
      <c r="E326" s="228"/>
      <c r="F326" s="228"/>
      <c r="G326" s="224"/>
      <c r="H326" s="224"/>
      <c r="I326" s="224"/>
      <c r="J326" s="228"/>
      <c r="K326" s="224"/>
      <c r="L326" s="224"/>
      <c r="M326" s="224"/>
      <c r="N326" s="224"/>
      <c r="O326" s="210"/>
    </row>
  </sheetData>
  <mergeCells count="58">
    <mergeCell ref="F177:F178"/>
    <mergeCell ref="F186:F187"/>
    <mergeCell ref="F191:F192"/>
    <mergeCell ref="F193:F194"/>
    <mergeCell ref="F196:F199"/>
    <mergeCell ref="F204:F207"/>
    <mergeCell ref="F209:F210"/>
    <mergeCell ref="F289:F290"/>
    <mergeCell ref="F293:F294"/>
    <mergeCell ref="F295:F298"/>
    <mergeCell ref="F215:F218"/>
    <mergeCell ref="F220:F224"/>
    <mergeCell ref="F225:F230"/>
    <mergeCell ref="F236:F237"/>
    <mergeCell ref="F238:F239"/>
    <mergeCell ref="F242:F243"/>
    <mergeCell ref="F257:F264"/>
    <mergeCell ref="K1:K2"/>
    <mergeCell ref="L1:L2"/>
    <mergeCell ref="M1:M2"/>
    <mergeCell ref="N1:N2"/>
    <mergeCell ref="A1:A2"/>
    <mergeCell ref="C1:E1"/>
    <mergeCell ref="F1:F2"/>
    <mergeCell ref="G1:G2"/>
    <mergeCell ref="H1:H2"/>
    <mergeCell ref="I1:I2"/>
    <mergeCell ref="J1:J2"/>
    <mergeCell ref="F8:F9"/>
    <mergeCell ref="F24:F25"/>
    <mergeCell ref="F26:F28"/>
    <mergeCell ref="F32:F33"/>
    <mergeCell ref="F35:F36"/>
    <mergeCell ref="F45:F47"/>
    <mergeCell ref="F48:F50"/>
    <mergeCell ref="F52:F55"/>
    <mergeCell ref="F60:F61"/>
    <mergeCell ref="F62:F64"/>
    <mergeCell ref="F79:F82"/>
    <mergeCell ref="F109:F110"/>
    <mergeCell ref="F112:F114"/>
    <mergeCell ref="F115:F117"/>
    <mergeCell ref="F118:F120"/>
    <mergeCell ref="F121:F123"/>
    <mergeCell ref="F124:F127"/>
    <mergeCell ref="F128:F133"/>
    <mergeCell ref="F134:F139"/>
    <mergeCell ref="F144:F146"/>
    <mergeCell ref="F156:F157"/>
    <mergeCell ref="F158:F159"/>
    <mergeCell ref="F160:F161"/>
    <mergeCell ref="F162:F163"/>
    <mergeCell ref="F164:F165"/>
    <mergeCell ref="F167:F170"/>
    <mergeCell ref="G169:G170"/>
    <mergeCell ref="F175:F176"/>
    <mergeCell ref="F275:F276"/>
    <mergeCell ref="F285:F286"/>
  </mergeCells>
  <conditionalFormatting sqref="K3:K324">
    <cfRule type="cellIs" dxfId="4" priority="1" operator="equal">
      <formula>"PASS"</formula>
    </cfRule>
  </conditionalFormatting>
  <conditionalFormatting sqref="K3:K324">
    <cfRule type="cellIs" dxfId="5" priority="2" operator="equal">
      <formula>"FAIL"</formula>
    </cfRule>
  </conditionalFormatting>
  <conditionalFormatting sqref="K3:K324">
    <cfRule type="cellIs" dxfId="6" priority="3" operator="equal">
      <formula>"N/A"</formula>
    </cfRule>
  </conditionalFormatting>
  <conditionalFormatting sqref="K3:K324">
    <cfRule type="cellIs" dxfId="7" priority="4" operator="equal">
      <formula>"N/T"</formula>
    </cfRule>
  </conditionalFormatting>
  <dataValidations>
    <dataValidation type="list" allowBlank="1" sqref="K3:K324">
      <formula1>"PASS,FAIL,N/A,N/T"</formula1>
    </dataValidation>
  </dataValidations>
  <hyperlinks>
    <hyperlink r:id="rId1" ref="J3"/>
    <hyperlink r:id="rId2" ref="L3"/>
    <hyperlink r:id="rId3" ref="J4"/>
    <hyperlink r:id="rId4" ref="J5"/>
    <hyperlink r:id="rId5" ref="J6"/>
    <hyperlink r:id="rId6" ref="J7"/>
    <hyperlink r:id="rId7" ref="L7"/>
    <hyperlink r:id="rId8" ref="J8"/>
    <hyperlink r:id="rId9" ref="J9"/>
    <hyperlink r:id="rId10" ref="J10"/>
    <hyperlink r:id="rId11" ref="J11"/>
    <hyperlink r:id="rId12" ref="J12"/>
    <hyperlink r:id="rId13" ref="L12"/>
    <hyperlink r:id="rId14" ref="J13"/>
    <hyperlink r:id="rId15" ref="J14"/>
    <hyperlink r:id="rId16" ref="L14"/>
    <hyperlink r:id="rId17" ref="J15"/>
    <hyperlink r:id="rId18" ref="L15"/>
    <hyperlink r:id="rId19" ref="J16"/>
    <hyperlink r:id="rId20" ref="J17"/>
    <hyperlink r:id="rId21" ref="J18"/>
    <hyperlink r:id="rId22" ref="L18"/>
    <hyperlink r:id="rId23" ref="J19"/>
    <hyperlink r:id="rId24" ref="J20"/>
    <hyperlink r:id="rId25" ref="J21"/>
    <hyperlink r:id="rId26" ref="J22"/>
    <hyperlink r:id="rId27" ref="J23"/>
    <hyperlink r:id="rId28" ref="L23"/>
    <hyperlink r:id="rId29" ref="J25"/>
    <hyperlink r:id="rId30" ref="J26"/>
    <hyperlink r:id="rId31" ref="J27"/>
    <hyperlink r:id="rId32" ref="J28"/>
    <hyperlink r:id="rId33" ref="L28"/>
    <hyperlink r:id="rId34" ref="J29"/>
    <hyperlink r:id="rId35" ref="J30"/>
    <hyperlink r:id="rId36" ref="L30"/>
    <hyperlink r:id="rId37" ref="J31"/>
    <hyperlink r:id="rId38" ref="J32"/>
    <hyperlink r:id="rId39" ref="J33"/>
    <hyperlink r:id="rId40" ref="L33"/>
    <hyperlink r:id="rId41" ref="J34"/>
    <hyperlink r:id="rId42" ref="L34"/>
    <hyperlink r:id="rId43" ref="J35"/>
    <hyperlink r:id="rId44" ref="J36"/>
    <hyperlink r:id="rId45" ref="J37"/>
    <hyperlink r:id="rId46" ref="J38"/>
    <hyperlink r:id="rId47" ref="J39"/>
    <hyperlink r:id="rId48" ref="J40"/>
    <hyperlink r:id="rId49" ref="J41"/>
    <hyperlink r:id="rId50" ref="J42"/>
    <hyperlink r:id="rId51" ref="J43"/>
    <hyperlink r:id="rId52" ref="L43"/>
    <hyperlink r:id="rId53" ref="J44"/>
    <hyperlink r:id="rId54" ref="L44"/>
    <hyperlink r:id="rId55" ref="J45"/>
    <hyperlink r:id="rId56" ref="J46"/>
    <hyperlink r:id="rId57" ref="L46"/>
    <hyperlink r:id="rId58" ref="J47"/>
    <hyperlink r:id="rId59" ref="J48"/>
    <hyperlink r:id="rId60" ref="J49"/>
    <hyperlink r:id="rId61" ref="L49"/>
    <hyperlink r:id="rId62" ref="J50"/>
    <hyperlink r:id="rId63" ref="J51"/>
    <hyperlink r:id="rId64" ref="L51"/>
    <hyperlink r:id="rId65" ref="J52"/>
    <hyperlink r:id="rId66" ref="J53"/>
    <hyperlink r:id="rId67" ref="J54"/>
    <hyperlink r:id="rId68" ref="L54"/>
    <hyperlink r:id="rId69" ref="J55"/>
    <hyperlink r:id="rId70" ref="L55"/>
    <hyperlink r:id="rId71" ref="J56"/>
    <hyperlink r:id="rId72" ref="J57"/>
    <hyperlink r:id="rId73" ref="J58"/>
    <hyperlink r:id="rId74" ref="J59"/>
    <hyperlink r:id="rId75" ref="L59"/>
    <hyperlink r:id="rId76" ref="J60"/>
    <hyperlink r:id="rId77" ref="J61"/>
    <hyperlink r:id="rId78" ref="J62"/>
    <hyperlink r:id="rId79" ref="J63"/>
    <hyperlink r:id="rId80" ref="J64"/>
    <hyperlink r:id="rId81" ref="J65"/>
    <hyperlink r:id="rId82" ref="J66"/>
    <hyperlink r:id="rId83" ref="J67"/>
    <hyperlink r:id="rId84" ref="J68"/>
    <hyperlink r:id="rId85" ref="J69"/>
    <hyperlink r:id="rId86" ref="J70"/>
    <hyperlink r:id="rId87" ref="J71"/>
    <hyperlink r:id="rId88" ref="J72"/>
    <hyperlink r:id="rId89" ref="J73"/>
    <hyperlink r:id="rId90" ref="J74"/>
    <hyperlink r:id="rId91" ref="L74"/>
    <hyperlink r:id="rId92" ref="J75"/>
    <hyperlink r:id="rId93" ref="J76"/>
    <hyperlink r:id="rId94" ref="J77"/>
    <hyperlink r:id="rId95" ref="J78"/>
    <hyperlink r:id="rId96" ref="J79"/>
    <hyperlink r:id="rId97" ref="J80"/>
    <hyperlink r:id="rId98" ref="J81"/>
    <hyperlink r:id="rId99" ref="J82"/>
    <hyperlink r:id="rId100" ref="J83"/>
    <hyperlink r:id="rId101" ref="J84"/>
    <hyperlink r:id="rId102" ref="J85"/>
    <hyperlink r:id="rId103" ref="J86"/>
    <hyperlink r:id="rId104" ref="J87"/>
    <hyperlink r:id="rId105" ref="J88"/>
    <hyperlink r:id="rId106" ref="J89"/>
    <hyperlink r:id="rId107" ref="J90"/>
    <hyperlink r:id="rId108" ref="L90"/>
    <hyperlink r:id="rId109" ref="J91"/>
    <hyperlink r:id="rId110" ref="J92"/>
    <hyperlink r:id="rId111" ref="L92"/>
    <hyperlink r:id="rId112" ref="J93"/>
    <hyperlink r:id="rId113" ref="J94"/>
    <hyperlink r:id="rId114" ref="J95"/>
    <hyperlink r:id="rId115" ref="J96"/>
    <hyperlink r:id="rId116" ref="J97"/>
    <hyperlink r:id="rId117" ref="J98"/>
    <hyperlink r:id="rId118" ref="J99"/>
    <hyperlink r:id="rId119" ref="J100"/>
    <hyperlink r:id="rId120" ref="J101"/>
    <hyperlink r:id="rId121" ref="L101"/>
    <hyperlink r:id="rId122" ref="J102"/>
    <hyperlink r:id="rId123" ref="J103"/>
    <hyperlink r:id="rId124" ref="J104"/>
    <hyperlink r:id="rId125" ref="J105"/>
    <hyperlink r:id="rId126" ref="J106"/>
    <hyperlink r:id="rId127" ref="J107"/>
    <hyperlink r:id="rId128" ref="J108"/>
    <hyperlink r:id="rId129" ref="J109"/>
    <hyperlink r:id="rId130" ref="L109"/>
    <hyperlink r:id="rId131" ref="J110"/>
    <hyperlink r:id="rId132" ref="J111"/>
    <hyperlink r:id="rId133" ref="L111"/>
    <hyperlink r:id="rId134" ref="J112"/>
    <hyperlink r:id="rId135" ref="L112"/>
    <hyperlink r:id="rId136" ref="J113"/>
    <hyperlink r:id="rId137" ref="J114"/>
    <hyperlink r:id="rId138" ref="J115"/>
    <hyperlink r:id="rId139" ref="L115"/>
    <hyperlink r:id="rId140" ref="J116"/>
    <hyperlink r:id="rId141" ref="J117"/>
    <hyperlink r:id="rId142" ref="J118"/>
    <hyperlink r:id="rId143" ref="J119"/>
    <hyperlink r:id="rId144" ref="L119"/>
    <hyperlink r:id="rId145" ref="J120"/>
    <hyperlink r:id="rId146" ref="J121"/>
    <hyperlink r:id="rId147" ref="L121"/>
    <hyperlink r:id="rId148" ref="J122"/>
    <hyperlink r:id="rId149" ref="L122"/>
    <hyperlink r:id="rId150" ref="J123"/>
    <hyperlink r:id="rId151" ref="J124"/>
    <hyperlink r:id="rId152" ref="L124"/>
    <hyperlink r:id="rId153" ref="J125"/>
    <hyperlink r:id="rId154" ref="L125"/>
    <hyperlink r:id="rId155" ref="J126"/>
    <hyperlink r:id="rId156" ref="J127"/>
    <hyperlink r:id="rId157" ref="J128"/>
    <hyperlink r:id="rId158" ref="L128"/>
    <hyperlink r:id="rId159" ref="J129"/>
    <hyperlink r:id="rId160" ref="J130"/>
    <hyperlink r:id="rId161" ref="J131"/>
    <hyperlink r:id="rId162" ref="L131"/>
    <hyperlink r:id="rId163" ref="J132"/>
    <hyperlink r:id="rId164" ref="J133"/>
    <hyperlink r:id="rId165" ref="J134"/>
    <hyperlink r:id="rId166" ref="J135"/>
    <hyperlink r:id="rId167" ref="J136"/>
    <hyperlink r:id="rId168" ref="J137"/>
    <hyperlink r:id="rId169" ref="J138"/>
    <hyperlink r:id="rId170" ref="J139"/>
    <hyperlink r:id="rId171" ref="J140"/>
    <hyperlink r:id="rId172" ref="J141"/>
    <hyperlink r:id="rId173" ref="J147"/>
    <hyperlink r:id="rId174" ref="J148"/>
    <hyperlink r:id="rId175" ref="J149"/>
    <hyperlink r:id="rId176" ref="J150"/>
    <hyperlink r:id="rId177" ref="J151"/>
    <hyperlink r:id="rId178" ref="J152"/>
    <hyperlink r:id="rId179" ref="J153"/>
    <hyperlink r:id="rId180" ref="J154"/>
    <hyperlink r:id="rId181" ref="J155"/>
    <hyperlink r:id="rId182" ref="J156"/>
    <hyperlink r:id="rId183" ref="J157"/>
    <hyperlink r:id="rId184" ref="J158"/>
    <hyperlink r:id="rId185" ref="J159"/>
    <hyperlink r:id="rId186" ref="J160"/>
    <hyperlink r:id="rId187" ref="J161"/>
    <hyperlink r:id="rId188" ref="J162"/>
    <hyperlink r:id="rId189" ref="J163"/>
    <hyperlink r:id="rId190" ref="J164"/>
    <hyperlink r:id="rId191" ref="J165"/>
    <hyperlink r:id="rId192" ref="J166"/>
    <hyperlink r:id="rId193" ref="J167"/>
    <hyperlink r:id="rId194" ref="J168"/>
    <hyperlink r:id="rId195" ref="J169"/>
    <hyperlink r:id="rId196" ref="J170"/>
    <hyperlink r:id="rId197" ref="J171"/>
    <hyperlink r:id="rId198" ref="J172"/>
    <hyperlink r:id="rId199" ref="J173"/>
    <hyperlink r:id="rId200" ref="J174"/>
    <hyperlink r:id="rId201" ref="J175"/>
    <hyperlink r:id="rId202" ref="J176"/>
    <hyperlink r:id="rId203" ref="J177"/>
    <hyperlink r:id="rId204" ref="J178"/>
    <hyperlink r:id="rId205" ref="J179"/>
    <hyperlink r:id="rId206" ref="J180"/>
    <hyperlink r:id="rId207" ref="J181"/>
    <hyperlink r:id="rId208" ref="J182"/>
    <hyperlink r:id="rId209" ref="J183"/>
    <hyperlink r:id="rId210" ref="J184"/>
    <hyperlink r:id="rId211" ref="J185"/>
    <hyperlink r:id="rId212" ref="J186"/>
    <hyperlink r:id="rId213" ref="J187"/>
    <hyperlink r:id="rId214" ref="J188"/>
    <hyperlink r:id="rId215" ref="J189"/>
    <hyperlink r:id="rId216" ref="J190"/>
    <hyperlink r:id="rId217" ref="J191"/>
    <hyperlink r:id="rId218" ref="J192"/>
    <hyperlink r:id="rId219" ref="J193"/>
    <hyperlink r:id="rId220" ref="J194"/>
    <hyperlink r:id="rId221" ref="J195"/>
    <hyperlink r:id="rId222" ref="J196"/>
    <hyperlink r:id="rId223" ref="J197"/>
    <hyperlink r:id="rId224" ref="J198"/>
    <hyperlink r:id="rId225" ref="J199"/>
    <hyperlink r:id="rId226" ref="J200"/>
    <hyperlink r:id="rId227" ref="J201"/>
    <hyperlink r:id="rId228" ref="J202"/>
    <hyperlink r:id="rId229" ref="J203"/>
    <hyperlink r:id="rId230" ref="J204"/>
    <hyperlink r:id="rId231" ref="J205"/>
    <hyperlink r:id="rId232" ref="J206"/>
    <hyperlink r:id="rId233" ref="J207"/>
    <hyperlink r:id="rId234" ref="J208"/>
    <hyperlink r:id="rId235" ref="J209"/>
    <hyperlink r:id="rId236" ref="J210"/>
    <hyperlink r:id="rId237" ref="J211"/>
    <hyperlink r:id="rId238" ref="J212"/>
    <hyperlink r:id="rId239" ref="J213"/>
    <hyperlink r:id="rId240" ref="J214"/>
    <hyperlink r:id="rId241" ref="J215"/>
    <hyperlink r:id="rId242" ref="J216"/>
    <hyperlink r:id="rId243" ref="J217"/>
    <hyperlink r:id="rId244" ref="J218"/>
    <hyperlink r:id="rId245" ref="J219"/>
    <hyperlink r:id="rId246" ref="J220"/>
    <hyperlink r:id="rId247" ref="J221"/>
    <hyperlink r:id="rId248" ref="J222"/>
    <hyperlink r:id="rId249" ref="J223"/>
    <hyperlink r:id="rId250" ref="J224"/>
    <hyperlink r:id="rId251" ref="J225"/>
    <hyperlink r:id="rId252" ref="J226"/>
    <hyperlink r:id="rId253" ref="J227"/>
    <hyperlink r:id="rId254" ref="J228"/>
    <hyperlink r:id="rId255" ref="J229"/>
    <hyperlink r:id="rId256" ref="J230"/>
    <hyperlink r:id="rId257" ref="J231"/>
    <hyperlink r:id="rId258" ref="J232"/>
    <hyperlink r:id="rId259" ref="J233"/>
    <hyperlink r:id="rId260" ref="J234"/>
    <hyperlink r:id="rId261" ref="J235"/>
    <hyperlink r:id="rId262" ref="J236"/>
    <hyperlink r:id="rId263" ref="J237"/>
    <hyperlink r:id="rId264" ref="J238"/>
    <hyperlink r:id="rId265" ref="J239"/>
    <hyperlink r:id="rId266" ref="J240"/>
    <hyperlink r:id="rId267" ref="J241"/>
    <hyperlink r:id="rId268" ref="J242"/>
    <hyperlink r:id="rId269" ref="J243"/>
    <hyperlink r:id="rId270" ref="J244"/>
    <hyperlink r:id="rId271" ref="J245"/>
    <hyperlink r:id="rId272" ref="J246"/>
    <hyperlink r:id="rId273" ref="J247"/>
    <hyperlink r:id="rId274" ref="J248"/>
    <hyperlink r:id="rId275" ref="J249"/>
    <hyperlink r:id="rId276" ref="J250"/>
    <hyperlink r:id="rId277" ref="J251"/>
    <hyperlink r:id="rId278" ref="J252"/>
    <hyperlink r:id="rId279" ref="J253"/>
    <hyperlink r:id="rId280" ref="J254"/>
    <hyperlink r:id="rId281" ref="J255"/>
    <hyperlink r:id="rId282" ref="J256"/>
    <hyperlink r:id="rId283" ref="J257"/>
    <hyperlink r:id="rId284" ref="J258"/>
    <hyperlink r:id="rId285" ref="J259"/>
    <hyperlink r:id="rId286" ref="J260"/>
    <hyperlink r:id="rId287" ref="J261"/>
    <hyperlink r:id="rId288" ref="J262"/>
    <hyperlink r:id="rId289" ref="J263"/>
    <hyperlink r:id="rId290" ref="J264"/>
    <hyperlink r:id="rId291" ref="J265"/>
    <hyperlink r:id="rId292" ref="J266"/>
    <hyperlink r:id="rId293" ref="J267"/>
    <hyperlink r:id="rId294" ref="J268"/>
    <hyperlink r:id="rId295" ref="J269"/>
    <hyperlink r:id="rId296" ref="J270"/>
    <hyperlink r:id="rId297" ref="J271"/>
    <hyperlink r:id="rId298" ref="J272"/>
    <hyperlink r:id="rId299" ref="J273"/>
    <hyperlink r:id="rId300" ref="J274"/>
    <hyperlink r:id="rId301" ref="J275"/>
    <hyperlink r:id="rId302" ref="J276"/>
    <hyperlink r:id="rId303" ref="J277"/>
    <hyperlink r:id="rId304" ref="J278"/>
    <hyperlink r:id="rId305" ref="J279"/>
    <hyperlink r:id="rId306" ref="J280"/>
    <hyperlink r:id="rId307" ref="J281"/>
    <hyperlink r:id="rId308" ref="J282"/>
    <hyperlink r:id="rId309" ref="J283"/>
    <hyperlink r:id="rId310" ref="J284"/>
    <hyperlink r:id="rId311" ref="J285"/>
    <hyperlink r:id="rId312" ref="J286"/>
    <hyperlink r:id="rId313" ref="J287"/>
    <hyperlink r:id="rId314" ref="J288"/>
    <hyperlink r:id="rId315" ref="J289"/>
    <hyperlink r:id="rId316" ref="J290"/>
    <hyperlink r:id="rId317" ref="J291"/>
    <hyperlink r:id="rId318" ref="J292"/>
    <hyperlink r:id="rId319" ref="J293"/>
    <hyperlink r:id="rId320" ref="J294"/>
    <hyperlink r:id="rId321" ref="J295"/>
    <hyperlink r:id="rId322" ref="J296"/>
    <hyperlink r:id="rId323" ref="J297"/>
    <hyperlink r:id="rId324" ref="J298"/>
    <hyperlink r:id="rId325" ref="J299"/>
    <hyperlink r:id="rId326" ref="J300"/>
    <hyperlink r:id="rId327" ref="J301"/>
    <hyperlink r:id="rId328" ref="J302"/>
    <hyperlink r:id="rId329" ref="J303"/>
    <hyperlink r:id="rId330" ref="J304"/>
    <hyperlink r:id="rId331" ref="J305"/>
    <hyperlink r:id="rId332" ref="J306"/>
    <hyperlink r:id="rId333" ref="J307"/>
  </hyperlinks>
  <drawing r:id="rId33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152" t="s">
        <v>75</v>
      </c>
      <c r="D2" s="153" t="s">
        <v>76</v>
      </c>
      <c r="E2" s="153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60" si="1">COUNTA($I$3:$I3)</f>
        <v>1</v>
      </c>
      <c r="B3" s="212" t="s">
        <v>39</v>
      </c>
      <c r="C3" s="212" t="s">
        <v>39</v>
      </c>
      <c r="D3" s="212" t="s">
        <v>92</v>
      </c>
      <c r="E3" s="212" t="s">
        <v>92</v>
      </c>
      <c r="F3" s="212" t="s">
        <v>1370</v>
      </c>
      <c r="G3" s="213" t="s">
        <v>92</v>
      </c>
      <c r="H3" s="213" t="s">
        <v>1371</v>
      </c>
      <c r="I3" s="213" t="s">
        <v>1372</v>
      </c>
      <c r="J3" s="214" t="s">
        <v>39</v>
      </c>
      <c r="K3" s="215" t="s">
        <v>34</v>
      </c>
      <c r="L3" s="253" t="s">
        <v>1373</v>
      </c>
      <c r="M3" s="217" t="s">
        <v>1374</v>
      </c>
      <c r="N3" s="217"/>
      <c r="O3" s="210"/>
    </row>
    <row r="4">
      <c r="A4" s="212">
        <f t="shared" si="1"/>
        <v>2</v>
      </c>
      <c r="B4" s="212" t="s">
        <v>39</v>
      </c>
      <c r="C4" s="225" t="s">
        <v>135</v>
      </c>
      <c r="D4" s="212" t="s">
        <v>92</v>
      </c>
      <c r="E4" s="212" t="s">
        <v>92</v>
      </c>
      <c r="F4" s="212" t="s">
        <v>613</v>
      </c>
      <c r="G4" s="217" t="s">
        <v>92</v>
      </c>
      <c r="H4" s="213" t="s">
        <v>1375</v>
      </c>
      <c r="I4" s="213" t="s">
        <v>1376</v>
      </c>
      <c r="J4" s="214" t="s">
        <v>135</v>
      </c>
      <c r="K4" s="215"/>
      <c r="L4" s="216"/>
      <c r="M4" s="216"/>
      <c r="N4" s="217"/>
      <c r="O4" s="210"/>
    </row>
    <row r="5">
      <c r="A5" s="212">
        <f t="shared" si="1"/>
        <v>3</v>
      </c>
      <c r="B5" s="212" t="s">
        <v>39</v>
      </c>
      <c r="C5" s="220"/>
      <c r="D5" s="212" t="s">
        <v>1377</v>
      </c>
      <c r="E5" s="212" t="s">
        <v>92</v>
      </c>
      <c r="F5" s="212" t="s">
        <v>1378</v>
      </c>
      <c r="G5" s="217" t="s">
        <v>92</v>
      </c>
      <c r="H5" s="213" t="s">
        <v>1379</v>
      </c>
      <c r="I5" s="213" t="s">
        <v>1380</v>
      </c>
      <c r="J5" s="214" t="s">
        <v>135</v>
      </c>
      <c r="K5" s="215"/>
      <c r="L5" s="216"/>
      <c r="M5" s="216"/>
      <c r="N5" s="217"/>
      <c r="O5" s="210"/>
    </row>
    <row r="6">
      <c r="A6" s="212">
        <f t="shared" si="1"/>
        <v>4</v>
      </c>
      <c r="B6" s="212" t="s">
        <v>39</v>
      </c>
      <c r="C6" s="220"/>
      <c r="D6" s="225" t="s">
        <v>1381</v>
      </c>
      <c r="E6" s="212" t="s">
        <v>92</v>
      </c>
      <c r="F6" s="225" t="s">
        <v>1382</v>
      </c>
      <c r="G6" s="217" t="s">
        <v>1383</v>
      </c>
      <c r="H6" s="213" t="s">
        <v>1384</v>
      </c>
      <c r="I6" s="217" t="s">
        <v>1385</v>
      </c>
      <c r="J6" s="214" t="s">
        <v>135</v>
      </c>
      <c r="K6" s="215"/>
      <c r="L6" s="224"/>
      <c r="M6" s="224"/>
      <c r="N6" s="217"/>
      <c r="O6" s="210"/>
    </row>
    <row r="7">
      <c r="A7" s="212">
        <f t="shared" si="1"/>
        <v>5</v>
      </c>
      <c r="B7" s="212" t="s">
        <v>39</v>
      </c>
      <c r="C7" s="220"/>
      <c r="D7" s="220"/>
      <c r="E7" s="212" t="s">
        <v>92</v>
      </c>
      <c r="F7" s="220"/>
      <c r="G7" s="217" t="s">
        <v>1386</v>
      </c>
      <c r="H7" s="213" t="s">
        <v>1384</v>
      </c>
      <c r="I7" s="217" t="s">
        <v>1387</v>
      </c>
      <c r="J7" s="214" t="s">
        <v>135</v>
      </c>
      <c r="K7" s="215"/>
      <c r="L7" s="226"/>
      <c r="M7" s="224"/>
      <c r="N7" s="217"/>
      <c r="O7" s="210"/>
    </row>
    <row r="8">
      <c r="A8" s="212">
        <f t="shared" si="1"/>
        <v>6</v>
      </c>
      <c r="B8" s="212" t="s">
        <v>39</v>
      </c>
      <c r="C8" s="220"/>
      <c r="D8" s="220"/>
      <c r="E8" s="212" t="s">
        <v>92</v>
      </c>
      <c r="F8" s="220"/>
      <c r="G8" s="217" t="s">
        <v>1383</v>
      </c>
      <c r="H8" s="213" t="s">
        <v>1388</v>
      </c>
      <c r="I8" s="217" t="s">
        <v>1385</v>
      </c>
      <c r="J8" s="214" t="s">
        <v>135</v>
      </c>
      <c r="K8" s="215"/>
      <c r="L8" s="226"/>
      <c r="M8" s="224"/>
      <c r="N8" s="217"/>
      <c r="O8" s="210"/>
    </row>
    <row r="9">
      <c r="A9" s="212">
        <f t="shared" si="1"/>
        <v>7</v>
      </c>
      <c r="B9" s="212" t="s">
        <v>39</v>
      </c>
      <c r="C9" s="220"/>
      <c r="D9" s="39"/>
      <c r="E9" s="212" t="s">
        <v>92</v>
      </c>
      <c r="F9" s="39"/>
      <c r="G9" s="217" t="s">
        <v>1386</v>
      </c>
      <c r="H9" s="213" t="s">
        <v>1389</v>
      </c>
      <c r="I9" s="217" t="s">
        <v>1390</v>
      </c>
      <c r="J9" s="214" t="s">
        <v>135</v>
      </c>
      <c r="K9" s="215"/>
      <c r="L9" s="224"/>
      <c r="M9" s="224"/>
      <c r="N9" s="217"/>
      <c r="O9" s="210"/>
    </row>
    <row r="10">
      <c r="A10" s="212">
        <f t="shared" si="1"/>
        <v>8</v>
      </c>
      <c r="B10" s="212" t="s">
        <v>39</v>
      </c>
      <c r="C10" s="220"/>
      <c r="D10" s="225" t="s">
        <v>1391</v>
      </c>
      <c r="E10" s="212" t="s">
        <v>92</v>
      </c>
      <c r="F10" s="225" t="s">
        <v>613</v>
      </c>
      <c r="G10" s="217" t="s">
        <v>1383</v>
      </c>
      <c r="H10" s="213" t="s">
        <v>1392</v>
      </c>
      <c r="I10" s="217" t="s">
        <v>1393</v>
      </c>
      <c r="J10" s="214" t="s">
        <v>135</v>
      </c>
      <c r="K10" s="215"/>
      <c r="L10" s="224"/>
      <c r="M10" s="224"/>
      <c r="N10" s="217"/>
      <c r="O10" s="210"/>
    </row>
    <row r="11">
      <c r="A11" s="212">
        <f t="shared" si="1"/>
        <v>9</v>
      </c>
      <c r="B11" s="212" t="s">
        <v>39</v>
      </c>
      <c r="C11" s="220"/>
      <c r="D11" s="220"/>
      <c r="E11" s="212" t="s">
        <v>92</v>
      </c>
      <c r="F11" s="39"/>
      <c r="G11" s="249" t="s">
        <v>1386</v>
      </c>
      <c r="H11" s="213" t="s">
        <v>1392</v>
      </c>
      <c r="I11" s="227" t="s">
        <v>1394</v>
      </c>
      <c r="J11" s="214" t="s">
        <v>135</v>
      </c>
      <c r="K11" s="215"/>
      <c r="L11" s="224"/>
      <c r="M11" s="224"/>
      <c r="N11" s="217"/>
      <c r="O11" s="210"/>
    </row>
    <row r="12">
      <c r="A12" s="212">
        <f t="shared" si="1"/>
        <v>10</v>
      </c>
      <c r="B12" s="212" t="s">
        <v>39</v>
      </c>
      <c r="C12" s="39"/>
      <c r="D12" s="39"/>
      <c r="E12" s="212" t="s">
        <v>92</v>
      </c>
      <c r="F12" s="212" t="s">
        <v>1395</v>
      </c>
      <c r="G12" s="39"/>
      <c r="H12" s="213" t="s">
        <v>1396</v>
      </c>
      <c r="I12" s="227" t="s">
        <v>1397</v>
      </c>
      <c r="J12" s="214" t="s">
        <v>135</v>
      </c>
      <c r="K12" s="215"/>
      <c r="L12" s="224"/>
      <c r="M12" s="224"/>
      <c r="N12" s="217"/>
      <c r="O12" s="210"/>
    </row>
    <row r="13">
      <c r="A13" s="212">
        <f t="shared" si="1"/>
        <v>11</v>
      </c>
      <c r="B13" s="212" t="s">
        <v>39</v>
      </c>
      <c r="C13" s="225" t="s">
        <v>140</v>
      </c>
      <c r="D13" s="212" t="s">
        <v>92</v>
      </c>
      <c r="E13" s="212" t="s">
        <v>92</v>
      </c>
      <c r="F13" s="212" t="s">
        <v>613</v>
      </c>
      <c r="G13" s="217" t="s">
        <v>92</v>
      </c>
      <c r="H13" s="213" t="s">
        <v>1398</v>
      </c>
      <c r="I13" s="213" t="s">
        <v>1399</v>
      </c>
      <c r="J13" s="214" t="s">
        <v>140</v>
      </c>
      <c r="K13" s="215" t="s">
        <v>33</v>
      </c>
      <c r="L13" s="240" t="s">
        <v>1400</v>
      </c>
      <c r="M13" s="227" t="s">
        <v>1401</v>
      </c>
      <c r="N13" s="217"/>
      <c r="O13" s="210"/>
    </row>
    <row r="14">
      <c r="A14" s="212">
        <f t="shared" si="1"/>
        <v>12</v>
      </c>
      <c r="B14" s="212" t="s">
        <v>39</v>
      </c>
      <c r="C14" s="220"/>
      <c r="D14" s="212" t="s">
        <v>1377</v>
      </c>
      <c r="E14" s="212" t="s">
        <v>92</v>
      </c>
      <c r="F14" s="212" t="s">
        <v>1378</v>
      </c>
      <c r="G14" s="217" t="s">
        <v>92</v>
      </c>
      <c r="H14" s="213" t="s">
        <v>1379</v>
      </c>
      <c r="I14" s="213" t="s">
        <v>1402</v>
      </c>
      <c r="J14" s="214" t="s">
        <v>140</v>
      </c>
      <c r="K14" s="215" t="s">
        <v>33</v>
      </c>
      <c r="L14" s="224"/>
      <c r="M14" s="224"/>
      <c r="N14" s="217"/>
      <c r="O14" s="210"/>
    </row>
    <row r="15">
      <c r="A15" s="212">
        <f t="shared" si="1"/>
        <v>13</v>
      </c>
      <c r="B15" s="212" t="s">
        <v>39</v>
      </c>
      <c r="C15" s="220"/>
      <c r="D15" s="225" t="s">
        <v>1381</v>
      </c>
      <c r="E15" s="212" t="s">
        <v>92</v>
      </c>
      <c r="F15" s="225" t="s">
        <v>1382</v>
      </c>
      <c r="G15" s="217" t="s">
        <v>1383</v>
      </c>
      <c r="H15" s="213" t="s">
        <v>1384</v>
      </c>
      <c r="I15" s="217" t="s">
        <v>1385</v>
      </c>
      <c r="J15" s="214" t="s">
        <v>140</v>
      </c>
      <c r="K15" s="215" t="s">
        <v>33</v>
      </c>
      <c r="L15" s="240" t="s">
        <v>1400</v>
      </c>
      <c r="M15" s="227" t="s">
        <v>1403</v>
      </c>
      <c r="N15" s="217"/>
      <c r="O15" s="210"/>
    </row>
    <row r="16">
      <c r="A16" s="212">
        <f t="shared" si="1"/>
        <v>14</v>
      </c>
      <c r="B16" s="212" t="s">
        <v>39</v>
      </c>
      <c r="C16" s="220"/>
      <c r="D16" s="220"/>
      <c r="E16" s="212" t="s">
        <v>92</v>
      </c>
      <c r="F16" s="220"/>
      <c r="G16" s="217" t="s">
        <v>1386</v>
      </c>
      <c r="H16" s="213" t="s">
        <v>1384</v>
      </c>
      <c r="I16" s="217" t="s">
        <v>1387</v>
      </c>
      <c r="J16" s="214" t="s">
        <v>140</v>
      </c>
      <c r="K16" s="215" t="s">
        <v>33</v>
      </c>
      <c r="L16" s="224"/>
      <c r="M16" s="224"/>
      <c r="N16" s="217"/>
      <c r="O16" s="210"/>
    </row>
    <row r="17">
      <c r="A17" s="212">
        <f t="shared" si="1"/>
        <v>15</v>
      </c>
      <c r="B17" s="212" t="s">
        <v>39</v>
      </c>
      <c r="C17" s="220"/>
      <c r="D17" s="220"/>
      <c r="E17" s="212" t="s">
        <v>92</v>
      </c>
      <c r="F17" s="220"/>
      <c r="G17" s="217" t="s">
        <v>1383</v>
      </c>
      <c r="H17" s="213" t="s">
        <v>1388</v>
      </c>
      <c r="I17" s="217" t="s">
        <v>1385</v>
      </c>
      <c r="J17" s="214" t="s">
        <v>140</v>
      </c>
      <c r="K17" s="215" t="s">
        <v>33</v>
      </c>
      <c r="L17" s="224"/>
      <c r="M17" s="224"/>
      <c r="N17" s="217"/>
      <c r="O17" s="210"/>
    </row>
    <row r="18">
      <c r="A18" s="212">
        <f t="shared" si="1"/>
        <v>16</v>
      </c>
      <c r="B18" s="212" t="s">
        <v>39</v>
      </c>
      <c r="C18" s="220"/>
      <c r="D18" s="39"/>
      <c r="E18" s="212" t="s">
        <v>92</v>
      </c>
      <c r="F18" s="39"/>
      <c r="G18" s="217" t="s">
        <v>1386</v>
      </c>
      <c r="H18" s="213" t="s">
        <v>1389</v>
      </c>
      <c r="I18" s="217" t="s">
        <v>1390</v>
      </c>
      <c r="J18" s="214" t="s">
        <v>140</v>
      </c>
      <c r="K18" s="215" t="s">
        <v>33</v>
      </c>
      <c r="L18" s="224"/>
      <c r="M18" s="224"/>
      <c r="N18" s="217"/>
      <c r="O18" s="210"/>
    </row>
    <row r="19">
      <c r="A19" s="212">
        <f t="shared" si="1"/>
        <v>17</v>
      </c>
      <c r="B19" s="212" t="s">
        <v>39</v>
      </c>
      <c r="C19" s="220"/>
      <c r="D19" s="225" t="s">
        <v>1391</v>
      </c>
      <c r="E19" s="212" t="s">
        <v>92</v>
      </c>
      <c r="F19" s="225" t="s">
        <v>613</v>
      </c>
      <c r="G19" s="217" t="s">
        <v>1383</v>
      </c>
      <c r="H19" s="213" t="s">
        <v>1392</v>
      </c>
      <c r="I19" s="217" t="s">
        <v>1393</v>
      </c>
      <c r="J19" s="214" t="s">
        <v>140</v>
      </c>
      <c r="K19" s="215" t="s">
        <v>35</v>
      </c>
      <c r="L19" s="224"/>
      <c r="M19" s="227" t="s">
        <v>1404</v>
      </c>
      <c r="N19" s="217"/>
      <c r="O19" s="210"/>
    </row>
    <row r="20">
      <c r="A20" s="212">
        <f t="shared" si="1"/>
        <v>18</v>
      </c>
      <c r="B20" s="212" t="s">
        <v>39</v>
      </c>
      <c r="C20" s="220"/>
      <c r="D20" s="220"/>
      <c r="E20" s="212" t="s">
        <v>92</v>
      </c>
      <c r="F20" s="39"/>
      <c r="G20" s="249" t="s">
        <v>1386</v>
      </c>
      <c r="H20" s="213" t="s">
        <v>1392</v>
      </c>
      <c r="I20" s="227" t="s">
        <v>1405</v>
      </c>
      <c r="J20" s="214" t="s">
        <v>140</v>
      </c>
      <c r="K20" s="215" t="s">
        <v>33</v>
      </c>
      <c r="L20" s="224"/>
      <c r="M20" s="224"/>
      <c r="N20" s="217"/>
      <c r="O20" s="210"/>
    </row>
    <row r="21">
      <c r="A21" s="212">
        <f t="shared" si="1"/>
        <v>19</v>
      </c>
      <c r="B21" s="212" t="s">
        <v>39</v>
      </c>
      <c r="C21" s="39"/>
      <c r="D21" s="39"/>
      <c r="E21" s="212" t="s">
        <v>92</v>
      </c>
      <c r="F21" s="212" t="s">
        <v>1395</v>
      </c>
      <c r="G21" s="39"/>
      <c r="H21" s="213" t="s">
        <v>1396</v>
      </c>
      <c r="I21" s="227" t="s">
        <v>1397</v>
      </c>
      <c r="J21" s="214" t="s">
        <v>140</v>
      </c>
      <c r="K21" s="215" t="s">
        <v>33</v>
      </c>
      <c r="L21" s="224"/>
      <c r="M21" s="224"/>
      <c r="N21" s="217"/>
      <c r="O21" s="210"/>
    </row>
    <row r="22">
      <c r="A22" s="212">
        <f t="shared" si="1"/>
        <v>20</v>
      </c>
      <c r="B22" s="212" t="s">
        <v>39</v>
      </c>
      <c r="C22" s="225" t="s">
        <v>142</v>
      </c>
      <c r="D22" s="212" t="s">
        <v>92</v>
      </c>
      <c r="E22" s="212" t="s">
        <v>92</v>
      </c>
      <c r="F22" s="212" t="s">
        <v>613</v>
      </c>
      <c r="G22" s="217" t="s">
        <v>92</v>
      </c>
      <c r="H22" s="213" t="s">
        <v>1406</v>
      </c>
      <c r="I22" s="213" t="s">
        <v>1407</v>
      </c>
      <c r="J22" s="214" t="s">
        <v>142</v>
      </c>
      <c r="K22" s="215" t="s">
        <v>33</v>
      </c>
      <c r="L22" s="224"/>
      <c r="M22" s="224"/>
      <c r="N22" s="217"/>
      <c r="O22" s="210"/>
    </row>
    <row r="23">
      <c r="A23" s="212">
        <f t="shared" si="1"/>
        <v>21</v>
      </c>
      <c r="B23" s="212" t="s">
        <v>39</v>
      </c>
      <c r="C23" s="220"/>
      <c r="D23" s="212" t="s">
        <v>92</v>
      </c>
      <c r="E23" s="212" t="s">
        <v>92</v>
      </c>
      <c r="F23" s="212" t="s">
        <v>1378</v>
      </c>
      <c r="G23" s="217" t="s">
        <v>92</v>
      </c>
      <c r="H23" s="213" t="s">
        <v>1379</v>
      </c>
      <c r="I23" s="213" t="s">
        <v>1408</v>
      </c>
      <c r="J23" s="214" t="s">
        <v>142</v>
      </c>
      <c r="K23" s="215" t="s">
        <v>33</v>
      </c>
      <c r="L23" s="240" t="s">
        <v>1409</v>
      </c>
      <c r="M23" s="227" t="s">
        <v>1410</v>
      </c>
      <c r="N23" s="217"/>
      <c r="O23" s="210"/>
    </row>
    <row r="24">
      <c r="A24" s="212">
        <f t="shared" si="1"/>
        <v>22</v>
      </c>
      <c r="B24" s="212" t="s">
        <v>39</v>
      </c>
      <c r="C24" s="220"/>
      <c r="D24" s="225" t="s">
        <v>1411</v>
      </c>
      <c r="E24" s="212" t="s">
        <v>92</v>
      </c>
      <c r="F24" s="212" t="s">
        <v>613</v>
      </c>
      <c r="G24" s="217" t="s">
        <v>92</v>
      </c>
      <c r="H24" s="213" t="s">
        <v>1412</v>
      </c>
      <c r="I24" s="227" t="s">
        <v>1413</v>
      </c>
      <c r="J24" s="214" t="s">
        <v>142</v>
      </c>
      <c r="K24" s="215" t="s">
        <v>33</v>
      </c>
      <c r="L24" s="224"/>
      <c r="M24" s="224"/>
      <c r="N24" s="217"/>
      <c r="O24" s="210"/>
    </row>
    <row r="25">
      <c r="A25" s="212">
        <f t="shared" si="1"/>
        <v>23</v>
      </c>
      <c r="B25" s="212" t="s">
        <v>39</v>
      </c>
      <c r="C25" s="220"/>
      <c r="D25" s="220"/>
      <c r="E25" s="212" t="s">
        <v>92</v>
      </c>
      <c r="F25" s="212" t="s">
        <v>1378</v>
      </c>
      <c r="G25" s="217" t="s">
        <v>92</v>
      </c>
      <c r="H25" s="213" t="s">
        <v>1379</v>
      </c>
      <c r="I25" s="227" t="s">
        <v>1414</v>
      </c>
      <c r="J25" s="214" t="s">
        <v>142</v>
      </c>
      <c r="K25" s="215" t="s">
        <v>33</v>
      </c>
      <c r="L25" s="224"/>
      <c r="M25" s="224"/>
      <c r="N25" s="217"/>
      <c r="O25" s="210"/>
    </row>
    <row r="26">
      <c r="A26" s="212">
        <f t="shared" si="1"/>
        <v>24</v>
      </c>
      <c r="B26" s="212" t="s">
        <v>39</v>
      </c>
      <c r="C26" s="220"/>
      <c r="D26" s="220"/>
      <c r="E26" s="212" t="s">
        <v>92</v>
      </c>
      <c r="F26" s="225" t="s">
        <v>1415</v>
      </c>
      <c r="G26" s="227" t="s">
        <v>92</v>
      </c>
      <c r="H26" s="213" t="s">
        <v>1416</v>
      </c>
      <c r="I26" s="227" t="s">
        <v>1417</v>
      </c>
      <c r="J26" s="214" t="s">
        <v>142</v>
      </c>
      <c r="K26" s="215" t="s">
        <v>33</v>
      </c>
      <c r="L26" s="224"/>
      <c r="M26" s="224"/>
      <c r="N26" s="217"/>
      <c r="O26" s="210"/>
    </row>
    <row r="27">
      <c r="A27" s="212">
        <f t="shared" si="1"/>
        <v>25</v>
      </c>
      <c r="B27" s="212" t="s">
        <v>39</v>
      </c>
      <c r="C27" s="220"/>
      <c r="D27" s="220"/>
      <c r="E27" s="212" t="s">
        <v>92</v>
      </c>
      <c r="F27" s="220"/>
      <c r="G27" s="227" t="s">
        <v>92</v>
      </c>
      <c r="H27" s="213" t="s">
        <v>1418</v>
      </c>
      <c r="I27" s="227" t="s">
        <v>1419</v>
      </c>
      <c r="J27" s="214" t="s">
        <v>142</v>
      </c>
      <c r="K27" s="215" t="s">
        <v>33</v>
      </c>
      <c r="L27" s="224"/>
      <c r="M27" s="224"/>
      <c r="N27" s="217"/>
      <c r="O27" s="210"/>
    </row>
    <row r="28">
      <c r="A28" s="212">
        <f t="shared" si="1"/>
        <v>26</v>
      </c>
      <c r="B28" s="212" t="s">
        <v>39</v>
      </c>
      <c r="C28" s="220"/>
      <c r="D28" s="220"/>
      <c r="E28" s="212" t="s">
        <v>92</v>
      </c>
      <c r="F28" s="39"/>
      <c r="G28" s="227" t="s">
        <v>92</v>
      </c>
      <c r="H28" s="213" t="s">
        <v>1420</v>
      </c>
      <c r="I28" s="227" t="s">
        <v>1419</v>
      </c>
      <c r="J28" s="214" t="s">
        <v>142</v>
      </c>
      <c r="K28" s="215" t="s">
        <v>33</v>
      </c>
      <c r="L28" s="224"/>
      <c r="M28" s="224"/>
      <c r="N28" s="217"/>
      <c r="O28" s="210"/>
    </row>
    <row r="29">
      <c r="A29" s="212">
        <f t="shared" si="1"/>
        <v>27</v>
      </c>
      <c r="B29" s="212" t="s">
        <v>39</v>
      </c>
      <c r="C29" s="220"/>
      <c r="D29" s="220"/>
      <c r="E29" s="212" t="s">
        <v>92</v>
      </c>
      <c r="F29" s="225" t="s">
        <v>1421</v>
      </c>
      <c r="G29" s="227" t="s">
        <v>92</v>
      </c>
      <c r="H29" s="213" t="s">
        <v>1422</v>
      </c>
      <c r="I29" s="227" t="s">
        <v>1423</v>
      </c>
      <c r="J29" s="214" t="s">
        <v>142</v>
      </c>
      <c r="K29" s="215" t="s">
        <v>33</v>
      </c>
      <c r="L29" s="224"/>
      <c r="M29" s="224"/>
      <c r="N29" s="217"/>
      <c r="O29" s="210"/>
    </row>
    <row r="30">
      <c r="A30" s="212">
        <f t="shared" si="1"/>
        <v>28</v>
      </c>
      <c r="B30" s="212" t="s">
        <v>39</v>
      </c>
      <c r="C30" s="220"/>
      <c r="D30" s="220"/>
      <c r="E30" s="212" t="s">
        <v>92</v>
      </c>
      <c r="F30" s="220"/>
      <c r="G30" s="227" t="s">
        <v>92</v>
      </c>
      <c r="H30" s="213" t="s">
        <v>1418</v>
      </c>
      <c r="I30" s="227" t="s">
        <v>1424</v>
      </c>
      <c r="J30" s="214" t="s">
        <v>142</v>
      </c>
      <c r="K30" s="215" t="s">
        <v>33</v>
      </c>
      <c r="L30" s="224"/>
      <c r="M30" s="224"/>
      <c r="N30" s="217"/>
      <c r="O30" s="210"/>
    </row>
    <row r="31">
      <c r="A31" s="212">
        <f t="shared" si="1"/>
        <v>29</v>
      </c>
      <c r="B31" s="212" t="s">
        <v>39</v>
      </c>
      <c r="C31" s="220"/>
      <c r="D31" s="220"/>
      <c r="E31" s="212" t="s">
        <v>92</v>
      </c>
      <c r="F31" s="39"/>
      <c r="G31" s="227" t="s">
        <v>92</v>
      </c>
      <c r="H31" s="213" t="s">
        <v>1420</v>
      </c>
      <c r="I31" s="227" t="s">
        <v>1425</v>
      </c>
      <c r="J31" s="214" t="s">
        <v>142</v>
      </c>
      <c r="K31" s="215" t="s">
        <v>33</v>
      </c>
      <c r="L31" s="224"/>
      <c r="M31" s="224"/>
      <c r="N31" s="217"/>
      <c r="O31" s="210"/>
    </row>
    <row r="32">
      <c r="A32" s="212">
        <f t="shared" si="1"/>
        <v>30</v>
      </c>
      <c r="B32" s="212" t="s">
        <v>39</v>
      </c>
      <c r="C32" s="220"/>
      <c r="D32" s="220"/>
      <c r="E32" s="212" t="s">
        <v>92</v>
      </c>
      <c r="F32" s="225" t="s">
        <v>1426</v>
      </c>
      <c r="G32" s="227" t="s">
        <v>1427</v>
      </c>
      <c r="H32" s="213" t="s">
        <v>1428</v>
      </c>
      <c r="I32" s="227" t="s">
        <v>1429</v>
      </c>
      <c r="J32" s="214" t="s">
        <v>142</v>
      </c>
      <c r="K32" s="215" t="s">
        <v>35</v>
      </c>
      <c r="L32" s="224"/>
      <c r="M32" s="227" t="s">
        <v>1430</v>
      </c>
      <c r="N32" s="217"/>
      <c r="O32" s="210"/>
    </row>
    <row r="33">
      <c r="A33" s="212">
        <f t="shared" si="1"/>
        <v>31</v>
      </c>
      <c r="B33" s="212" t="s">
        <v>39</v>
      </c>
      <c r="C33" s="220"/>
      <c r="D33" s="220"/>
      <c r="E33" s="212" t="s">
        <v>92</v>
      </c>
      <c r="F33" s="220"/>
      <c r="G33" s="227" t="s">
        <v>1431</v>
      </c>
      <c r="H33" s="213" t="s">
        <v>1428</v>
      </c>
      <c r="I33" s="227" t="s">
        <v>1432</v>
      </c>
      <c r="J33" s="214" t="s">
        <v>142</v>
      </c>
      <c r="K33" s="215" t="s">
        <v>35</v>
      </c>
      <c r="L33" s="224"/>
      <c r="M33" s="227" t="s">
        <v>1430</v>
      </c>
      <c r="N33" s="217"/>
      <c r="O33" s="210"/>
    </row>
    <row r="34">
      <c r="A34" s="212">
        <f t="shared" si="1"/>
        <v>32</v>
      </c>
      <c r="B34" s="212" t="s">
        <v>39</v>
      </c>
      <c r="C34" s="220"/>
      <c r="D34" s="220"/>
      <c r="E34" s="212" t="s">
        <v>92</v>
      </c>
      <c r="F34" s="220"/>
      <c r="G34" s="227" t="s">
        <v>1433</v>
      </c>
      <c r="H34" s="213" t="s">
        <v>1428</v>
      </c>
      <c r="I34" s="227" t="s">
        <v>1429</v>
      </c>
      <c r="J34" s="214" t="s">
        <v>142</v>
      </c>
      <c r="K34" s="215" t="s">
        <v>35</v>
      </c>
      <c r="L34" s="224"/>
      <c r="M34" s="227" t="s">
        <v>1430</v>
      </c>
      <c r="N34" s="217"/>
      <c r="O34" s="210"/>
    </row>
    <row r="35">
      <c r="A35" s="212">
        <f t="shared" si="1"/>
        <v>33</v>
      </c>
      <c r="B35" s="212" t="s">
        <v>39</v>
      </c>
      <c r="C35" s="220"/>
      <c r="D35" s="39"/>
      <c r="E35" s="212" t="s">
        <v>92</v>
      </c>
      <c r="F35" s="39"/>
      <c r="G35" s="227" t="s">
        <v>1434</v>
      </c>
      <c r="H35" s="213" t="s">
        <v>1428</v>
      </c>
      <c r="I35" s="227" t="s">
        <v>1435</v>
      </c>
      <c r="J35" s="214" t="s">
        <v>142</v>
      </c>
      <c r="K35" s="215" t="s">
        <v>35</v>
      </c>
      <c r="L35" s="224"/>
      <c r="M35" s="227" t="s">
        <v>1430</v>
      </c>
      <c r="N35" s="217"/>
      <c r="O35" s="210"/>
    </row>
    <row r="36">
      <c r="A36" s="212">
        <f t="shared" si="1"/>
        <v>34</v>
      </c>
      <c r="B36" s="212" t="s">
        <v>39</v>
      </c>
      <c r="C36" s="225" t="s">
        <v>142</v>
      </c>
      <c r="D36" s="225" t="s">
        <v>1436</v>
      </c>
      <c r="E36" s="212" t="s">
        <v>92</v>
      </c>
      <c r="F36" s="212" t="s">
        <v>613</v>
      </c>
      <c r="G36" s="227" t="s">
        <v>92</v>
      </c>
      <c r="H36" s="213" t="s">
        <v>1437</v>
      </c>
      <c r="I36" s="227" t="s">
        <v>1438</v>
      </c>
      <c r="J36" s="214" t="s">
        <v>142</v>
      </c>
      <c r="K36" s="215" t="s">
        <v>33</v>
      </c>
      <c r="L36" s="224"/>
      <c r="M36" s="224"/>
      <c r="N36" s="217"/>
      <c r="O36" s="210"/>
    </row>
    <row r="37">
      <c r="A37" s="212">
        <f t="shared" si="1"/>
        <v>35</v>
      </c>
      <c r="B37" s="212" t="s">
        <v>39</v>
      </c>
      <c r="C37" s="220"/>
      <c r="D37" s="220"/>
      <c r="E37" s="212" t="s">
        <v>92</v>
      </c>
      <c r="F37" s="225" t="s">
        <v>1439</v>
      </c>
      <c r="G37" s="227" t="s">
        <v>92</v>
      </c>
      <c r="H37" s="213" t="s">
        <v>1440</v>
      </c>
      <c r="I37" s="227" t="s">
        <v>1441</v>
      </c>
      <c r="J37" s="214" t="s">
        <v>142</v>
      </c>
      <c r="K37" s="215" t="s">
        <v>33</v>
      </c>
      <c r="L37" s="224"/>
      <c r="M37" s="224"/>
      <c r="N37" s="217"/>
      <c r="O37" s="210"/>
    </row>
    <row r="38">
      <c r="A38" s="212">
        <f t="shared" si="1"/>
        <v>36</v>
      </c>
      <c r="B38" s="212" t="s">
        <v>39</v>
      </c>
      <c r="C38" s="220"/>
      <c r="D38" s="220"/>
      <c r="E38" s="212"/>
      <c r="F38" s="220"/>
      <c r="G38" s="227" t="s">
        <v>1442</v>
      </c>
      <c r="H38" s="213" t="s">
        <v>1443</v>
      </c>
      <c r="I38" s="227" t="s">
        <v>1444</v>
      </c>
      <c r="J38" s="214" t="s">
        <v>142</v>
      </c>
      <c r="K38" s="215" t="s">
        <v>33</v>
      </c>
      <c r="L38" s="224"/>
      <c r="M38" s="224"/>
      <c r="N38" s="217"/>
      <c r="O38" s="210"/>
    </row>
    <row r="39">
      <c r="A39" s="212">
        <f t="shared" si="1"/>
        <v>37</v>
      </c>
      <c r="B39" s="212" t="s">
        <v>39</v>
      </c>
      <c r="C39" s="220"/>
      <c r="D39" s="220"/>
      <c r="E39" s="212" t="s">
        <v>92</v>
      </c>
      <c r="F39" s="220"/>
      <c r="G39" s="254" t="s">
        <v>1445</v>
      </c>
      <c r="H39" s="213" t="s">
        <v>1443</v>
      </c>
      <c r="I39" s="227" t="s">
        <v>1446</v>
      </c>
      <c r="J39" s="214" t="s">
        <v>142</v>
      </c>
      <c r="K39" s="215" t="s">
        <v>33</v>
      </c>
      <c r="L39" s="224"/>
      <c r="M39" s="224"/>
      <c r="N39" s="217"/>
      <c r="O39" s="210"/>
    </row>
    <row r="40">
      <c r="A40" s="212">
        <f t="shared" si="1"/>
        <v>38</v>
      </c>
      <c r="B40" s="212" t="s">
        <v>39</v>
      </c>
      <c r="C40" s="220"/>
      <c r="D40" s="220"/>
      <c r="E40" s="212" t="s">
        <v>92</v>
      </c>
      <c r="F40" s="220"/>
      <c r="G40" s="220"/>
      <c r="H40" s="213" t="s">
        <v>1447</v>
      </c>
      <c r="I40" s="227" t="s">
        <v>1448</v>
      </c>
      <c r="J40" s="214" t="s">
        <v>142</v>
      </c>
      <c r="K40" s="215" t="s">
        <v>33</v>
      </c>
      <c r="L40" s="224"/>
      <c r="M40" s="224"/>
      <c r="N40" s="217"/>
      <c r="O40" s="210"/>
    </row>
    <row r="41">
      <c r="A41" s="212">
        <f t="shared" si="1"/>
        <v>39</v>
      </c>
      <c r="B41" s="212" t="s">
        <v>39</v>
      </c>
      <c r="C41" s="220"/>
      <c r="D41" s="220"/>
      <c r="E41" s="212" t="s">
        <v>92</v>
      </c>
      <c r="F41" s="39"/>
      <c r="G41" s="39"/>
      <c r="H41" s="213" t="s">
        <v>1449</v>
      </c>
      <c r="I41" s="227" t="s">
        <v>1450</v>
      </c>
      <c r="J41" s="214" t="s">
        <v>142</v>
      </c>
      <c r="K41" s="215" t="s">
        <v>33</v>
      </c>
      <c r="L41" s="224"/>
      <c r="M41" s="224"/>
      <c r="N41" s="217"/>
      <c r="O41" s="210"/>
    </row>
    <row r="42">
      <c r="A42" s="212">
        <f t="shared" si="1"/>
        <v>40</v>
      </c>
      <c r="B42" s="212" t="s">
        <v>39</v>
      </c>
      <c r="C42" s="220"/>
      <c r="D42" s="220"/>
      <c r="E42" s="212" t="s">
        <v>92</v>
      </c>
      <c r="F42" s="225" t="s">
        <v>1451</v>
      </c>
      <c r="G42" s="227"/>
      <c r="H42" s="213" t="s">
        <v>1452</v>
      </c>
      <c r="I42" s="227" t="s">
        <v>1453</v>
      </c>
      <c r="J42" s="214" t="s">
        <v>142</v>
      </c>
      <c r="K42" s="215" t="s">
        <v>33</v>
      </c>
      <c r="L42" s="224"/>
      <c r="M42" s="224"/>
      <c r="N42" s="217"/>
      <c r="O42" s="210"/>
    </row>
    <row r="43">
      <c r="A43" s="212">
        <f t="shared" si="1"/>
        <v>41</v>
      </c>
      <c r="B43" s="212" t="s">
        <v>39</v>
      </c>
      <c r="C43" s="220"/>
      <c r="D43" s="220"/>
      <c r="E43" s="212"/>
      <c r="F43" s="220"/>
      <c r="G43" s="227" t="s">
        <v>1454</v>
      </c>
      <c r="H43" s="213" t="s">
        <v>1455</v>
      </c>
      <c r="I43" s="227" t="s">
        <v>1456</v>
      </c>
      <c r="J43" s="214" t="s">
        <v>142</v>
      </c>
      <c r="K43" s="215" t="s">
        <v>33</v>
      </c>
      <c r="L43" s="224"/>
      <c r="M43" s="224"/>
      <c r="N43" s="217"/>
      <c r="O43" s="210"/>
    </row>
    <row r="44">
      <c r="A44" s="212">
        <f t="shared" si="1"/>
        <v>42</v>
      </c>
      <c r="B44" s="212" t="s">
        <v>39</v>
      </c>
      <c r="C44" s="220"/>
      <c r="D44" s="220"/>
      <c r="E44" s="212" t="s">
        <v>92</v>
      </c>
      <c r="F44" s="220"/>
      <c r="G44" s="227" t="s">
        <v>1457</v>
      </c>
      <c r="H44" s="213" t="s">
        <v>1455</v>
      </c>
      <c r="I44" s="227" t="s">
        <v>1458</v>
      </c>
      <c r="J44" s="214" t="s">
        <v>142</v>
      </c>
      <c r="K44" s="215" t="s">
        <v>33</v>
      </c>
      <c r="L44" s="224"/>
      <c r="M44" s="224"/>
      <c r="N44" s="217"/>
      <c r="O44" s="210"/>
    </row>
    <row r="45">
      <c r="A45" s="212">
        <f t="shared" si="1"/>
        <v>43</v>
      </c>
      <c r="B45" s="212" t="s">
        <v>39</v>
      </c>
      <c r="C45" s="220"/>
      <c r="D45" s="220"/>
      <c r="E45" s="212" t="s">
        <v>92</v>
      </c>
      <c r="F45" s="220"/>
      <c r="G45" s="227" t="s">
        <v>1459</v>
      </c>
      <c r="H45" s="213" t="s">
        <v>1455</v>
      </c>
      <c r="I45" s="227" t="s">
        <v>1460</v>
      </c>
      <c r="J45" s="214" t="s">
        <v>142</v>
      </c>
      <c r="K45" s="215" t="s">
        <v>33</v>
      </c>
      <c r="L45" s="224"/>
      <c r="M45" s="224"/>
      <c r="N45" s="217"/>
      <c r="O45" s="210"/>
    </row>
    <row r="46">
      <c r="A46" s="212">
        <f t="shared" si="1"/>
        <v>44</v>
      </c>
      <c r="B46" s="212" t="s">
        <v>39</v>
      </c>
      <c r="C46" s="220"/>
      <c r="D46" s="220"/>
      <c r="E46" s="212" t="s">
        <v>92</v>
      </c>
      <c r="F46" s="39"/>
      <c r="G46" s="227" t="s">
        <v>1461</v>
      </c>
      <c r="H46" s="213" t="s">
        <v>1462</v>
      </c>
      <c r="I46" s="227" t="s">
        <v>1463</v>
      </c>
      <c r="J46" s="214" t="s">
        <v>142</v>
      </c>
      <c r="K46" s="215" t="s">
        <v>33</v>
      </c>
      <c r="L46" s="224"/>
      <c r="M46" s="224"/>
      <c r="N46" s="217"/>
      <c r="O46" s="210"/>
    </row>
    <row r="47">
      <c r="A47" s="212">
        <f t="shared" si="1"/>
        <v>45</v>
      </c>
      <c r="B47" s="212" t="s">
        <v>39</v>
      </c>
      <c r="C47" s="220"/>
      <c r="D47" s="39"/>
      <c r="E47" s="212" t="s">
        <v>92</v>
      </c>
      <c r="F47" s="212" t="s">
        <v>1464</v>
      </c>
      <c r="G47" s="227" t="s">
        <v>1459</v>
      </c>
      <c r="H47" s="213" t="s">
        <v>1465</v>
      </c>
      <c r="I47" s="227" t="s">
        <v>1466</v>
      </c>
      <c r="J47" s="214" t="s">
        <v>142</v>
      </c>
      <c r="K47" s="215" t="s">
        <v>33</v>
      </c>
      <c r="L47" s="240" t="s">
        <v>1467</v>
      </c>
      <c r="M47" s="227" t="s">
        <v>1468</v>
      </c>
      <c r="N47" s="217"/>
      <c r="O47" s="210"/>
    </row>
    <row r="48">
      <c r="A48" s="212">
        <f t="shared" si="1"/>
        <v>46</v>
      </c>
      <c r="B48" s="212" t="s">
        <v>39</v>
      </c>
      <c r="C48" s="225" t="s">
        <v>142</v>
      </c>
      <c r="D48" s="225" t="s">
        <v>1469</v>
      </c>
      <c r="E48" s="212" t="s">
        <v>92</v>
      </c>
      <c r="F48" s="212" t="s">
        <v>613</v>
      </c>
      <c r="G48" s="227" t="s">
        <v>92</v>
      </c>
      <c r="H48" s="213" t="s">
        <v>1470</v>
      </c>
      <c r="I48" s="213" t="s">
        <v>1471</v>
      </c>
      <c r="J48" s="214" t="s">
        <v>142</v>
      </c>
      <c r="K48" s="215" t="s">
        <v>33</v>
      </c>
      <c r="L48" s="224"/>
      <c r="M48" s="224"/>
      <c r="N48" s="217"/>
      <c r="O48" s="210"/>
    </row>
    <row r="49">
      <c r="A49" s="212">
        <f t="shared" si="1"/>
        <v>47</v>
      </c>
      <c r="B49" s="212" t="s">
        <v>39</v>
      </c>
      <c r="C49" s="220"/>
      <c r="D49" s="220"/>
      <c r="E49" s="212" t="s">
        <v>92</v>
      </c>
      <c r="F49" s="212" t="s">
        <v>1378</v>
      </c>
      <c r="G49" s="227" t="s">
        <v>92</v>
      </c>
      <c r="H49" s="213" t="s">
        <v>1379</v>
      </c>
      <c r="I49" s="227" t="s">
        <v>1472</v>
      </c>
      <c r="J49" s="214" t="s">
        <v>142</v>
      </c>
      <c r="K49" s="215" t="s">
        <v>33</v>
      </c>
      <c r="L49" s="224"/>
      <c r="M49" s="224"/>
      <c r="N49" s="217"/>
      <c r="O49" s="210"/>
    </row>
    <row r="50">
      <c r="A50" s="212">
        <f t="shared" si="1"/>
        <v>48</v>
      </c>
      <c r="B50" s="212" t="s">
        <v>39</v>
      </c>
      <c r="C50" s="220"/>
      <c r="D50" s="220"/>
      <c r="E50" s="212" t="s">
        <v>92</v>
      </c>
      <c r="F50" s="225" t="s">
        <v>1473</v>
      </c>
      <c r="G50" s="227" t="s">
        <v>92</v>
      </c>
      <c r="H50" s="213" t="s">
        <v>1474</v>
      </c>
      <c r="I50" s="227" t="s">
        <v>1475</v>
      </c>
      <c r="J50" s="214" t="s">
        <v>142</v>
      </c>
      <c r="K50" s="215" t="s">
        <v>33</v>
      </c>
      <c r="L50" s="224"/>
      <c r="M50" s="224"/>
      <c r="N50" s="217"/>
      <c r="O50" s="210"/>
    </row>
    <row r="51">
      <c r="A51" s="212">
        <f t="shared" si="1"/>
        <v>49</v>
      </c>
      <c r="B51" s="212" t="s">
        <v>39</v>
      </c>
      <c r="C51" s="220"/>
      <c r="D51" s="220"/>
      <c r="E51" s="212" t="s">
        <v>92</v>
      </c>
      <c r="F51" s="39"/>
      <c r="G51" s="227" t="s">
        <v>92</v>
      </c>
      <c r="H51" s="213" t="s">
        <v>1476</v>
      </c>
      <c r="I51" s="227" t="s">
        <v>1477</v>
      </c>
      <c r="J51" s="214" t="s">
        <v>142</v>
      </c>
      <c r="K51" s="215" t="s">
        <v>33</v>
      </c>
      <c r="L51" s="224"/>
      <c r="M51" s="224"/>
      <c r="N51" s="217"/>
      <c r="O51" s="210"/>
    </row>
    <row r="52">
      <c r="A52" s="212">
        <f t="shared" si="1"/>
        <v>50</v>
      </c>
      <c r="B52" s="212" t="s">
        <v>39</v>
      </c>
      <c r="C52" s="220"/>
      <c r="D52" s="220"/>
      <c r="E52" s="212" t="s">
        <v>92</v>
      </c>
      <c r="F52" s="212" t="s">
        <v>608</v>
      </c>
      <c r="G52" s="227" t="s">
        <v>1478</v>
      </c>
      <c r="H52" s="213" t="s">
        <v>1479</v>
      </c>
      <c r="I52" s="227" t="s">
        <v>1480</v>
      </c>
      <c r="J52" s="214" t="s">
        <v>142</v>
      </c>
      <c r="K52" s="215" t="s">
        <v>35</v>
      </c>
      <c r="L52" s="224"/>
      <c r="M52" s="227" t="s">
        <v>1481</v>
      </c>
      <c r="N52" s="217"/>
      <c r="O52" s="210"/>
    </row>
    <row r="53">
      <c r="A53" s="212">
        <f t="shared" si="1"/>
        <v>51</v>
      </c>
      <c r="B53" s="212" t="s">
        <v>39</v>
      </c>
      <c r="C53" s="220"/>
      <c r="D53" s="39"/>
      <c r="E53" s="212" t="s">
        <v>92</v>
      </c>
      <c r="F53" s="212" t="s">
        <v>1464</v>
      </c>
      <c r="G53" s="227" t="s">
        <v>1478</v>
      </c>
      <c r="H53" s="213" t="s">
        <v>1482</v>
      </c>
      <c r="I53" s="227" t="s">
        <v>1483</v>
      </c>
      <c r="J53" s="214" t="s">
        <v>142</v>
      </c>
      <c r="K53" s="215" t="s">
        <v>33</v>
      </c>
      <c r="L53" s="224"/>
      <c r="M53" s="224"/>
      <c r="N53" s="217"/>
      <c r="O53" s="210"/>
    </row>
    <row r="54">
      <c r="A54" s="212">
        <f t="shared" si="1"/>
        <v>52</v>
      </c>
      <c r="B54" s="212" t="s">
        <v>39</v>
      </c>
      <c r="C54" s="220"/>
      <c r="D54" s="225" t="s">
        <v>1484</v>
      </c>
      <c r="E54" s="212" t="s">
        <v>92</v>
      </c>
      <c r="F54" s="212" t="s">
        <v>613</v>
      </c>
      <c r="G54" s="227" t="s">
        <v>92</v>
      </c>
      <c r="H54" s="213" t="s">
        <v>1485</v>
      </c>
      <c r="I54" s="213" t="s">
        <v>1486</v>
      </c>
      <c r="J54" s="214" t="s">
        <v>142</v>
      </c>
      <c r="K54" s="215" t="s">
        <v>33</v>
      </c>
      <c r="L54" s="224"/>
      <c r="M54" s="224"/>
      <c r="N54" s="217"/>
      <c r="O54" s="210"/>
    </row>
    <row r="55">
      <c r="A55" s="212">
        <f t="shared" si="1"/>
        <v>53</v>
      </c>
      <c r="B55" s="212" t="s">
        <v>39</v>
      </c>
      <c r="C55" s="220"/>
      <c r="D55" s="220"/>
      <c r="E55" s="212" t="s">
        <v>92</v>
      </c>
      <c r="F55" s="212" t="s">
        <v>1378</v>
      </c>
      <c r="G55" s="227" t="s">
        <v>92</v>
      </c>
      <c r="H55" s="213" t="s">
        <v>1379</v>
      </c>
      <c r="I55" s="227" t="s">
        <v>1487</v>
      </c>
      <c r="J55" s="214" t="s">
        <v>142</v>
      </c>
      <c r="K55" s="215" t="s">
        <v>33</v>
      </c>
      <c r="L55" s="224"/>
      <c r="M55" s="224"/>
      <c r="N55" s="217"/>
      <c r="O55" s="210"/>
    </row>
    <row r="56">
      <c r="A56" s="212">
        <f t="shared" si="1"/>
        <v>54</v>
      </c>
      <c r="B56" s="212" t="s">
        <v>39</v>
      </c>
      <c r="C56" s="220"/>
      <c r="D56" s="220"/>
      <c r="E56" s="212" t="s">
        <v>92</v>
      </c>
      <c r="F56" s="212" t="s">
        <v>1488</v>
      </c>
      <c r="G56" s="227" t="s">
        <v>92</v>
      </c>
      <c r="H56" s="213" t="s">
        <v>1489</v>
      </c>
      <c r="I56" s="227" t="s">
        <v>1490</v>
      </c>
      <c r="J56" s="214" t="s">
        <v>142</v>
      </c>
      <c r="K56" s="215" t="s">
        <v>35</v>
      </c>
      <c r="L56" s="224"/>
      <c r="M56" s="227" t="s">
        <v>1491</v>
      </c>
      <c r="N56" s="217"/>
      <c r="O56" s="210"/>
    </row>
    <row r="57">
      <c r="A57" s="212">
        <f t="shared" si="1"/>
        <v>55</v>
      </c>
      <c r="B57" s="212" t="s">
        <v>39</v>
      </c>
      <c r="C57" s="220"/>
      <c r="D57" s="220"/>
      <c r="E57" s="212" t="s">
        <v>92</v>
      </c>
      <c r="F57" s="225" t="s">
        <v>1492</v>
      </c>
      <c r="G57" s="227"/>
      <c r="H57" s="213" t="s">
        <v>1493</v>
      </c>
      <c r="I57" s="227" t="s">
        <v>1494</v>
      </c>
      <c r="J57" s="214" t="s">
        <v>142</v>
      </c>
      <c r="K57" s="215" t="s">
        <v>33</v>
      </c>
      <c r="L57" s="224"/>
      <c r="M57" s="224"/>
      <c r="N57" s="217"/>
      <c r="O57" s="210"/>
    </row>
    <row r="58">
      <c r="A58" s="212">
        <f t="shared" si="1"/>
        <v>56</v>
      </c>
      <c r="B58" s="212" t="s">
        <v>39</v>
      </c>
      <c r="C58" s="220"/>
      <c r="D58" s="220"/>
      <c r="E58" s="212" t="s">
        <v>92</v>
      </c>
      <c r="F58" s="39"/>
      <c r="G58" s="227"/>
      <c r="H58" s="213" t="s">
        <v>1449</v>
      </c>
      <c r="I58" s="227" t="s">
        <v>1495</v>
      </c>
      <c r="J58" s="214" t="s">
        <v>142</v>
      </c>
      <c r="K58" s="215" t="s">
        <v>33</v>
      </c>
      <c r="L58" s="224"/>
      <c r="M58" s="224"/>
      <c r="N58" s="217"/>
      <c r="O58" s="210"/>
    </row>
    <row r="59">
      <c r="A59" s="212">
        <f t="shared" si="1"/>
        <v>57</v>
      </c>
      <c r="B59" s="212" t="s">
        <v>39</v>
      </c>
      <c r="C59" s="220"/>
      <c r="D59" s="220"/>
      <c r="E59" s="212" t="s">
        <v>92</v>
      </c>
      <c r="F59" s="225" t="s">
        <v>1464</v>
      </c>
      <c r="G59" s="227" t="s">
        <v>1496</v>
      </c>
      <c r="H59" s="213" t="s">
        <v>1497</v>
      </c>
      <c r="I59" s="227" t="s">
        <v>1498</v>
      </c>
      <c r="J59" s="214" t="s">
        <v>142</v>
      </c>
      <c r="K59" s="215" t="s">
        <v>33</v>
      </c>
      <c r="L59" s="224"/>
      <c r="M59" s="224"/>
      <c r="N59" s="217"/>
      <c r="O59" s="210"/>
    </row>
    <row r="60">
      <c r="A60" s="212">
        <f t="shared" si="1"/>
        <v>58</v>
      </c>
      <c r="B60" s="212" t="s">
        <v>39</v>
      </c>
      <c r="C60" s="39"/>
      <c r="D60" s="39"/>
      <c r="E60" s="212" t="s">
        <v>92</v>
      </c>
      <c r="F60" s="39"/>
      <c r="G60" s="227" t="s">
        <v>1499</v>
      </c>
      <c r="H60" s="213" t="s">
        <v>1497</v>
      </c>
      <c r="I60" s="227" t="s">
        <v>1500</v>
      </c>
      <c r="J60" s="214" t="s">
        <v>142</v>
      </c>
      <c r="K60" s="215" t="s">
        <v>33</v>
      </c>
      <c r="L60" s="224"/>
      <c r="M60" s="224"/>
      <c r="N60" s="217"/>
      <c r="O60" s="210"/>
    </row>
  </sheetData>
  <mergeCells count="39">
    <mergeCell ref="K1:K2"/>
    <mergeCell ref="L1:L2"/>
    <mergeCell ref="M1:M2"/>
    <mergeCell ref="N1:N2"/>
    <mergeCell ref="A1:A2"/>
    <mergeCell ref="C1:E1"/>
    <mergeCell ref="F1:F2"/>
    <mergeCell ref="G1:G2"/>
    <mergeCell ref="H1:H2"/>
    <mergeCell ref="I1:I2"/>
    <mergeCell ref="J1:J2"/>
    <mergeCell ref="F10:F11"/>
    <mergeCell ref="F15:F18"/>
    <mergeCell ref="F37:F41"/>
    <mergeCell ref="G39:G41"/>
    <mergeCell ref="F42:F46"/>
    <mergeCell ref="F50:F51"/>
    <mergeCell ref="F57:F58"/>
    <mergeCell ref="F59:F60"/>
    <mergeCell ref="C4:C12"/>
    <mergeCell ref="D6:D9"/>
    <mergeCell ref="F6:F9"/>
    <mergeCell ref="D10:D12"/>
    <mergeCell ref="G11:G12"/>
    <mergeCell ref="C13:C21"/>
    <mergeCell ref="D15:D18"/>
    <mergeCell ref="G20:G21"/>
    <mergeCell ref="C36:C47"/>
    <mergeCell ref="D36:D47"/>
    <mergeCell ref="C48:C60"/>
    <mergeCell ref="D48:D53"/>
    <mergeCell ref="D54:D60"/>
    <mergeCell ref="D19:D21"/>
    <mergeCell ref="F19:F20"/>
    <mergeCell ref="C22:C35"/>
    <mergeCell ref="D24:D35"/>
    <mergeCell ref="F26:F28"/>
    <mergeCell ref="F29:F31"/>
    <mergeCell ref="F32:F35"/>
  </mergeCells>
  <conditionalFormatting sqref="K3:K60">
    <cfRule type="cellIs" dxfId="4" priority="1" operator="equal">
      <formula>"PASS"</formula>
    </cfRule>
  </conditionalFormatting>
  <conditionalFormatting sqref="K3:K60">
    <cfRule type="cellIs" dxfId="5" priority="2" operator="equal">
      <formula>"FAIL"</formula>
    </cfRule>
  </conditionalFormatting>
  <conditionalFormatting sqref="K3:K60">
    <cfRule type="cellIs" dxfId="6" priority="3" operator="equal">
      <formula>"N/A"</formula>
    </cfRule>
  </conditionalFormatting>
  <conditionalFormatting sqref="K3:K60">
    <cfRule type="cellIs" dxfId="7" priority="4" operator="equal">
      <formula>"N/T"</formula>
    </cfRule>
  </conditionalFormatting>
  <dataValidations>
    <dataValidation type="list" allowBlank="1" sqref="K3:K60">
      <formula1>"PASS,FAIL,N/A,N/T"</formula1>
    </dataValidation>
  </dataValidations>
  <hyperlinks>
    <hyperlink r:id="rId1" ref="J3"/>
    <hyperlink r:id="rId2" ref="L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L13"/>
    <hyperlink r:id="rId14" ref="J14"/>
    <hyperlink r:id="rId15" ref="J15"/>
    <hyperlink r:id="rId16" ref="L15"/>
    <hyperlink r:id="rId17" ref="J16"/>
    <hyperlink r:id="rId18" ref="J17"/>
    <hyperlink r:id="rId19" ref="J18"/>
    <hyperlink r:id="rId20" ref="J19"/>
    <hyperlink r:id="rId21" ref="J20"/>
    <hyperlink r:id="rId22" ref="J21"/>
    <hyperlink r:id="rId23" ref="J22"/>
    <hyperlink r:id="rId24" ref="J23"/>
    <hyperlink r:id="rId25" ref="L23"/>
    <hyperlink r:id="rId26" ref="J24"/>
    <hyperlink r:id="rId27" ref="J25"/>
    <hyperlink r:id="rId28" ref="J26"/>
    <hyperlink r:id="rId29" ref="J27"/>
    <hyperlink r:id="rId30" ref="J28"/>
    <hyperlink r:id="rId31" ref="J29"/>
    <hyperlink r:id="rId32" ref="J30"/>
    <hyperlink r:id="rId33" ref="J31"/>
    <hyperlink r:id="rId34" ref="J32"/>
    <hyperlink r:id="rId35" ref="J33"/>
    <hyperlink r:id="rId36" ref="J34"/>
    <hyperlink r:id="rId37" ref="J35"/>
    <hyperlink r:id="rId38" ref="J36"/>
    <hyperlink r:id="rId39" ref="J37"/>
    <hyperlink r:id="rId40" ref="J38"/>
    <hyperlink r:id="rId41" ref="J39"/>
    <hyperlink r:id="rId42" ref="J40"/>
    <hyperlink r:id="rId43" ref="J41"/>
    <hyperlink r:id="rId44" ref="J42"/>
    <hyperlink r:id="rId45" ref="J43"/>
    <hyperlink r:id="rId46" ref="J44"/>
    <hyperlink r:id="rId47" ref="J45"/>
    <hyperlink r:id="rId48" ref="J46"/>
    <hyperlink r:id="rId49" ref="J47"/>
    <hyperlink r:id="rId50" ref="L47"/>
    <hyperlink r:id="rId51" ref="J48"/>
    <hyperlink r:id="rId52" ref="J49"/>
    <hyperlink r:id="rId53" ref="J50"/>
    <hyperlink r:id="rId54" ref="J51"/>
    <hyperlink r:id="rId55" ref="J52"/>
    <hyperlink r:id="rId56" ref="J53"/>
    <hyperlink r:id="rId57" ref="J54"/>
    <hyperlink r:id="rId58" ref="J55"/>
    <hyperlink r:id="rId59" ref="J56"/>
    <hyperlink r:id="rId60" ref="J57"/>
    <hyperlink r:id="rId61" ref="J58"/>
    <hyperlink r:id="rId62" ref="J59"/>
    <hyperlink r:id="rId63" ref="J60"/>
  </hyperlinks>
  <drawing r:id="rId6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152" t="s">
        <v>75</v>
      </c>
      <c r="D2" s="153" t="s">
        <v>76</v>
      </c>
      <c r="E2" s="153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287" si="1">COUNTA($I$3:$I3)</f>
        <v>1</v>
      </c>
      <c r="B3" s="212" t="s">
        <v>40</v>
      </c>
      <c r="C3" s="212" t="s">
        <v>40</v>
      </c>
      <c r="D3" s="212" t="s">
        <v>92</v>
      </c>
      <c r="E3" s="212" t="s">
        <v>92</v>
      </c>
      <c r="F3" s="212" t="s">
        <v>1370</v>
      </c>
      <c r="G3" s="213" t="s">
        <v>92</v>
      </c>
      <c r="H3" s="213" t="s">
        <v>1501</v>
      </c>
      <c r="I3" s="213" t="s">
        <v>1502</v>
      </c>
      <c r="J3" s="214" t="s">
        <v>40</v>
      </c>
      <c r="K3" s="215" t="s">
        <v>33</v>
      </c>
      <c r="L3" s="216"/>
      <c r="M3" s="216"/>
      <c r="N3" s="217"/>
      <c r="O3" s="210"/>
    </row>
    <row r="4">
      <c r="A4" s="212">
        <f t="shared" si="1"/>
        <v>2</v>
      </c>
      <c r="B4" s="212" t="s">
        <v>40</v>
      </c>
      <c r="C4" s="212" t="s">
        <v>150</v>
      </c>
      <c r="D4" s="212" t="s">
        <v>92</v>
      </c>
      <c r="E4" s="212" t="s">
        <v>92</v>
      </c>
      <c r="F4" s="212" t="s">
        <v>613</v>
      </c>
      <c r="G4" s="217" t="s">
        <v>92</v>
      </c>
      <c r="H4" s="213" t="s">
        <v>1503</v>
      </c>
      <c r="I4" s="213" t="s">
        <v>1504</v>
      </c>
      <c r="J4" s="214" t="s">
        <v>150</v>
      </c>
      <c r="K4" s="215" t="s">
        <v>33</v>
      </c>
      <c r="L4" s="216"/>
      <c r="M4" s="216"/>
      <c r="N4" s="217"/>
      <c r="O4" s="210"/>
    </row>
    <row r="5">
      <c r="A5" s="212">
        <f t="shared" si="1"/>
        <v>3</v>
      </c>
      <c r="B5" s="212" t="s">
        <v>40</v>
      </c>
      <c r="C5" s="212" t="s">
        <v>150</v>
      </c>
      <c r="D5" s="212" t="s">
        <v>92</v>
      </c>
      <c r="E5" s="212" t="s">
        <v>92</v>
      </c>
      <c r="F5" s="212" t="s">
        <v>1378</v>
      </c>
      <c r="G5" s="217" t="s">
        <v>92</v>
      </c>
      <c r="H5" s="213" t="s">
        <v>1505</v>
      </c>
      <c r="I5" s="213" t="s">
        <v>1506</v>
      </c>
      <c r="J5" s="214" t="s">
        <v>150</v>
      </c>
      <c r="K5" s="215" t="s">
        <v>33</v>
      </c>
      <c r="L5" s="216"/>
      <c r="M5" s="216"/>
      <c r="N5" s="217"/>
      <c r="O5" s="210"/>
    </row>
    <row r="6">
      <c r="A6" s="212">
        <f t="shared" si="1"/>
        <v>4</v>
      </c>
      <c r="B6" s="212" t="s">
        <v>40</v>
      </c>
      <c r="C6" s="212" t="s">
        <v>150</v>
      </c>
      <c r="D6" s="225" t="s">
        <v>1507</v>
      </c>
      <c r="E6" s="212" t="s">
        <v>92</v>
      </c>
      <c r="F6" s="212" t="s">
        <v>613</v>
      </c>
      <c r="G6" s="217" t="s">
        <v>92</v>
      </c>
      <c r="H6" s="213" t="s">
        <v>1508</v>
      </c>
      <c r="I6" s="217" t="s">
        <v>1509</v>
      </c>
      <c r="J6" s="214" t="s">
        <v>150</v>
      </c>
      <c r="K6" s="215" t="s">
        <v>33</v>
      </c>
      <c r="L6" s="240" t="s">
        <v>1510</v>
      </c>
      <c r="M6" s="227" t="s">
        <v>1511</v>
      </c>
      <c r="N6" s="217"/>
      <c r="O6" s="210"/>
    </row>
    <row r="7">
      <c r="A7" s="212">
        <f t="shared" si="1"/>
        <v>5</v>
      </c>
      <c r="B7" s="212" t="s">
        <v>40</v>
      </c>
      <c r="C7" s="212" t="s">
        <v>150</v>
      </c>
      <c r="D7" s="220"/>
      <c r="E7" s="212" t="s">
        <v>92</v>
      </c>
      <c r="F7" s="212" t="s">
        <v>1378</v>
      </c>
      <c r="G7" s="217" t="s">
        <v>92</v>
      </c>
      <c r="H7" s="213" t="s">
        <v>1379</v>
      </c>
      <c r="I7" s="217" t="s">
        <v>1512</v>
      </c>
      <c r="J7" s="214" t="s">
        <v>150</v>
      </c>
      <c r="K7" s="215" t="s">
        <v>33</v>
      </c>
      <c r="L7" s="226"/>
      <c r="M7" s="224"/>
      <c r="N7" s="217"/>
      <c r="O7" s="210"/>
    </row>
    <row r="8">
      <c r="A8" s="212">
        <f t="shared" si="1"/>
        <v>6</v>
      </c>
      <c r="B8" s="212" t="s">
        <v>40</v>
      </c>
      <c r="C8" s="212" t="s">
        <v>150</v>
      </c>
      <c r="D8" s="220"/>
      <c r="E8" s="212" t="s">
        <v>92</v>
      </c>
      <c r="F8" s="212" t="s">
        <v>1513</v>
      </c>
      <c r="G8" s="217" t="s">
        <v>92</v>
      </c>
      <c r="H8" s="213" t="s">
        <v>1514</v>
      </c>
      <c r="I8" s="217" t="s">
        <v>1515</v>
      </c>
      <c r="J8" s="214" t="s">
        <v>150</v>
      </c>
      <c r="K8" s="215" t="s">
        <v>33</v>
      </c>
      <c r="L8" s="226"/>
      <c r="M8" s="224"/>
      <c r="N8" s="217"/>
      <c r="O8" s="210"/>
    </row>
    <row r="9">
      <c r="A9" s="212">
        <f t="shared" si="1"/>
        <v>7</v>
      </c>
      <c r="B9" s="212" t="s">
        <v>40</v>
      </c>
      <c r="C9" s="212" t="s">
        <v>150</v>
      </c>
      <c r="D9" s="220"/>
      <c r="E9" s="212" t="s">
        <v>92</v>
      </c>
      <c r="F9" s="212" t="s">
        <v>1516</v>
      </c>
      <c r="G9" s="217" t="s">
        <v>92</v>
      </c>
      <c r="H9" s="213" t="s">
        <v>1517</v>
      </c>
      <c r="I9" s="217" t="s">
        <v>1518</v>
      </c>
      <c r="J9" s="214" t="s">
        <v>150</v>
      </c>
      <c r="K9" s="215" t="s">
        <v>33</v>
      </c>
      <c r="L9" s="226"/>
      <c r="M9" s="224"/>
      <c r="N9" s="217"/>
      <c r="O9" s="210"/>
    </row>
    <row r="10">
      <c r="A10" s="212">
        <f t="shared" si="1"/>
        <v>8</v>
      </c>
      <c r="B10" s="212" t="s">
        <v>40</v>
      </c>
      <c r="C10" s="212" t="s">
        <v>150</v>
      </c>
      <c r="D10" s="220"/>
      <c r="E10" s="212" t="s">
        <v>92</v>
      </c>
      <c r="F10" s="212" t="s">
        <v>1519</v>
      </c>
      <c r="G10" s="217" t="s">
        <v>92</v>
      </c>
      <c r="H10" s="213" t="s">
        <v>1520</v>
      </c>
      <c r="I10" s="217" t="s">
        <v>1521</v>
      </c>
      <c r="J10" s="214" t="s">
        <v>150</v>
      </c>
      <c r="K10" s="215" t="s">
        <v>33</v>
      </c>
      <c r="L10" s="226"/>
      <c r="M10" s="224"/>
      <c r="N10" s="217"/>
      <c r="O10" s="210"/>
    </row>
    <row r="11">
      <c r="A11" s="212">
        <f t="shared" si="1"/>
        <v>9</v>
      </c>
      <c r="B11" s="212" t="s">
        <v>40</v>
      </c>
      <c r="C11" s="212" t="s">
        <v>150</v>
      </c>
      <c r="D11" s="220"/>
      <c r="E11" s="212" t="s">
        <v>92</v>
      </c>
      <c r="F11" s="212" t="s">
        <v>1522</v>
      </c>
      <c r="G11" s="217" t="s">
        <v>92</v>
      </c>
      <c r="H11" s="213" t="s">
        <v>1523</v>
      </c>
      <c r="I11" s="217" t="s">
        <v>1524</v>
      </c>
      <c r="J11" s="214" t="s">
        <v>150</v>
      </c>
      <c r="K11" s="215" t="s">
        <v>33</v>
      </c>
      <c r="L11" s="226"/>
      <c r="M11" s="224"/>
      <c r="N11" s="217"/>
      <c r="O11" s="210"/>
    </row>
    <row r="12">
      <c r="A12" s="212">
        <f t="shared" si="1"/>
        <v>10</v>
      </c>
      <c r="B12" s="212" t="s">
        <v>40</v>
      </c>
      <c r="C12" s="212" t="s">
        <v>150</v>
      </c>
      <c r="D12" s="220"/>
      <c r="E12" s="212" t="s">
        <v>92</v>
      </c>
      <c r="F12" s="225" t="s">
        <v>1525</v>
      </c>
      <c r="G12" s="217" t="s">
        <v>92</v>
      </c>
      <c r="H12" s="213" t="s">
        <v>1526</v>
      </c>
      <c r="I12" s="217" t="s">
        <v>1527</v>
      </c>
      <c r="J12" s="214" t="s">
        <v>150</v>
      </c>
      <c r="K12" s="215" t="s">
        <v>33</v>
      </c>
      <c r="L12" s="240" t="s">
        <v>1510</v>
      </c>
      <c r="M12" s="227" t="s">
        <v>1528</v>
      </c>
      <c r="N12" s="217"/>
      <c r="O12" s="210"/>
    </row>
    <row r="13">
      <c r="A13" s="212">
        <f t="shared" si="1"/>
        <v>11</v>
      </c>
      <c r="B13" s="212" t="s">
        <v>40</v>
      </c>
      <c r="C13" s="212" t="s">
        <v>150</v>
      </c>
      <c r="D13" s="220"/>
      <c r="E13" s="212" t="s">
        <v>92</v>
      </c>
      <c r="F13" s="220"/>
      <c r="G13" s="217" t="s">
        <v>92</v>
      </c>
      <c r="H13" s="213" t="s">
        <v>1529</v>
      </c>
      <c r="I13" s="217" t="s">
        <v>1530</v>
      </c>
      <c r="J13" s="214" t="s">
        <v>150</v>
      </c>
      <c r="K13" s="215" t="s">
        <v>33</v>
      </c>
      <c r="L13" s="226"/>
      <c r="M13" s="227" t="s">
        <v>1531</v>
      </c>
      <c r="N13" s="217"/>
      <c r="O13" s="210"/>
    </row>
    <row r="14">
      <c r="A14" s="212">
        <f t="shared" si="1"/>
        <v>12</v>
      </c>
      <c r="B14" s="212" t="s">
        <v>40</v>
      </c>
      <c r="C14" s="212" t="s">
        <v>150</v>
      </c>
      <c r="D14" s="220"/>
      <c r="E14" s="212" t="s">
        <v>92</v>
      </c>
      <c r="F14" s="220"/>
      <c r="G14" s="217" t="s">
        <v>92</v>
      </c>
      <c r="H14" s="213" t="s">
        <v>1532</v>
      </c>
      <c r="I14" s="217" t="s">
        <v>1533</v>
      </c>
      <c r="J14" s="214" t="s">
        <v>150</v>
      </c>
      <c r="K14" s="215" t="s">
        <v>33</v>
      </c>
      <c r="L14" s="226"/>
      <c r="M14" s="224"/>
      <c r="N14" s="217"/>
      <c r="O14" s="210"/>
    </row>
    <row r="15">
      <c r="A15" s="212">
        <f t="shared" si="1"/>
        <v>13</v>
      </c>
      <c r="B15" s="212" t="s">
        <v>40</v>
      </c>
      <c r="C15" s="212" t="s">
        <v>150</v>
      </c>
      <c r="D15" s="220"/>
      <c r="E15" s="212" t="s">
        <v>92</v>
      </c>
      <c r="F15" s="220"/>
      <c r="G15" s="217" t="s">
        <v>92</v>
      </c>
      <c r="H15" s="213" t="s">
        <v>1534</v>
      </c>
      <c r="I15" s="217" t="s">
        <v>1533</v>
      </c>
      <c r="J15" s="214" t="s">
        <v>150</v>
      </c>
      <c r="K15" s="215" t="s">
        <v>35</v>
      </c>
      <c r="L15" s="226"/>
      <c r="M15" s="227" t="s">
        <v>1531</v>
      </c>
      <c r="N15" s="217"/>
      <c r="O15" s="210"/>
    </row>
    <row r="16">
      <c r="A16" s="212">
        <f t="shared" si="1"/>
        <v>14</v>
      </c>
      <c r="B16" s="212" t="s">
        <v>40</v>
      </c>
      <c r="C16" s="212" t="s">
        <v>150</v>
      </c>
      <c r="D16" s="220"/>
      <c r="E16" s="212" t="s">
        <v>92</v>
      </c>
      <c r="F16" s="220"/>
      <c r="G16" s="217" t="s">
        <v>92</v>
      </c>
      <c r="H16" s="213" t="s">
        <v>1535</v>
      </c>
      <c r="I16" s="217" t="s">
        <v>1536</v>
      </c>
      <c r="J16" s="214" t="s">
        <v>150</v>
      </c>
      <c r="K16" s="215" t="s">
        <v>33</v>
      </c>
      <c r="L16" s="240" t="s">
        <v>1537</v>
      </c>
      <c r="M16" s="227" t="s">
        <v>1538</v>
      </c>
      <c r="N16" s="217"/>
      <c r="O16" s="210"/>
    </row>
    <row r="17">
      <c r="A17" s="212">
        <f t="shared" si="1"/>
        <v>15</v>
      </c>
      <c r="B17" s="212" t="s">
        <v>40</v>
      </c>
      <c r="C17" s="212" t="s">
        <v>150</v>
      </c>
      <c r="D17" s="220"/>
      <c r="E17" s="212" t="s">
        <v>92</v>
      </c>
      <c r="F17" s="220"/>
      <c r="G17" s="217" t="s">
        <v>92</v>
      </c>
      <c r="H17" s="213" t="s">
        <v>1539</v>
      </c>
      <c r="I17" s="217" t="s">
        <v>1540</v>
      </c>
      <c r="J17" s="214" t="s">
        <v>150</v>
      </c>
      <c r="K17" s="215" t="s">
        <v>33</v>
      </c>
      <c r="L17" s="226"/>
      <c r="M17" s="224"/>
      <c r="N17" s="217"/>
      <c r="O17" s="210"/>
    </row>
    <row r="18">
      <c r="A18" s="212">
        <f t="shared" si="1"/>
        <v>16</v>
      </c>
      <c r="B18" s="212" t="s">
        <v>40</v>
      </c>
      <c r="C18" s="212" t="s">
        <v>150</v>
      </c>
      <c r="D18" s="220"/>
      <c r="E18" s="212"/>
      <c r="F18" s="220"/>
      <c r="G18" s="217"/>
      <c r="H18" s="213" t="s">
        <v>1541</v>
      </c>
      <c r="I18" s="217" t="s">
        <v>1542</v>
      </c>
      <c r="J18" s="214" t="s">
        <v>150</v>
      </c>
      <c r="K18" s="215" t="s">
        <v>33</v>
      </c>
      <c r="L18" s="240" t="s">
        <v>1543</v>
      </c>
      <c r="M18" s="227" t="s">
        <v>1544</v>
      </c>
      <c r="N18" s="217"/>
      <c r="O18" s="210"/>
    </row>
    <row r="19">
      <c r="A19" s="212">
        <f t="shared" si="1"/>
        <v>17</v>
      </c>
      <c r="B19" s="212" t="s">
        <v>40</v>
      </c>
      <c r="C19" s="212" t="s">
        <v>150</v>
      </c>
      <c r="D19" s="39"/>
      <c r="E19" s="212" t="s">
        <v>92</v>
      </c>
      <c r="F19" s="39"/>
      <c r="G19" s="217" t="s">
        <v>92</v>
      </c>
      <c r="H19" s="213" t="s">
        <v>1545</v>
      </c>
      <c r="I19" s="217" t="s">
        <v>1546</v>
      </c>
      <c r="J19" s="214" t="s">
        <v>150</v>
      </c>
      <c r="K19" s="215" t="s">
        <v>33</v>
      </c>
      <c r="L19" s="240" t="s">
        <v>1543</v>
      </c>
      <c r="M19" s="227" t="s">
        <v>1544</v>
      </c>
      <c r="N19" s="217"/>
      <c r="O19" s="210"/>
    </row>
    <row r="20">
      <c r="A20" s="212">
        <f t="shared" si="1"/>
        <v>18</v>
      </c>
      <c r="B20" s="212" t="s">
        <v>40</v>
      </c>
      <c r="C20" s="212" t="s">
        <v>150</v>
      </c>
      <c r="D20" s="225" t="s">
        <v>1507</v>
      </c>
      <c r="E20" s="212" t="s">
        <v>92</v>
      </c>
      <c r="F20" s="225" t="s">
        <v>1547</v>
      </c>
      <c r="G20" s="217" t="s">
        <v>92</v>
      </c>
      <c r="H20" s="213" t="s">
        <v>1548</v>
      </c>
      <c r="I20" s="217" t="s">
        <v>1549</v>
      </c>
      <c r="J20" s="214" t="s">
        <v>150</v>
      </c>
      <c r="K20" s="215" t="s">
        <v>33</v>
      </c>
      <c r="L20" s="240" t="s">
        <v>1510</v>
      </c>
      <c r="M20" s="227" t="s">
        <v>1528</v>
      </c>
      <c r="N20" s="217"/>
      <c r="O20" s="210"/>
    </row>
    <row r="21">
      <c r="A21" s="212">
        <f t="shared" si="1"/>
        <v>19</v>
      </c>
      <c r="B21" s="212" t="s">
        <v>40</v>
      </c>
      <c r="C21" s="212" t="s">
        <v>150</v>
      </c>
      <c r="D21" s="220"/>
      <c r="E21" s="212" t="s">
        <v>92</v>
      </c>
      <c r="F21" s="220"/>
      <c r="G21" s="217" t="s">
        <v>92</v>
      </c>
      <c r="H21" s="213" t="s">
        <v>1529</v>
      </c>
      <c r="I21" s="217" t="s">
        <v>1550</v>
      </c>
      <c r="J21" s="214" t="s">
        <v>150</v>
      </c>
      <c r="K21" s="215" t="s">
        <v>33</v>
      </c>
      <c r="L21" s="226"/>
      <c r="M21" s="224"/>
      <c r="N21" s="217"/>
      <c r="O21" s="210"/>
    </row>
    <row r="22">
      <c r="A22" s="212">
        <f t="shared" si="1"/>
        <v>20</v>
      </c>
      <c r="B22" s="212" t="s">
        <v>40</v>
      </c>
      <c r="C22" s="212" t="s">
        <v>150</v>
      </c>
      <c r="D22" s="220"/>
      <c r="E22" s="212" t="s">
        <v>92</v>
      </c>
      <c r="F22" s="220"/>
      <c r="G22" s="217" t="s">
        <v>92</v>
      </c>
      <c r="H22" s="213" t="s">
        <v>1532</v>
      </c>
      <c r="I22" s="217" t="s">
        <v>1533</v>
      </c>
      <c r="J22" s="214" t="s">
        <v>150</v>
      </c>
      <c r="K22" s="215" t="s">
        <v>33</v>
      </c>
      <c r="L22" s="226"/>
      <c r="M22" s="224"/>
      <c r="N22" s="217"/>
      <c r="O22" s="210"/>
    </row>
    <row r="23">
      <c r="A23" s="212">
        <f t="shared" si="1"/>
        <v>21</v>
      </c>
      <c r="B23" s="212" t="s">
        <v>40</v>
      </c>
      <c r="C23" s="212" t="s">
        <v>150</v>
      </c>
      <c r="D23" s="220"/>
      <c r="E23" s="212" t="s">
        <v>92</v>
      </c>
      <c r="F23" s="220"/>
      <c r="G23" s="217" t="s">
        <v>92</v>
      </c>
      <c r="H23" s="213" t="s">
        <v>1534</v>
      </c>
      <c r="I23" s="217" t="s">
        <v>1533</v>
      </c>
      <c r="J23" s="214" t="s">
        <v>150</v>
      </c>
      <c r="K23" s="215" t="s">
        <v>35</v>
      </c>
      <c r="L23" s="226"/>
      <c r="M23" s="227" t="s">
        <v>1531</v>
      </c>
      <c r="N23" s="217"/>
      <c r="O23" s="210"/>
    </row>
    <row r="24">
      <c r="A24" s="212">
        <f t="shared" si="1"/>
        <v>22</v>
      </c>
      <c r="B24" s="212" t="s">
        <v>40</v>
      </c>
      <c r="C24" s="212" t="s">
        <v>150</v>
      </c>
      <c r="D24" s="220"/>
      <c r="E24" s="212"/>
      <c r="F24" s="220"/>
      <c r="G24" s="217"/>
      <c r="H24" s="213" t="s">
        <v>1535</v>
      </c>
      <c r="I24" s="217" t="s">
        <v>1536</v>
      </c>
      <c r="J24" s="214" t="s">
        <v>150</v>
      </c>
      <c r="K24" s="215" t="s">
        <v>33</v>
      </c>
      <c r="L24" s="240" t="s">
        <v>1537</v>
      </c>
      <c r="M24" s="227" t="s">
        <v>1538</v>
      </c>
      <c r="N24" s="217"/>
      <c r="O24" s="210"/>
    </row>
    <row r="25">
      <c r="A25" s="212">
        <f t="shared" si="1"/>
        <v>23</v>
      </c>
      <c r="B25" s="212" t="s">
        <v>40</v>
      </c>
      <c r="C25" s="212" t="s">
        <v>150</v>
      </c>
      <c r="D25" s="220"/>
      <c r="E25" s="212" t="s">
        <v>92</v>
      </c>
      <c r="F25" s="220"/>
      <c r="G25" s="217" t="s">
        <v>92</v>
      </c>
      <c r="H25" s="213" t="s">
        <v>1539</v>
      </c>
      <c r="I25" s="217" t="s">
        <v>1540</v>
      </c>
      <c r="J25" s="214" t="s">
        <v>150</v>
      </c>
      <c r="K25" s="215" t="s">
        <v>33</v>
      </c>
      <c r="L25" s="226"/>
      <c r="M25" s="224"/>
      <c r="N25" s="217"/>
      <c r="O25" s="210"/>
    </row>
    <row r="26">
      <c r="A26" s="212">
        <f t="shared" si="1"/>
        <v>24</v>
      </c>
      <c r="B26" s="212" t="s">
        <v>40</v>
      </c>
      <c r="C26" s="212" t="s">
        <v>150</v>
      </c>
      <c r="D26" s="220"/>
      <c r="E26" s="212" t="s">
        <v>92</v>
      </c>
      <c r="F26" s="220"/>
      <c r="G26" s="217" t="s">
        <v>92</v>
      </c>
      <c r="H26" s="213" t="s">
        <v>1541</v>
      </c>
      <c r="I26" s="217" t="s">
        <v>1551</v>
      </c>
      <c r="J26" s="214" t="s">
        <v>150</v>
      </c>
      <c r="K26" s="215" t="s">
        <v>33</v>
      </c>
      <c r="L26" s="240" t="s">
        <v>1543</v>
      </c>
      <c r="M26" s="227" t="s">
        <v>1552</v>
      </c>
      <c r="N26" s="217"/>
      <c r="O26" s="210"/>
    </row>
    <row r="27">
      <c r="A27" s="212">
        <f t="shared" si="1"/>
        <v>25</v>
      </c>
      <c r="B27" s="212" t="s">
        <v>40</v>
      </c>
      <c r="C27" s="212" t="s">
        <v>150</v>
      </c>
      <c r="D27" s="39"/>
      <c r="E27" s="212" t="s">
        <v>92</v>
      </c>
      <c r="F27" s="39"/>
      <c r="G27" s="217" t="s">
        <v>92</v>
      </c>
      <c r="H27" s="213" t="s">
        <v>1545</v>
      </c>
      <c r="I27" s="217" t="s">
        <v>1553</v>
      </c>
      <c r="J27" s="214" t="s">
        <v>150</v>
      </c>
      <c r="K27" s="215" t="s">
        <v>33</v>
      </c>
      <c r="L27" s="240" t="s">
        <v>1543</v>
      </c>
      <c r="M27" s="227" t="s">
        <v>1552</v>
      </c>
      <c r="N27" s="217"/>
      <c r="O27" s="210"/>
    </row>
    <row r="28">
      <c r="A28" s="212">
        <f t="shared" si="1"/>
        <v>26</v>
      </c>
      <c r="B28" s="212" t="s">
        <v>40</v>
      </c>
      <c r="C28" s="212" t="s">
        <v>150</v>
      </c>
      <c r="D28" s="225" t="s">
        <v>1507</v>
      </c>
      <c r="E28" s="212" t="s">
        <v>92</v>
      </c>
      <c r="F28" s="225" t="s">
        <v>392</v>
      </c>
      <c r="G28" s="217" t="s">
        <v>92</v>
      </c>
      <c r="H28" s="213" t="s">
        <v>985</v>
      </c>
      <c r="I28" s="217" t="s">
        <v>1554</v>
      </c>
      <c r="J28" s="214" t="s">
        <v>150</v>
      </c>
      <c r="K28" s="215" t="s">
        <v>33</v>
      </c>
      <c r="L28" s="226"/>
      <c r="M28" s="224"/>
      <c r="N28" s="217"/>
      <c r="O28" s="210"/>
    </row>
    <row r="29">
      <c r="A29" s="212">
        <f t="shared" si="1"/>
        <v>27</v>
      </c>
      <c r="B29" s="212" t="s">
        <v>40</v>
      </c>
      <c r="C29" s="212" t="s">
        <v>150</v>
      </c>
      <c r="D29" s="220"/>
      <c r="E29" s="212" t="s">
        <v>92</v>
      </c>
      <c r="F29" s="220"/>
      <c r="G29" s="217" t="s">
        <v>92</v>
      </c>
      <c r="H29" s="213" t="s">
        <v>1529</v>
      </c>
      <c r="I29" s="217" t="s">
        <v>1555</v>
      </c>
      <c r="J29" s="214" t="s">
        <v>150</v>
      </c>
      <c r="K29" s="215" t="s">
        <v>33</v>
      </c>
      <c r="L29" s="226"/>
      <c r="M29" s="224"/>
      <c r="N29" s="217"/>
      <c r="O29" s="210"/>
    </row>
    <row r="30">
      <c r="A30" s="212">
        <f t="shared" si="1"/>
        <v>28</v>
      </c>
      <c r="B30" s="212" t="s">
        <v>40</v>
      </c>
      <c r="C30" s="212" t="s">
        <v>150</v>
      </c>
      <c r="D30" s="220"/>
      <c r="E30" s="212" t="s">
        <v>92</v>
      </c>
      <c r="F30" s="220"/>
      <c r="G30" s="217" t="s">
        <v>92</v>
      </c>
      <c r="H30" s="213" t="s">
        <v>1532</v>
      </c>
      <c r="I30" s="217" t="s">
        <v>1533</v>
      </c>
      <c r="J30" s="214" t="s">
        <v>150</v>
      </c>
      <c r="K30" s="215" t="s">
        <v>33</v>
      </c>
      <c r="L30" s="226"/>
      <c r="M30" s="224"/>
      <c r="N30" s="217"/>
      <c r="O30" s="210"/>
    </row>
    <row r="31">
      <c r="A31" s="212">
        <f t="shared" si="1"/>
        <v>29</v>
      </c>
      <c r="B31" s="212" t="s">
        <v>40</v>
      </c>
      <c r="C31" s="212" t="s">
        <v>150</v>
      </c>
      <c r="D31" s="220"/>
      <c r="E31" s="212" t="s">
        <v>92</v>
      </c>
      <c r="F31" s="220"/>
      <c r="G31" s="217" t="s">
        <v>92</v>
      </c>
      <c r="H31" s="213" t="s">
        <v>1534</v>
      </c>
      <c r="I31" s="217" t="s">
        <v>1533</v>
      </c>
      <c r="J31" s="214" t="s">
        <v>150</v>
      </c>
      <c r="K31" s="215" t="s">
        <v>35</v>
      </c>
      <c r="L31" s="226"/>
      <c r="M31" s="227" t="s">
        <v>1531</v>
      </c>
      <c r="N31" s="217"/>
      <c r="O31" s="210"/>
    </row>
    <row r="32">
      <c r="A32" s="212">
        <f t="shared" si="1"/>
        <v>30</v>
      </c>
      <c r="B32" s="212" t="s">
        <v>40</v>
      </c>
      <c r="C32" s="212" t="s">
        <v>150</v>
      </c>
      <c r="D32" s="220"/>
      <c r="E32" s="212" t="s">
        <v>92</v>
      </c>
      <c r="F32" s="220"/>
      <c r="G32" s="217" t="s">
        <v>92</v>
      </c>
      <c r="H32" s="213" t="s">
        <v>1535</v>
      </c>
      <c r="I32" s="217" t="s">
        <v>1536</v>
      </c>
      <c r="J32" s="214" t="s">
        <v>150</v>
      </c>
      <c r="K32" s="215" t="s">
        <v>33</v>
      </c>
      <c r="L32" s="240" t="s">
        <v>1537</v>
      </c>
      <c r="M32" s="227" t="s">
        <v>1538</v>
      </c>
      <c r="N32" s="217"/>
      <c r="O32" s="210"/>
    </row>
    <row r="33">
      <c r="A33" s="212">
        <f t="shared" si="1"/>
        <v>31</v>
      </c>
      <c r="B33" s="212" t="s">
        <v>40</v>
      </c>
      <c r="C33" s="212" t="s">
        <v>150</v>
      </c>
      <c r="D33" s="220"/>
      <c r="E33" s="212"/>
      <c r="F33" s="220"/>
      <c r="G33" s="217"/>
      <c r="H33" s="213" t="s">
        <v>1539</v>
      </c>
      <c r="I33" s="217" t="s">
        <v>1540</v>
      </c>
      <c r="J33" s="214" t="s">
        <v>150</v>
      </c>
      <c r="K33" s="215" t="s">
        <v>33</v>
      </c>
      <c r="L33" s="226"/>
      <c r="M33" s="224"/>
      <c r="N33" s="217"/>
      <c r="O33" s="210"/>
    </row>
    <row r="34">
      <c r="A34" s="212">
        <f t="shared" si="1"/>
        <v>32</v>
      </c>
      <c r="B34" s="212" t="s">
        <v>40</v>
      </c>
      <c r="C34" s="212" t="s">
        <v>150</v>
      </c>
      <c r="D34" s="220"/>
      <c r="E34" s="212" t="s">
        <v>92</v>
      </c>
      <c r="F34" s="220"/>
      <c r="G34" s="217" t="s">
        <v>92</v>
      </c>
      <c r="H34" s="213" t="s">
        <v>1541</v>
      </c>
      <c r="I34" s="217" t="s">
        <v>1556</v>
      </c>
      <c r="J34" s="214" t="s">
        <v>150</v>
      </c>
      <c r="K34" s="215" t="s">
        <v>33</v>
      </c>
      <c r="L34" s="226"/>
      <c r="M34" s="224"/>
      <c r="N34" s="217"/>
      <c r="O34" s="210"/>
    </row>
    <row r="35">
      <c r="A35" s="212">
        <f t="shared" si="1"/>
        <v>33</v>
      </c>
      <c r="B35" s="212" t="s">
        <v>40</v>
      </c>
      <c r="C35" s="212" t="s">
        <v>150</v>
      </c>
      <c r="D35" s="220"/>
      <c r="E35" s="212" t="s">
        <v>92</v>
      </c>
      <c r="F35" s="220"/>
      <c r="G35" s="217" t="s">
        <v>92</v>
      </c>
      <c r="H35" s="213" t="s">
        <v>1545</v>
      </c>
      <c r="I35" s="217" t="s">
        <v>1557</v>
      </c>
      <c r="J35" s="214" t="s">
        <v>150</v>
      </c>
      <c r="K35" s="215" t="s">
        <v>33</v>
      </c>
      <c r="L35" s="226"/>
      <c r="M35" s="224"/>
      <c r="N35" s="217"/>
      <c r="O35" s="210"/>
    </row>
    <row r="36">
      <c r="A36" s="212">
        <f t="shared" si="1"/>
        <v>34</v>
      </c>
      <c r="B36" s="212" t="s">
        <v>40</v>
      </c>
      <c r="C36" s="212" t="s">
        <v>150</v>
      </c>
      <c r="D36" s="220"/>
      <c r="E36" s="212" t="s">
        <v>92</v>
      </c>
      <c r="F36" s="220"/>
      <c r="G36" s="217" t="s">
        <v>1558</v>
      </c>
      <c r="H36" s="213" t="s">
        <v>1559</v>
      </c>
      <c r="I36" s="217" t="s">
        <v>1560</v>
      </c>
      <c r="J36" s="214" t="s">
        <v>150</v>
      </c>
      <c r="K36" s="215" t="s">
        <v>33</v>
      </c>
      <c r="L36" s="226"/>
      <c r="M36" s="224"/>
      <c r="N36" s="217"/>
      <c r="O36" s="210"/>
    </row>
    <row r="37">
      <c r="A37" s="212">
        <f t="shared" si="1"/>
        <v>35</v>
      </c>
      <c r="B37" s="212" t="s">
        <v>40</v>
      </c>
      <c r="C37" s="212" t="s">
        <v>150</v>
      </c>
      <c r="D37" s="220"/>
      <c r="E37" s="212" t="s">
        <v>92</v>
      </c>
      <c r="F37" s="220"/>
      <c r="G37" s="249" t="s">
        <v>1561</v>
      </c>
      <c r="H37" s="213" t="s">
        <v>1559</v>
      </c>
      <c r="I37" s="217" t="s">
        <v>1562</v>
      </c>
      <c r="J37" s="214" t="s">
        <v>150</v>
      </c>
      <c r="K37" s="215" t="s">
        <v>33</v>
      </c>
      <c r="L37" s="226"/>
      <c r="M37" s="224"/>
      <c r="N37" s="217"/>
      <c r="O37" s="210"/>
    </row>
    <row r="38">
      <c r="A38" s="212">
        <f t="shared" si="1"/>
        <v>36</v>
      </c>
      <c r="B38" s="212" t="s">
        <v>40</v>
      </c>
      <c r="C38" s="212" t="s">
        <v>150</v>
      </c>
      <c r="D38" s="39"/>
      <c r="E38" s="212" t="s">
        <v>92</v>
      </c>
      <c r="F38" s="39"/>
      <c r="G38" s="39"/>
      <c r="H38" s="213" t="s">
        <v>1563</v>
      </c>
      <c r="I38" s="217" t="s">
        <v>1564</v>
      </c>
      <c r="J38" s="214" t="s">
        <v>150</v>
      </c>
      <c r="K38" s="215" t="s">
        <v>33</v>
      </c>
      <c r="L38" s="226"/>
      <c r="M38" s="224"/>
      <c r="N38" s="217"/>
      <c r="O38" s="210"/>
    </row>
    <row r="39">
      <c r="A39" s="212">
        <f t="shared" si="1"/>
        <v>37</v>
      </c>
      <c r="B39" s="212" t="s">
        <v>40</v>
      </c>
      <c r="C39" s="212" t="s">
        <v>150</v>
      </c>
      <c r="D39" s="225" t="s">
        <v>1507</v>
      </c>
      <c r="E39" s="212" t="s">
        <v>92</v>
      </c>
      <c r="F39" s="225" t="s">
        <v>394</v>
      </c>
      <c r="G39" s="217" t="s">
        <v>92</v>
      </c>
      <c r="H39" s="213" t="s">
        <v>990</v>
      </c>
      <c r="I39" s="217" t="s">
        <v>1565</v>
      </c>
      <c r="J39" s="214" t="s">
        <v>150</v>
      </c>
      <c r="K39" s="215" t="s">
        <v>33</v>
      </c>
      <c r="L39" s="226"/>
      <c r="M39" s="224"/>
      <c r="N39" s="217"/>
      <c r="O39" s="210"/>
    </row>
    <row r="40">
      <c r="A40" s="212">
        <f t="shared" si="1"/>
        <v>38</v>
      </c>
      <c r="B40" s="212" t="s">
        <v>40</v>
      </c>
      <c r="C40" s="212" t="s">
        <v>150</v>
      </c>
      <c r="D40" s="220"/>
      <c r="E40" s="212" t="s">
        <v>92</v>
      </c>
      <c r="F40" s="220"/>
      <c r="G40" s="217" t="s">
        <v>92</v>
      </c>
      <c r="H40" s="213" t="s">
        <v>1529</v>
      </c>
      <c r="I40" s="217" t="s">
        <v>1566</v>
      </c>
      <c r="J40" s="214" t="s">
        <v>150</v>
      </c>
      <c r="K40" s="215" t="s">
        <v>33</v>
      </c>
      <c r="L40" s="226"/>
      <c r="M40" s="224"/>
      <c r="N40" s="217"/>
      <c r="O40" s="210"/>
    </row>
    <row r="41">
      <c r="A41" s="212">
        <f t="shared" si="1"/>
        <v>39</v>
      </c>
      <c r="B41" s="212" t="s">
        <v>40</v>
      </c>
      <c r="C41" s="212" t="s">
        <v>150</v>
      </c>
      <c r="D41" s="220"/>
      <c r="E41" s="212" t="s">
        <v>92</v>
      </c>
      <c r="F41" s="220"/>
      <c r="G41" s="217" t="s">
        <v>92</v>
      </c>
      <c r="H41" s="213" t="s">
        <v>1532</v>
      </c>
      <c r="I41" s="217" t="s">
        <v>1533</v>
      </c>
      <c r="J41" s="214" t="s">
        <v>150</v>
      </c>
      <c r="K41" s="215" t="s">
        <v>33</v>
      </c>
      <c r="L41" s="226"/>
      <c r="M41" s="224"/>
      <c r="N41" s="217"/>
      <c r="O41" s="210"/>
    </row>
    <row r="42">
      <c r="A42" s="212">
        <f t="shared" si="1"/>
        <v>40</v>
      </c>
      <c r="B42" s="212" t="s">
        <v>40</v>
      </c>
      <c r="C42" s="212" t="s">
        <v>150</v>
      </c>
      <c r="D42" s="220"/>
      <c r="E42" s="212" t="s">
        <v>92</v>
      </c>
      <c r="F42" s="220"/>
      <c r="G42" s="217" t="s">
        <v>92</v>
      </c>
      <c r="H42" s="213" t="s">
        <v>1534</v>
      </c>
      <c r="I42" s="217" t="s">
        <v>1533</v>
      </c>
      <c r="J42" s="214" t="s">
        <v>150</v>
      </c>
      <c r="K42" s="215" t="s">
        <v>35</v>
      </c>
      <c r="L42" s="226"/>
      <c r="M42" s="227" t="s">
        <v>1531</v>
      </c>
      <c r="N42" s="217"/>
      <c r="O42" s="210"/>
    </row>
    <row r="43">
      <c r="A43" s="212">
        <f t="shared" si="1"/>
        <v>41</v>
      </c>
      <c r="B43" s="212" t="s">
        <v>40</v>
      </c>
      <c r="C43" s="212" t="s">
        <v>150</v>
      </c>
      <c r="D43" s="220"/>
      <c r="E43" s="212" t="s">
        <v>92</v>
      </c>
      <c r="F43" s="220"/>
      <c r="G43" s="217" t="s">
        <v>92</v>
      </c>
      <c r="H43" s="213" t="s">
        <v>1535</v>
      </c>
      <c r="I43" s="217" t="s">
        <v>1536</v>
      </c>
      <c r="J43" s="214" t="s">
        <v>150</v>
      </c>
      <c r="K43" s="215" t="s">
        <v>33</v>
      </c>
      <c r="L43" s="240" t="s">
        <v>1537</v>
      </c>
      <c r="M43" s="227" t="s">
        <v>1538</v>
      </c>
      <c r="N43" s="217"/>
      <c r="O43" s="210"/>
    </row>
    <row r="44">
      <c r="A44" s="212">
        <f t="shared" si="1"/>
        <v>42</v>
      </c>
      <c r="B44" s="212" t="s">
        <v>40</v>
      </c>
      <c r="C44" s="212" t="s">
        <v>150</v>
      </c>
      <c r="D44" s="220"/>
      <c r="E44" s="212"/>
      <c r="F44" s="220"/>
      <c r="G44" s="217"/>
      <c r="H44" s="213" t="s">
        <v>1539</v>
      </c>
      <c r="I44" s="217" t="s">
        <v>1540</v>
      </c>
      <c r="J44" s="214" t="s">
        <v>150</v>
      </c>
      <c r="K44" s="215" t="s">
        <v>33</v>
      </c>
      <c r="L44" s="226"/>
      <c r="M44" s="224"/>
      <c r="N44" s="217"/>
      <c r="O44" s="210"/>
    </row>
    <row r="45">
      <c r="A45" s="212">
        <f t="shared" si="1"/>
        <v>43</v>
      </c>
      <c r="B45" s="212" t="s">
        <v>40</v>
      </c>
      <c r="C45" s="212" t="s">
        <v>150</v>
      </c>
      <c r="D45" s="220"/>
      <c r="E45" s="212" t="s">
        <v>92</v>
      </c>
      <c r="F45" s="220"/>
      <c r="G45" s="217" t="s">
        <v>92</v>
      </c>
      <c r="H45" s="213" t="s">
        <v>1541</v>
      </c>
      <c r="I45" s="217" t="s">
        <v>1567</v>
      </c>
      <c r="J45" s="214" t="s">
        <v>150</v>
      </c>
      <c r="K45" s="215" t="s">
        <v>33</v>
      </c>
      <c r="L45" s="226"/>
      <c r="M45" s="224"/>
      <c r="N45" s="217"/>
      <c r="O45" s="210"/>
    </row>
    <row r="46">
      <c r="A46" s="212">
        <f t="shared" si="1"/>
        <v>44</v>
      </c>
      <c r="B46" s="212" t="s">
        <v>40</v>
      </c>
      <c r="C46" s="212" t="s">
        <v>150</v>
      </c>
      <c r="D46" s="220"/>
      <c r="E46" s="212" t="s">
        <v>92</v>
      </c>
      <c r="F46" s="220"/>
      <c r="G46" s="217" t="s">
        <v>92</v>
      </c>
      <c r="H46" s="213" t="s">
        <v>1545</v>
      </c>
      <c r="I46" s="217" t="s">
        <v>1568</v>
      </c>
      <c r="J46" s="214" t="s">
        <v>150</v>
      </c>
      <c r="K46" s="215" t="s">
        <v>33</v>
      </c>
      <c r="L46" s="226"/>
      <c r="M46" s="224"/>
      <c r="N46" s="217"/>
      <c r="O46" s="210"/>
    </row>
    <row r="47">
      <c r="A47" s="212">
        <f t="shared" si="1"/>
        <v>45</v>
      </c>
      <c r="B47" s="212" t="s">
        <v>40</v>
      </c>
      <c r="C47" s="212" t="s">
        <v>150</v>
      </c>
      <c r="D47" s="220"/>
      <c r="E47" s="212" t="s">
        <v>92</v>
      </c>
      <c r="F47" s="220"/>
      <c r="G47" s="217" t="s">
        <v>1558</v>
      </c>
      <c r="H47" s="213" t="s">
        <v>1569</v>
      </c>
      <c r="I47" s="217" t="s">
        <v>1570</v>
      </c>
      <c r="J47" s="214" t="s">
        <v>150</v>
      </c>
      <c r="K47" s="215" t="s">
        <v>33</v>
      </c>
      <c r="L47" s="226"/>
      <c r="M47" s="224"/>
      <c r="N47" s="217"/>
      <c r="O47" s="210"/>
    </row>
    <row r="48">
      <c r="A48" s="212">
        <f t="shared" si="1"/>
        <v>46</v>
      </c>
      <c r="B48" s="212" t="s">
        <v>40</v>
      </c>
      <c r="C48" s="212" t="s">
        <v>150</v>
      </c>
      <c r="D48" s="220"/>
      <c r="E48" s="212" t="s">
        <v>92</v>
      </c>
      <c r="F48" s="220"/>
      <c r="G48" s="249" t="s">
        <v>1561</v>
      </c>
      <c r="H48" s="213" t="s">
        <v>1569</v>
      </c>
      <c r="I48" s="217" t="s">
        <v>1571</v>
      </c>
      <c r="J48" s="214" t="s">
        <v>150</v>
      </c>
      <c r="K48" s="215" t="s">
        <v>33</v>
      </c>
      <c r="L48" s="226"/>
      <c r="M48" s="224"/>
      <c r="N48" s="217"/>
      <c r="O48" s="210"/>
    </row>
    <row r="49">
      <c r="A49" s="212">
        <f t="shared" si="1"/>
        <v>47</v>
      </c>
      <c r="B49" s="212" t="s">
        <v>40</v>
      </c>
      <c r="C49" s="212" t="s">
        <v>150</v>
      </c>
      <c r="D49" s="39"/>
      <c r="E49" s="212" t="s">
        <v>92</v>
      </c>
      <c r="F49" s="39"/>
      <c r="G49" s="39"/>
      <c r="H49" s="213" t="s">
        <v>1563</v>
      </c>
      <c r="I49" s="217" t="s">
        <v>1564</v>
      </c>
      <c r="J49" s="214" t="s">
        <v>150</v>
      </c>
      <c r="K49" s="215" t="s">
        <v>33</v>
      </c>
      <c r="L49" s="226"/>
      <c r="M49" s="224"/>
      <c r="N49" s="217"/>
      <c r="O49" s="210"/>
    </row>
    <row r="50">
      <c r="A50" s="212">
        <f t="shared" si="1"/>
        <v>48</v>
      </c>
      <c r="B50" s="212" t="s">
        <v>40</v>
      </c>
      <c r="C50" s="212" t="s">
        <v>150</v>
      </c>
      <c r="D50" s="225" t="s">
        <v>1507</v>
      </c>
      <c r="E50" s="212" t="s">
        <v>92</v>
      </c>
      <c r="F50" s="225" t="s">
        <v>1572</v>
      </c>
      <c r="G50" s="217" t="s">
        <v>92</v>
      </c>
      <c r="H50" s="213" t="s">
        <v>1573</v>
      </c>
      <c r="I50" s="217" t="s">
        <v>1574</v>
      </c>
      <c r="J50" s="214" t="s">
        <v>150</v>
      </c>
      <c r="K50" s="215" t="s">
        <v>33</v>
      </c>
      <c r="L50" s="240" t="s">
        <v>1510</v>
      </c>
      <c r="M50" s="227" t="s">
        <v>1528</v>
      </c>
      <c r="N50" s="217"/>
      <c r="O50" s="210"/>
    </row>
    <row r="51">
      <c r="A51" s="212">
        <f t="shared" si="1"/>
        <v>49</v>
      </c>
      <c r="B51" s="212" t="s">
        <v>40</v>
      </c>
      <c r="C51" s="212" t="s">
        <v>150</v>
      </c>
      <c r="D51" s="220"/>
      <c r="E51" s="212" t="s">
        <v>92</v>
      </c>
      <c r="F51" s="220"/>
      <c r="G51" s="217" t="s">
        <v>92</v>
      </c>
      <c r="H51" s="213" t="s">
        <v>1529</v>
      </c>
      <c r="I51" s="217" t="s">
        <v>1575</v>
      </c>
      <c r="J51" s="214" t="s">
        <v>150</v>
      </c>
      <c r="K51" s="215" t="s">
        <v>33</v>
      </c>
      <c r="L51" s="226"/>
      <c r="M51" s="224"/>
      <c r="N51" s="217"/>
      <c r="O51" s="210"/>
    </row>
    <row r="52">
      <c r="A52" s="212">
        <f t="shared" si="1"/>
        <v>50</v>
      </c>
      <c r="B52" s="212" t="s">
        <v>40</v>
      </c>
      <c r="C52" s="212" t="s">
        <v>150</v>
      </c>
      <c r="D52" s="220"/>
      <c r="E52" s="212" t="s">
        <v>92</v>
      </c>
      <c r="F52" s="220"/>
      <c r="G52" s="217" t="s">
        <v>92</v>
      </c>
      <c r="H52" s="213" t="s">
        <v>1532</v>
      </c>
      <c r="I52" s="217" t="s">
        <v>1533</v>
      </c>
      <c r="J52" s="214" t="s">
        <v>150</v>
      </c>
      <c r="K52" s="215" t="s">
        <v>33</v>
      </c>
      <c r="L52" s="226"/>
      <c r="M52" s="227"/>
      <c r="N52" s="217"/>
      <c r="O52" s="210"/>
    </row>
    <row r="53">
      <c r="A53" s="212">
        <f t="shared" si="1"/>
        <v>51</v>
      </c>
      <c r="B53" s="212" t="s">
        <v>40</v>
      </c>
      <c r="C53" s="212" t="s">
        <v>150</v>
      </c>
      <c r="D53" s="220"/>
      <c r="E53" s="212" t="s">
        <v>92</v>
      </c>
      <c r="F53" s="220"/>
      <c r="G53" s="217" t="s">
        <v>92</v>
      </c>
      <c r="H53" s="213" t="s">
        <v>1534</v>
      </c>
      <c r="I53" s="217" t="s">
        <v>1533</v>
      </c>
      <c r="J53" s="214" t="s">
        <v>150</v>
      </c>
      <c r="K53" s="215" t="s">
        <v>35</v>
      </c>
      <c r="L53" s="226"/>
      <c r="M53" s="227" t="s">
        <v>1531</v>
      </c>
      <c r="N53" s="217"/>
      <c r="O53" s="210"/>
    </row>
    <row r="54">
      <c r="A54" s="212">
        <f t="shared" si="1"/>
        <v>52</v>
      </c>
      <c r="B54" s="212" t="s">
        <v>40</v>
      </c>
      <c r="C54" s="212" t="s">
        <v>150</v>
      </c>
      <c r="D54" s="220"/>
      <c r="E54" s="212"/>
      <c r="F54" s="220"/>
      <c r="G54" s="217"/>
      <c r="H54" s="213" t="s">
        <v>1535</v>
      </c>
      <c r="I54" s="217" t="s">
        <v>1536</v>
      </c>
      <c r="J54" s="214" t="s">
        <v>150</v>
      </c>
      <c r="K54" s="215" t="s">
        <v>33</v>
      </c>
      <c r="L54" s="240" t="s">
        <v>1537</v>
      </c>
      <c r="M54" s="227" t="s">
        <v>1538</v>
      </c>
      <c r="N54" s="217"/>
      <c r="O54" s="210"/>
    </row>
    <row r="55">
      <c r="A55" s="212">
        <f t="shared" si="1"/>
        <v>53</v>
      </c>
      <c r="B55" s="212" t="s">
        <v>40</v>
      </c>
      <c r="C55" s="212" t="s">
        <v>150</v>
      </c>
      <c r="D55" s="220"/>
      <c r="E55" s="212" t="s">
        <v>92</v>
      </c>
      <c r="F55" s="220"/>
      <c r="G55" s="217" t="s">
        <v>92</v>
      </c>
      <c r="H55" s="213" t="s">
        <v>1539</v>
      </c>
      <c r="I55" s="217" t="s">
        <v>1540</v>
      </c>
      <c r="J55" s="214" t="s">
        <v>150</v>
      </c>
      <c r="K55" s="215" t="s">
        <v>33</v>
      </c>
      <c r="L55" s="226"/>
      <c r="M55" s="224"/>
      <c r="N55" s="217"/>
      <c r="O55" s="210"/>
    </row>
    <row r="56">
      <c r="A56" s="212">
        <f t="shared" si="1"/>
        <v>54</v>
      </c>
      <c r="B56" s="212" t="s">
        <v>40</v>
      </c>
      <c r="C56" s="212" t="s">
        <v>150</v>
      </c>
      <c r="D56" s="220"/>
      <c r="E56" s="212" t="s">
        <v>92</v>
      </c>
      <c r="F56" s="220"/>
      <c r="G56" s="217" t="s">
        <v>92</v>
      </c>
      <c r="H56" s="213" t="s">
        <v>1541</v>
      </c>
      <c r="I56" s="217" t="s">
        <v>1576</v>
      </c>
      <c r="J56" s="214" t="s">
        <v>150</v>
      </c>
      <c r="K56" s="215" t="s">
        <v>33</v>
      </c>
      <c r="L56" s="226"/>
      <c r="M56" s="224"/>
      <c r="N56" s="217"/>
      <c r="O56" s="210"/>
    </row>
    <row r="57">
      <c r="A57" s="212">
        <f t="shared" si="1"/>
        <v>55</v>
      </c>
      <c r="B57" s="212" t="s">
        <v>40</v>
      </c>
      <c r="C57" s="212" t="s">
        <v>150</v>
      </c>
      <c r="D57" s="39"/>
      <c r="E57" s="212" t="s">
        <v>92</v>
      </c>
      <c r="F57" s="39"/>
      <c r="G57" s="217" t="s">
        <v>92</v>
      </c>
      <c r="H57" s="213" t="s">
        <v>1545</v>
      </c>
      <c r="I57" s="217" t="s">
        <v>1577</v>
      </c>
      <c r="J57" s="214" t="s">
        <v>150</v>
      </c>
      <c r="K57" s="215" t="s">
        <v>33</v>
      </c>
      <c r="L57" s="226"/>
      <c r="M57" s="224"/>
      <c r="N57" s="217"/>
      <c r="O57" s="210"/>
    </row>
    <row r="58">
      <c r="A58" s="212">
        <f t="shared" si="1"/>
        <v>56</v>
      </c>
      <c r="B58" s="212" t="s">
        <v>40</v>
      </c>
      <c r="C58" s="212" t="s">
        <v>150</v>
      </c>
      <c r="D58" s="225" t="s">
        <v>1507</v>
      </c>
      <c r="E58" s="212" t="s">
        <v>92</v>
      </c>
      <c r="F58" s="225" t="s">
        <v>1578</v>
      </c>
      <c r="G58" s="217" t="s">
        <v>92</v>
      </c>
      <c r="H58" s="213" t="s">
        <v>1579</v>
      </c>
      <c r="I58" s="217" t="s">
        <v>1580</v>
      </c>
      <c r="J58" s="214" t="s">
        <v>150</v>
      </c>
      <c r="K58" s="215" t="s">
        <v>33</v>
      </c>
      <c r="L58" s="240" t="s">
        <v>1510</v>
      </c>
      <c r="M58" s="227" t="s">
        <v>1528</v>
      </c>
      <c r="N58" s="217"/>
      <c r="O58" s="210"/>
    </row>
    <row r="59">
      <c r="A59" s="212">
        <f t="shared" si="1"/>
        <v>57</v>
      </c>
      <c r="B59" s="212" t="s">
        <v>40</v>
      </c>
      <c r="C59" s="212" t="s">
        <v>150</v>
      </c>
      <c r="D59" s="220"/>
      <c r="E59" s="212" t="s">
        <v>92</v>
      </c>
      <c r="F59" s="220"/>
      <c r="G59" s="217" t="s">
        <v>92</v>
      </c>
      <c r="H59" s="213" t="s">
        <v>1529</v>
      </c>
      <c r="I59" s="217" t="s">
        <v>1581</v>
      </c>
      <c r="J59" s="214" t="s">
        <v>150</v>
      </c>
      <c r="K59" s="215" t="s">
        <v>33</v>
      </c>
      <c r="L59" s="226"/>
      <c r="M59" s="224"/>
      <c r="N59" s="217"/>
      <c r="O59" s="210"/>
    </row>
    <row r="60">
      <c r="A60" s="212">
        <f t="shared" si="1"/>
        <v>58</v>
      </c>
      <c r="B60" s="212" t="s">
        <v>40</v>
      </c>
      <c r="C60" s="212" t="s">
        <v>150</v>
      </c>
      <c r="D60" s="220"/>
      <c r="E60" s="212" t="s">
        <v>92</v>
      </c>
      <c r="F60" s="220"/>
      <c r="G60" s="217" t="s">
        <v>92</v>
      </c>
      <c r="H60" s="213" t="s">
        <v>1532</v>
      </c>
      <c r="I60" s="217" t="s">
        <v>1533</v>
      </c>
      <c r="J60" s="214" t="s">
        <v>150</v>
      </c>
      <c r="K60" s="215" t="s">
        <v>33</v>
      </c>
      <c r="L60" s="226"/>
      <c r="M60" s="224"/>
      <c r="N60" s="217"/>
      <c r="O60" s="210"/>
    </row>
    <row r="61">
      <c r="A61" s="212">
        <f t="shared" si="1"/>
        <v>59</v>
      </c>
      <c r="B61" s="212" t="s">
        <v>40</v>
      </c>
      <c r="C61" s="212" t="s">
        <v>150</v>
      </c>
      <c r="D61" s="220"/>
      <c r="E61" s="212" t="s">
        <v>92</v>
      </c>
      <c r="F61" s="220"/>
      <c r="G61" s="217" t="s">
        <v>92</v>
      </c>
      <c r="H61" s="213" t="s">
        <v>1534</v>
      </c>
      <c r="I61" s="217" t="s">
        <v>1533</v>
      </c>
      <c r="J61" s="214" t="s">
        <v>150</v>
      </c>
      <c r="K61" s="215" t="s">
        <v>35</v>
      </c>
      <c r="L61" s="226"/>
      <c r="M61" s="227" t="s">
        <v>1531</v>
      </c>
      <c r="N61" s="217"/>
      <c r="O61" s="210"/>
    </row>
    <row r="62">
      <c r="A62" s="212">
        <f t="shared" si="1"/>
        <v>60</v>
      </c>
      <c r="B62" s="212" t="s">
        <v>40</v>
      </c>
      <c r="C62" s="212" t="s">
        <v>150</v>
      </c>
      <c r="D62" s="220"/>
      <c r="E62" s="212"/>
      <c r="F62" s="220"/>
      <c r="G62" s="217"/>
      <c r="H62" s="213" t="s">
        <v>1535</v>
      </c>
      <c r="I62" s="217" t="s">
        <v>1536</v>
      </c>
      <c r="J62" s="214" t="s">
        <v>150</v>
      </c>
      <c r="K62" s="215" t="s">
        <v>33</v>
      </c>
      <c r="L62" s="240" t="s">
        <v>1537</v>
      </c>
      <c r="M62" s="227" t="s">
        <v>1538</v>
      </c>
      <c r="N62" s="217"/>
      <c r="O62" s="210"/>
    </row>
    <row r="63">
      <c r="A63" s="212">
        <f t="shared" si="1"/>
        <v>61</v>
      </c>
      <c r="B63" s="212" t="s">
        <v>40</v>
      </c>
      <c r="C63" s="212" t="s">
        <v>150</v>
      </c>
      <c r="D63" s="220"/>
      <c r="E63" s="212" t="s">
        <v>92</v>
      </c>
      <c r="F63" s="220"/>
      <c r="G63" s="217" t="s">
        <v>92</v>
      </c>
      <c r="H63" s="213" t="s">
        <v>1539</v>
      </c>
      <c r="I63" s="217" t="s">
        <v>1540</v>
      </c>
      <c r="J63" s="214" t="s">
        <v>150</v>
      </c>
      <c r="K63" s="215" t="s">
        <v>33</v>
      </c>
      <c r="L63" s="226"/>
      <c r="M63" s="224"/>
      <c r="N63" s="217"/>
      <c r="O63" s="210"/>
    </row>
    <row r="64">
      <c r="A64" s="212">
        <f t="shared" si="1"/>
        <v>62</v>
      </c>
      <c r="B64" s="212" t="s">
        <v>40</v>
      </c>
      <c r="C64" s="212" t="s">
        <v>150</v>
      </c>
      <c r="D64" s="220"/>
      <c r="E64" s="212" t="s">
        <v>92</v>
      </c>
      <c r="F64" s="220"/>
      <c r="G64" s="217" t="s">
        <v>92</v>
      </c>
      <c r="H64" s="213" t="s">
        <v>1541</v>
      </c>
      <c r="I64" s="217" t="s">
        <v>1582</v>
      </c>
      <c r="J64" s="214" t="s">
        <v>150</v>
      </c>
      <c r="K64" s="215" t="s">
        <v>33</v>
      </c>
      <c r="L64" s="226"/>
      <c r="M64" s="224"/>
      <c r="N64" s="217"/>
      <c r="O64" s="210"/>
    </row>
    <row r="65">
      <c r="A65" s="212">
        <f t="shared" si="1"/>
        <v>63</v>
      </c>
      <c r="B65" s="212" t="s">
        <v>40</v>
      </c>
      <c r="C65" s="212" t="s">
        <v>150</v>
      </c>
      <c r="D65" s="39"/>
      <c r="E65" s="212" t="s">
        <v>92</v>
      </c>
      <c r="F65" s="39"/>
      <c r="G65" s="217" t="s">
        <v>92</v>
      </c>
      <c r="H65" s="213" t="s">
        <v>1545</v>
      </c>
      <c r="I65" s="217" t="s">
        <v>1583</v>
      </c>
      <c r="J65" s="214" t="s">
        <v>150</v>
      </c>
      <c r="K65" s="215" t="s">
        <v>33</v>
      </c>
      <c r="L65" s="226"/>
      <c r="M65" s="224"/>
      <c r="N65" s="217"/>
      <c r="O65" s="210"/>
    </row>
    <row r="66">
      <c r="A66" s="212">
        <f t="shared" si="1"/>
        <v>64</v>
      </c>
      <c r="B66" s="212" t="s">
        <v>40</v>
      </c>
      <c r="C66" s="212" t="s">
        <v>150</v>
      </c>
      <c r="D66" s="225" t="s">
        <v>1507</v>
      </c>
      <c r="E66" s="212" t="s">
        <v>92</v>
      </c>
      <c r="F66" s="225" t="s">
        <v>1584</v>
      </c>
      <c r="G66" s="217" t="s">
        <v>92</v>
      </c>
      <c r="H66" s="213" t="s">
        <v>1585</v>
      </c>
      <c r="I66" s="217" t="s">
        <v>1586</v>
      </c>
      <c r="J66" s="214" t="s">
        <v>150</v>
      </c>
      <c r="K66" s="215" t="s">
        <v>33</v>
      </c>
      <c r="L66" s="240" t="s">
        <v>1510</v>
      </c>
      <c r="M66" s="227" t="s">
        <v>1528</v>
      </c>
      <c r="N66" s="217"/>
      <c r="O66" s="210"/>
    </row>
    <row r="67">
      <c r="A67" s="212">
        <f t="shared" si="1"/>
        <v>65</v>
      </c>
      <c r="B67" s="212" t="s">
        <v>40</v>
      </c>
      <c r="C67" s="212" t="s">
        <v>150</v>
      </c>
      <c r="D67" s="220"/>
      <c r="E67" s="212" t="s">
        <v>92</v>
      </c>
      <c r="F67" s="220"/>
      <c r="G67" s="217" t="s">
        <v>92</v>
      </c>
      <c r="H67" s="213" t="s">
        <v>1529</v>
      </c>
      <c r="I67" s="217" t="s">
        <v>1587</v>
      </c>
      <c r="J67" s="214" t="s">
        <v>150</v>
      </c>
      <c r="K67" s="215" t="s">
        <v>33</v>
      </c>
      <c r="L67" s="226"/>
      <c r="M67" s="224"/>
      <c r="N67" s="217"/>
      <c r="O67" s="210"/>
    </row>
    <row r="68">
      <c r="A68" s="212">
        <f t="shared" si="1"/>
        <v>66</v>
      </c>
      <c r="B68" s="212" t="s">
        <v>40</v>
      </c>
      <c r="C68" s="212" t="s">
        <v>150</v>
      </c>
      <c r="D68" s="220"/>
      <c r="E68" s="212" t="s">
        <v>92</v>
      </c>
      <c r="F68" s="220"/>
      <c r="G68" s="217" t="s">
        <v>92</v>
      </c>
      <c r="H68" s="213" t="s">
        <v>1532</v>
      </c>
      <c r="I68" s="217" t="s">
        <v>1533</v>
      </c>
      <c r="J68" s="214" t="s">
        <v>150</v>
      </c>
      <c r="K68" s="215" t="s">
        <v>33</v>
      </c>
      <c r="L68" s="226"/>
      <c r="M68" s="224"/>
      <c r="N68" s="217"/>
      <c r="O68" s="210"/>
    </row>
    <row r="69">
      <c r="A69" s="212">
        <f t="shared" si="1"/>
        <v>67</v>
      </c>
      <c r="B69" s="212" t="s">
        <v>40</v>
      </c>
      <c r="C69" s="212" t="s">
        <v>150</v>
      </c>
      <c r="D69" s="220"/>
      <c r="E69" s="212" t="s">
        <v>92</v>
      </c>
      <c r="F69" s="220"/>
      <c r="G69" s="217" t="s">
        <v>92</v>
      </c>
      <c r="H69" s="213" t="s">
        <v>1534</v>
      </c>
      <c r="I69" s="217" t="s">
        <v>1533</v>
      </c>
      <c r="J69" s="214" t="s">
        <v>150</v>
      </c>
      <c r="K69" s="215" t="s">
        <v>35</v>
      </c>
      <c r="L69" s="226"/>
      <c r="M69" s="227" t="s">
        <v>1531</v>
      </c>
      <c r="N69" s="217"/>
      <c r="O69" s="210"/>
    </row>
    <row r="70">
      <c r="A70" s="212">
        <f t="shared" si="1"/>
        <v>68</v>
      </c>
      <c r="B70" s="212" t="s">
        <v>40</v>
      </c>
      <c r="C70" s="212" t="s">
        <v>150</v>
      </c>
      <c r="D70" s="220"/>
      <c r="E70" s="212"/>
      <c r="F70" s="220"/>
      <c r="G70" s="217"/>
      <c r="H70" s="213" t="s">
        <v>1535</v>
      </c>
      <c r="I70" s="217" t="s">
        <v>1536</v>
      </c>
      <c r="J70" s="214" t="s">
        <v>150</v>
      </c>
      <c r="K70" s="215" t="s">
        <v>33</v>
      </c>
      <c r="L70" s="240" t="s">
        <v>1537</v>
      </c>
      <c r="M70" s="227" t="s">
        <v>1538</v>
      </c>
      <c r="N70" s="217"/>
      <c r="O70" s="210"/>
    </row>
    <row r="71">
      <c r="A71" s="212">
        <f t="shared" si="1"/>
        <v>69</v>
      </c>
      <c r="B71" s="212" t="s">
        <v>40</v>
      </c>
      <c r="C71" s="212" t="s">
        <v>150</v>
      </c>
      <c r="D71" s="220"/>
      <c r="E71" s="212" t="s">
        <v>92</v>
      </c>
      <c r="F71" s="220"/>
      <c r="G71" s="217" t="s">
        <v>92</v>
      </c>
      <c r="H71" s="213" t="s">
        <v>1539</v>
      </c>
      <c r="I71" s="217" t="s">
        <v>1540</v>
      </c>
      <c r="J71" s="214" t="s">
        <v>150</v>
      </c>
      <c r="K71" s="215" t="s">
        <v>33</v>
      </c>
      <c r="L71" s="226"/>
      <c r="M71" s="224"/>
      <c r="N71" s="217"/>
      <c r="O71" s="210"/>
    </row>
    <row r="72">
      <c r="A72" s="212">
        <f t="shared" si="1"/>
        <v>70</v>
      </c>
      <c r="B72" s="212" t="s">
        <v>40</v>
      </c>
      <c r="C72" s="212" t="s">
        <v>150</v>
      </c>
      <c r="D72" s="220"/>
      <c r="E72" s="212" t="s">
        <v>92</v>
      </c>
      <c r="F72" s="220"/>
      <c r="G72" s="217" t="s">
        <v>92</v>
      </c>
      <c r="H72" s="213" t="s">
        <v>1541</v>
      </c>
      <c r="I72" s="217" t="s">
        <v>1588</v>
      </c>
      <c r="J72" s="214" t="s">
        <v>150</v>
      </c>
      <c r="K72" s="215" t="s">
        <v>33</v>
      </c>
      <c r="L72" s="226"/>
      <c r="M72" s="227" t="s">
        <v>1589</v>
      </c>
      <c r="N72" s="217"/>
      <c r="O72" s="210"/>
    </row>
    <row r="73">
      <c r="A73" s="212">
        <f t="shared" si="1"/>
        <v>71</v>
      </c>
      <c r="B73" s="212" t="s">
        <v>40</v>
      </c>
      <c r="C73" s="212" t="s">
        <v>150</v>
      </c>
      <c r="D73" s="39"/>
      <c r="E73" s="212" t="s">
        <v>92</v>
      </c>
      <c r="F73" s="39"/>
      <c r="G73" s="217" t="s">
        <v>92</v>
      </c>
      <c r="H73" s="213" t="s">
        <v>1545</v>
      </c>
      <c r="I73" s="217" t="s">
        <v>1590</v>
      </c>
      <c r="J73" s="214" t="s">
        <v>150</v>
      </c>
      <c r="K73" s="215" t="s">
        <v>33</v>
      </c>
      <c r="L73" s="226"/>
      <c r="M73" s="227" t="s">
        <v>1589</v>
      </c>
      <c r="N73" s="217"/>
      <c r="O73" s="210"/>
    </row>
    <row r="74">
      <c r="A74" s="212">
        <f t="shared" si="1"/>
        <v>72</v>
      </c>
      <c r="B74" s="212" t="s">
        <v>40</v>
      </c>
      <c r="C74" s="212" t="s">
        <v>150</v>
      </c>
      <c r="D74" s="225" t="s">
        <v>1507</v>
      </c>
      <c r="E74" s="212" t="s">
        <v>92</v>
      </c>
      <c r="F74" s="225" t="s">
        <v>1591</v>
      </c>
      <c r="G74" s="217" t="s">
        <v>92</v>
      </c>
      <c r="H74" s="213" t="s">
        <v>1592</v>
      </c>
      <c r="I74" s="217" t="s">
        <v>1593</v>
      </c>
      <c r="J74" s="214" t="s">
        <v>150</v>
      </c>
      <c r="K74" s="215" t="s">
        <v>33</v>
      </c>
      <c r="L74" s="240" t="s">
        <v>1510</v>
      </c>
      <c r="M74" s="227" t="s">
        <v>1528</v>
      </c>
      <c r="N74" s="217"/>
      <c r="O74" s="210"/>
    </row>
    <row r="75">
      <c r="A75" s="212">
        <f t="shared" si="1"/>
        <v>73</v>
      </c>
      <c r="B75" s="212" t="s">
        <v>40</v>
      </c>
      <c r="C75" s="212" t="s">
        <v>150</v>
      </c>
      <c r="D75" s="220"/>
      <c r="E75" s="212" t="s">
        <v>92</v>
      </c>
      <c r="F75" s="220"/>
      <c r="G75" s="217" t="s">
        <v>92</v>
      </c>
      <c r="H75" s="213" t="s">
        <v>1529</v>
      </c>
      <c r="I75" s="217" t="s">
        <v>1594</v>
      </c>
      <c r="J75" s="214" t="s">
        <v>150</v>
      </c>
      <c r="K75" s="215" t="s">
        <v>33</v>
      </c>
      <c r="L75" s="226"/>
      <c r="M75" s="224"/>
      <c r="N75" s="217"/>
      <c r="O75" s="210"/>
    </row>
    <row r="76">
      <c r="A76" s="212">
        <f t="shared" si="1"/>
        <v>74</v>
      </c>
      <c r="B76" s="212" t="s">
        <v>40</v>
      </c>
      <c r="C76" s="212" t="s">
        <v>150</v>
      </c>
      <c r="D76" s="220"/>
      <c r="E76" s="212" t="s">
        <v>92</v>
      </c>
      <c r="F76" s="220"/>
      <c r="G76" s="217" t="s">
        <v>92</v>
      </c>
      <c r="H76" s="213" t="s">
        <v>1532</v>
      </c>
      <c r="I76" s="217" t="s">
        <v>1533</v>
      </c>
      <c r="J76" s="214" t="s">
        <v>150</v>
      </c>
      <c r="K76" s="215" t="s">
        <v>33</v>
      </c>
      <c r="L76" s="226"/>
      <c r="M76" s="224"/>
      <c r="N76" s="217"/>
      <c r="O76" s="210"/>
    </row>
    <row r="77">
      <c r="A77" s="212">
        <f t="shared" si="1"/>
        <v>75</v>
      </c>
      <c r="B77" s="212" t="s">
        <v>40</v>
      </c>
      <c r="C77" s="212" t="s">
        <v>150</v>
      </c>
      <c r="D77" s="220"/>
      <c r="E77" s="212" t="s">
        <v>92</v>
      </c>
      <c r="F77" s="220"/>
      <c r="G77" s="217" t="s">
        <v>92</v>
      </c>
      <c r="H77" s="213" t="s">
        <v>1534</v>
      </c>
      <c r="I77" s="217" t="s">
        <v>1533</v>
      </c>
      <c r="J77" s="214" t="s">
        <v>150</v>
      </c>
      <c r="K77" s="215" t="s">
        <v>35</v>
      </c>
      <c r="L77" s="226"/>
      <c r="M77" s="227" t="s">
        <v>1531</v>
      </c>
      <c r="N77" s="217"/>
      <c r="O77" s="210"/>
    </row>
    <row r="78">
      <c r="A78" s="212">
        <f t="shared" si="1"/>
        <v>76</v>
      </c>
      <c r="B78" s="212" t="s">
        <v>40</v>
      </c>
      <c r="C78" s="212" t="s">
        <v>150</v>
      </c>
      <c r="D78" s="220"/>
      <c r="E78" s="212"/>
      <c r="F78" s="220"/>
      <c r="G78" s="217"/>
      <c r="H78" s="213" t="s">
        <v>1535</v>
      </c>
      <c r="I78" s="217" t="s">
        <v>1536</v>
      </c>
      <c r="J78" s="214" t="s">
        <v>150</v>
      </c>
      <c r="K78" s="215" t="s">
        <v>33</v>
      </c>
      <c r="L78" s="240" t="s">
        <v>1537</v>
      </c>
      <c r="M78" s="227" t="s">
        <v>1538</v>
      </c>
      <c r="N78" s="217"/>
      <c r="O78" s="210"/>
    </row>
    <row r="79">
      <c r="A79" s="212">
        <f t="shared" si="1"/>
        <v>77</v>
      </c>
      <c r="B79" s="212" t="s">
        <v>40</v>
      </c>
      <c r="C79" s="212" t="s">
        <v>150</v>
      </c>
      <c r="D79" s="220"/>
      <c r="E79" s="212" t="s">
        <v>92</v>
      </c>
      <c r="F79" s="220"/>
      <c r="G79" s="217" t="s">
        <v>92</v>
      </c>
      <c r="H79" s="213" t="s">
        <v>1539</v>
      </c>
      <c r="I79" s="217" t="s">
        <v>1540</v>
      </c>
      <c r="J79" s="214" t="s">
        <v>150</v>
      </c>
      <c r="K79" s="215" t="s">
        <v>33</v>
      </c>
      <c r="L79" s="226"/>
      <c r="M79" s="224"/>
      <c r="N79" s="217"/>
      <c r="O79" s="210"/>
    </row>
    <row r="80">
      <c r="A80" s="212">
        <f t="shared" si="1"/>
        <v>78</v>
      </c>
      <c r="B80" s="212" t="s">
        <v>40</v>
      </c>
      <c r="C80" s="212" t="s">
        <v>150</v>
      </c>
      <c r="D80" s="220"/>
      <c r="E80" s="212" t="s">
        <v>92</v>
      </c>
      <c r="F80" s="220"/>
      <c r="G80" s="217" t="s">
        <v>92</v>
      </c>
      <c r="H80" s="213" t="s">
        <v>1541</v>
      </c>
      <c r="I80" s="217" t="s">
        <v>1595</v>
      </c>
      <c r="J80" s="214" t="s">
        <v>150</v>
      </c>
      <c r="K80" s="215" t="s">
        <v>33</v>
      </c>
      <c r="L80" s="226"/>
      <c r="M80" s="227" t="s">
        <v>1589</v>
      </c>
      <c r="N80" s="217"/>
      <c r="O80" s="210"/>
    </row>
    <row r="81">
      <c r="A81" s="212">
        <f t="shared" si="1"/>
        <v>79</v>
      </c>
      <c r="B81" s="212" t="s">
        <v>40</v>
      </c>
      <c r="C81" s="212" t="s">
        <v>150</v>
      </c>
      <c r="D81" s="39"/>
      <c r="E81" s="212" t="s">
        <v>92</v>
      </c>
      <c r="F81" s="39"/>
      <c r="G81" s="217" t="s">
        <v>92</v>
      </c>
      <c r="H81" s="213" t="s">
        <v>1545</v>
      </c>
      <c r="I81" s="217" t="s">
        <v>1596</v>
      </c>
      <c r="J81" s="214" t="s">
        <v>150</v>
      </c>
      <c r="K81" s="215" t="s">
        <v>33</v>
      </c>
      <c r="L81" s="226"/>
      <c r="M81" s="227" t="s">
        <v>1589</v>
      </c>
      <c r="N81" s="217"/>
      <c r="O81" s="210"/>
    </row>
    <row r="82">
      <c r="A82" s="212">
        <f t="shared" si="1"/>
        <v>80</v>
      </c>
      <c r="B82" s="212" t="s">
        <v>40</v>
      </c>
      <c r="C82" s="212" t="s">
        <v>150</v>
      </c>
      <c r="D82" s="225" t="s">
        <v>1507</v>
      </c>
      <c r="E82" s="212" t="s">
        <v>92</v>
      </c>
      <c r="F82" s="225" t="s">
        <v>1597</v>
      </c>
      <c r="G82" s="217" t="s">
        <v>92</v>
      </c>
      <c r="H82" s="213" t="s">
        <v>1598</v>
      </c>
      <c r="I82" s="217" t="s">
        <v>1599</v>
      </c>
      <c r="J82" s="214" t="s">
        <v>150</v>
      </c>
      <c r="K82" s="215" t="s">
        <v>33</v>
      </c>
      <c r="L82" s="226"/>
      <c r="M82" s="224"/>
      <c r="N82" s="217"/>
      <c r="O82" s="210"/>
    </row>
    <row r="83">
      <c r="A83" s="212">
        <f t="shared" si="1"/>
        <v>81</v>
      </c>
      <c r="B83" s="212" t="s">
        <v>40</v>
      </c>
      <c r="C83" s="212" t="s">
        <v>150</v>
      </c>
      <c r="D83" s="220"/>
      <c r="E83" s="212" t="s">
        <v>92</v>
      </c>
      <c r="F83" s="220"/>
      <c r="G83" s="217" t="s">
        <v>92</v>
      </c>
      <c r="H83" s="213" t="s">
        <v>1529</v>
      </c>
      <c r="I83" s="217" t="s">
        <v>1600</v>
      </c>
      <c r="J83" s="214" t="s">
        <v>150</v>
      </c>
      <c r="K83" s="215" t="s">
        <v>33</v>
      </c>
      <c r="L83" s="226"/>
      <c r="M83" s="224"/>
      <c r="N83" s="217"/>
      <c r="O83" s="210"/>
    </row>
    <row r="84">
      <c r="A84" s="212">
        <f t="shared" si="1"/>
        <v>82</v>
      </c>
      <c r="B84" s="212" t="s">
        <v>40</v>
      </c>
      <c r="C84" s="212" t="s">
        <v>150</v>
      </c>
      <c r="D84" s="220"/>
      <c r="E84" s="212" t="s">
        <v>92</v>
      </c>
      <c r="F84" s="220"/>
      <c r="G84" s="217" t="s">
        <v>92</v>
      </c>
      <c r="H84" s="213" t="s">
        <v>1532</v>
      </c>
      <c r="I84" s="217" t="s">
        <v>1533</v>
      </c>
      <c r="J84" s="214" t="s">
        <v>150</v>
      </c>
      <c r="K84" s="215" t="s">
        <v>33</v>
      </c>
      <c r="L84" s="226"/>
      <c r="M84" s="224"/>
      <c r="N84" s="217"/>
      <c r="O84" s="210"/>
    </row>
    <row r="85">
      <c r="A85" s="212">
        <f t="shared" si="1"/>
        <v>83</v>
      </c>
      <c r="B85" s="212" t="s">
        <v>40</v>
      </c>
      <c r="C85" s="212" t="s">
        <v>150</v>
      </c>
      <c r="D85" s="220"/>
      <c r="E85" s="212" t="s">
        <v>92</v>
      </c>
      <c r="F85" s="220"/>
      <c r="G85" s="217" t="s">
        <v>92</v>
      </c>
      <c r="H85" s="213" t="s">
        <v>1534</v>
      </c>
      <c r="I85" s="217" t="s">
        <v>1533</v>
      </c>
      <c r="J85" s="214" t="s">
        <v>150</v>
      </c>
      <c r="K85" s="215" t="s">
        <v>35</v>
      </c>
      <c r="L85" s="226"/>
      <c r="M85" s="224"/>
      <c r="N85" s="217"/>
      <c r="O85" s="210"/>
    </row>
    <row r="86">
      <c r="A86" s="212">
        <f t="shared" si="1"/>
        <v>84</v>
      </c>
      <c r="B86" s="212" t="s">
        <v>40</v>
      </c>
      <c r="C86" s="212" t="s">
        <v>150</v>
      </c>
      <c r="D86" s="220"/>
      <c r="E86" s="212"/>
      <c r="F86" s="220"/>
      <c r="G86" s="217"/>
      <c r="H86" s="213" t="s">
        <v>1535</v>
      </c>
      <c r="I86" s="217" t="s">
        <v>1536</v>
      </c>
      <c r="J86" s="214" t="s">
        <v>150</v>
      </c>
      <c r="K86" s="215" t="s">
        <v>33</v>
      </c>
      <c r="L86" s="226"/>
      <c r="M86" s="224"/>
      <c r="N86" s="217"/>
      <c r="O86" s="210"/>
    </row>
    <row r="87">
      <c r="A87" s="212">
        <f t="shared" si="1"/>
        <v>85</v>
      </c>
      <c r="B87" s="212" t="s">
        <v>40</v>
      </c>
      <c r="C87" s="212" t="s">
        <v>150</v>
      </c>
      <c r="D87" s="220"/>
      <c r="E87" s="212" t="s">
        <v>92</v>
      </c>
      <c r="F87" s="220"/>
      <c r="G87" s="217" t="s">
        <v>92</v>
      </c>
      <c r="H87" s="213" t="s">
        <v>1539</v>
      </c>
      <c r="I87" s="217" t="s">
        <v>1540</v>
      </c>
      <c r="J87" s="214" t="s">
        <v>150</v>
      </c>
      <c r="K87" s="215" t="s">
        <v>33</v>
      </c>
      <c r="L87" s="226"/>
      <c r="M87" s="224"/>
      <c r="N87" s="217"/>
      <c r="O87" s="210"/>
    </row>
    <row r="88">
      <c r="A88" s="212">
        <f t="shared" si="1"/>
        <v>86</v>
      </c>
      <c r="B88" s="212" t="s">
        <v>40</v>
      </c>
      <c r="C88" s="212" t="s">
        <v>150</v>
      </c>
      <c r="D88" s="220"/>
      <c r="E88" s="212" t="s">
        <v>92</v>
      </c>
      <c r="F88" s="220"/>
      <c r="G88" s="217" t="s">
        <v>92</v>
      </c>
      <c r="H88" s="213" t="s">
        <v>1541</v>
      </c>
      <c r="I88" s="217" t="s">
        <v>1601</v>
      </c>
      <c r="J88" s="214" t="s">
        <v>150</v>
      </c>
      <c r="K88" s="215" t="s">
        <v>33</v>
      </c>
      <c r="L88" s="226"/>
      <c r="M88" s="227" t="s">
        <v>1589</v>
      </c>
      <c r="N88" s="217"/>
      <c r="O88" s="210"/>
    </row>
    <row r="89">
      <c r="A89" s="212">
        <f t="shared" si="1"/>
        <v>87</v>
      </c>
      <c r="B89" s="212" t="s">
        <v>40</v>
      </c>
      <c r="C89" s="212" t="s">
        <v>150</v>
      </c>
      <c r="D89" s="39"/>
      <c r="E89" s="212" t="s">
        <v>92</v>
      </c>
      <c r="F89" s="39"/>
      <c r="G89" s="217" t="s">
        <v>92</v>
      </c>
      <c r="H89" s="213" t="s">
        <v>1545</v>
      </c>
      <c r="I89" s="217" t="s">
        <v>1602</v>
      </c>
      <c r="J89" s="214" t="s">
        <v>150</v>
      </c>
      <c r="K89" s="215" t="s">
        <v>33</v>
      </c>
      <c r="L89" s="226"/>
      <c r="M89" s="227" t="s">
        <v>1589</v>
      </c>
      <c r="N89" s="217"/>
      <c r="O89" s="210"/>
    </row>
    <row r="90">
      <c r="A90" s="212">
        <f t="shared" si="1"/>
        <v>88</v>
      </c>
      <c r="B90" s="212" t="s">
        <v>40</v>
      </c>
      <c r="C90" s="212" t="s">
        <v>150</v>
      </c>
      <c r="D90" s="225" t="s">
        <v>1507</v>
      </c>
      <c r="E90" s="212" t="s">
        <v>92</v>
      </c>
      <c r="F90" s="225" t="s">
        <v>1603</v>
      </c>
      <c r="G90" s="217" t="s">
        <v>92</v>
      </c>
      <c r="H90" s="213" t="s">
        <v>1604</v>
      </c>
      <c r="I90" s="217" t="s">
        <v>1605</v>
      </c>
      <c r="J90" s="214" t="s">
        <v>150</v>
      </c>
      <c r="K90" s="215" t="s">
        <v>33</v>
      </c>
      <c r="L90" s="226"/>
      <c r="M90" s="224"/>
      <c r="N90" s="217"/>
      <c r="O90" s="210"/>
    </row>
    <row r="91">
      <c r="A91" s="212">
        <f t="shared" si="1"/>
        <v>89</v>
      </c>
      <c r="B91" s="212" t="s">
        <v>40</v>
      </c>
      <c r="C91" s="212" t="s">
        <v>150</v>
      </c>
      <c r="D91" s="220"/>
      <c r="E91" s="212" t="s">
        <v>92</v>
      </c>
      <c r="F91" s="220"/>
      <c r="G91" s="217" t="s">
        <v>92</v>
      </c>
      <c r="H91" s="213" t="s">
        <v>1529</v>
      </c>
      <c r="I91" s="217" t="s">
        <v>1606</v>
      </c>
      <c r="J91" s="214" t="s">
        <v>150</v>
      </c>
      <c r="K91" s="215" t="s">
        <v>33</v>
      </c>
      <c r="L91" s="226"/>
      <c r="M91" s="224"/>
      <c r="N91" s="217"/>
      <c r="O91" s="210"/>
    </row>
    <row r="92">
      <c r="A92" s="212">
        <f t="shared" si="1"/>
        <v>90</v>
      </c>
      <c r="B92" s="212" t="s">
        <v>40</v>
      </c>
      <c r="C92" s="212" t="s">
        <v>150</v>
      </c>
      <c r="D92" s="220"/>
      <c r="E92" s="212" t="s">
        <v>92</v>
      </c>
      <c r="F92" s="220"/>
      <c r="G92" s="217" t="s">
        <v>92</v>
      </c>
      <c r="H92" s="213" t="s">
        <v>1532</v>
      </c>
      <c r="I92" s="217" t="s">
        <v>1533</v>
      </c>
      <c r="J92" s="214" t="s">
        <v>150</v>
      </c>
      <c r="K92" s="215" t="s">
        <v>33</v>
      </c>
      <c r="L92" s="226"/>
      <c r="M92" s="224"/>
      <c r="N92" s="217"/>
      <c r="O92" s="210"/>
    </row>
    <row r="93">
      <c r="A93" s="212">
        <f t="shared" si="1"/>
        <v>91</v>
      </c>
      <c r="B93" s="212" t="s">
        <v>40</v>
      </c>
      <c r="C93" s="212" t="s">
        <v>150</v>
      </c>
      <c r="D93" s="220"/>
      <c r="E93" s="212" t="s">
        <v>92</v>
      </c>
      <c r="F93" s="220"/>
      <c r="G93" s="217" t="s">
        <v>92</v>
      </c>
      <c r="H93" s="213" t="s">
        <v>1534</v>
      </c>
      <c r="I93" s="217" t="s">
        <v>1533</v>
      </c>
      <c r="J93" s="214" t="s">
        <v>150</v>
      </c>
      <c r="K93" s="215" t="s">
        <v>35</v>
      </c>
      <c r="L93" s="226"/>
      <c r="M93" s="224"/>
      <c r="N93" s="217"/>
      <c r="O93" s="210"/>
    </row>
    <row r="94">
      <c r="A94" s="212">
        <f t="shared" si="1"/>
        <v>92</v>
      </c>
      <c r="B94" s="212" t="s">
        <v>40</v>
      </c>
      <c r="C94" s="212" t="s">
        <v>150</v>
      </c>
      <c r="D94" s="220"/>
      <c r="E94" s="212"/>
      <c r="F94" s="220"/>
      <c r="G94" s="217"/>
      <c r="H94" s="213" t="s">
        <v>1535</v>
      </c>
      <c r="I94" s="217" t="s">
        <v>1536</v>
      </c>
      <c r="J94" s="214" t="s">
        <v>150</v>
      </c>
      <c r="K94" s="215" t="s">
        <v>33</v>
      </c>
      <c r="L94" s="226"/>
      <c r="M94" s="224"/>
      <c r="N94" s="217"/>
      <c r="O94" s="210"/>
    </row>
    <row r="95">
      <c r="A95" s="212">
        <f t="shared" si="1"/>
        <v>93</v>
      </c>
      <c r="B95" s="212" t="s">
        <v>40</v>
      </c>
      <c r="C95" s="212" t="s">
        <v>150</v>
      </c>
      <c r="D95" s="220"/>
      <c r="E95" s="212" t="s">
        <v>92</v>
      </c>
      <c r="F95" s="220"/>
      <c r="G95" s="217" t="s">
        <v>92</v>
      </c>
      <c r="H95" s="213" t="s">
        <v>1539</v>
      </c>
      <c r="I95" s="217" t="s">
        <v>1540</v>
      </c>
      <c r="J95" s="214" t="s">
        <v>150</v>
      </c>
      <c r="K95" s="215" t="s">
        <v>33</v>
      </c>
      <c r="L95" s="226"/>
      <c r="M95" s="224"/>
      <c r="N95" s="217"/>
      <c r="O95" s="210"/>
    </row>
    <row r="96">
      <c r="A96" s="212">
        <f t="shared" si="1"/>
        <v>94</v>
      </c>
      <c r="B96" s="212" t="s">
        <v>40</v>
      </c>
      <c r="C96" s="212" t="s">
        <v>150</v>
      </c>
      <c r="D96" s="220"/>
      <c r="E96" s="212" t="s">
        <v>92</v>
      </c>
      <c r="F96" s="220"/>
      <c r="G96" s="217" t="s">
        <v>92</v>
      </c>
      <c r="H96" s="213" t="s">
        <v>1541</v>
      </c>
      <c r="I96" s="217" t="s">
        <v>1607</v>
      </c>
      <c r="J96" s="214" t="s">
        <v>150</v>
      </c>
      <c r="K96" s="215" t="s">
        <v>33</v>
      </c>
      <c r="L96" s="226"/>
      <c r="M96" s="227" t="s">
        <v>1608</v>
      </c>
      <c r="N96" s="217"/>
      <c r="O96" s="210"/>
    </row>
    <row r="97">
      <c r="A97" s="212">
        <f t="shared" si="1"/>
        <v>95</v>
      </c>
      <c r="B97" s="212" t="s">
        <v>40</v>
      </c>
      <c r="C97" s="212" t="s">
        <v>150</v>
      </c>
      <c r="D97" s="39"/>
      <c r="E97" s="212" t="s">
        <v>92</v>
      </c>
      <c r="F97" s="39"/>
      <c r="G97" s="217" t="s">
        <v>92</v>
      </c>
      <c r="H97" s="213" t="s">
        <v>1545</v>
      </c>
      <c r="I97" s="217" t="s">
        <v>1609</v>
      </c>
      <c r="J97" s="214" t="s">
        <v>150</v>
      </c>
      <c r="K97" s="215" t="s">
        <v>33</v>
      </c>
      <c r="L97" s="226"/>
      <c r="M97" s="227" t="s">
        <v>1608</v>
      </c>
      <c r="N97" s="217"/>
      <c r="O97" s="210"/>
    </row>
    <row r="98">
      <c r="A98" s="212">
        <f t="shared" si="1"/>
        <v>96</v>
      </c>
      <c r="B98" s="212" t="s">
        <v>40</v>
      </c>
      <c r="C98" s="212" t="s">
        <v>150</v>
      </c>
      <c r="D98" s="225" t="s">
        <v>1507</v>
      </c>
      <c r="E98" s="212" t="s">
        <v>92</v>
      </c>
      <c r="F98" s="225" t="s">
        <v>1610</v>
      </c>
      <c r="G98" s="217" t="s">
        <v>92</v>
      </c>
      <c r="H98" s="213" t="s">
        <v>1611</v>
      </c>
      <c r="I98" s="217" t="s">
        <v>1612</v>
      </c>
      <c r="J98" s="214" t="s">
        <v>150</v>
      </c>
      <c r="K98" s="215" t="s">
        <v>33</v>
      </c>
      <c r="L98" s="226"/>
      <c r="M98" s="224"/>
      <c r="N98" s="217"/>
      <c r="O98" s="210"/>
    </row>
    <row r="99">
      <c r="A99" s="212">
        <f t="shared" si="1"/>
        <v>97</v>
      </c>
      <c r="B99" s="212" t="s">
        <v>40</v>
      </c>
      <c r="C99" s="212" t="s">
        <v>150</v>
      </c>
      <c r="D99" s="220"/>
      <c r="E99" s="212" t="s">
        <v>92</v>
      </c>
      <c r="F99" s="220"/>
      <c r="G99" s="217" t="s">
        <v>92</v>
      </c>
      <c r="H99" s="213" t="s">
        <v>1529</v>
      </c>
      <c r="I99" s="217" t="s">
        <v>1613</v>
      </c>
      <c r="J99" s="214" t="s">
        <v>150</v>
      </c>
      <c r="K99" s="215" t="s">
        <v>33</v>
      </c>
      <c r="L99" s="226"/>
      <c r="M99" s="224"/>
      <c r="N99" s="217"/>
      <c r="O99" s="210"/>
    </row>
    <row r="100">
      <c r="A100" s="212">
        <f t="shared" si="1"/>
        <v>98</v>
      </c>
      <c r="B100" s="212" t="s">
        <v>40</v>
      </c>
      <c r="C100" s="212" t="s">
        <v>150</v>
      </c>
      <c r="D100" s="220"/>
      <c r="E100" s="212" t="s">
        <v>92</v>
      </c>
      <c r="F100" s="220"/>
      <c r="G100" s="217" t="s">
        <v>92</v>
      </c>
      <c r="H100" s="213" t="s">
        <v>1532</v>
      </c>
      <c r="I100" s="217" t="s">
        <v>1533</v>
      </c>
      <c r="J100" s="214" t="s">
        <v>150</v>
      </c>
      <c r="K100" s="215" t="s">
        <v>33</v>
      </c>
      <c r="L100" s="226"/>
      <c r="M100" s="224"/>
      <c r="N100" s="217"/>
      <c r="O100" s="210"/>
    </row>
    <row r="101">
      <c r="A101" s="212">
        <f t="shared" si="1"/>
        <v>99</v>
      </c>
      <c r="B101" s="212" t="s">
        <v>40</v>
      </c>
      <c r="C101" s="212" t="s">
        <v>150</v>
      </c>
      <c r="D101" s="220"/>
      <c r="E101" s="212" t="s">
        <v>92</v>
      </c>
      <c r="F101" s="220"/>
      <c r="G101" s="217" t="s">
        <v>92</v>
      </c>
      <c r="H101" s="213" t="s">
        <v>1534</v>
      </c>
      <c r="I101" s="217" t="s">
        <v>1533</v>
      </c>
      <c r="J101" s="214" t="s">
        <v>150</v>
      </c>
      <c r="K101" s="215" t="s">
        <v>35</v>
      </c>
      <c r="L101" s="226"/>
      <c r="M101" s="224"/>
      <c r="N101" s="217"/>
      <c r="O101" s="210"/>
    </row>
    <row r="102">
      <c r="A102" s="212">
        <f t="shared" si="1"/>
        <v>100</v>
      </c>
      <c r="B102" s="212" t="s">
        <v>40</v>
      </c>
      <c r="C102" s="212" t="s">
        <v>150</v>
      </c>
      <c r="D102" s="220"/>
      <c r="E102" s="212"/>
      <c r="F102" s="220"/>
      <c r="G102" s="217"/>
      <c r="H102" s="213" t="s">
        <v>1535</v>
      </c>
      <c r="I102" s="217" t="s">
        <v>1536</v>
      </c>
      <c r="J102" s="214" t="s">
        <v>150</v>
      </c>
      <c r="K102" s="215" t="s">
        <v>33</v>
      </c>
      <c r="L102" s="226"/>
      <c r="M102" s="224"/>
      <c r="N102" s="217"/>
      <c r="O102" s="210"/>
    </row>
    <row r="103">
      <c r="A103" s="212">
        <f t="shared" si="1"/>
        <v>101</v>
      </c>
      <c r="B103" s="212" t="s">
        <v>40</v>
      </c>
      <c r="C103" s="212" t="s">
        <v>150</v>
      </c>
      <c r="D103" s="220"/>
      <c r="E103" s="212" t="s">
        <v>92</v>
      </c>
      <c r="F103" s="220"/>
      <c r="G103" s="217" t="s">
        <v>92</v>
      </c>
      <c r="H103" s="213" t="s">
        <v>1539</v>
      </c>
      <c r="I103" s="217" t="s">
        <v>1540</v>
      </c>
      <c r="J103" s="214" t="s">
        <v>150</v>
      </c>
      <c r="K103" s="215" t="s">
        <v>33</v>
      </c>
      <c r="L103" s="226"/>
      <c r="M103" s="224"/>
      <c r="N103" s="217"/>
      <c r="O103" s="210"/>
    </row>
    <row r="104">
      <c r="A104" s="212">
        <f t="shared" si="1"/>
        <v>102</v>
      </c>
      <c r="B104" s="212" t="s">
        <v>40</v>
      </c>
      <c r="C104" s="212" t="s">
        <v>150</v>
      </c>
      <c r="D104" s="220"/>
      <c r="E104" s="212" t="s">
        <v>92</v>
      </c>
      <c r="F104" s="220"/>
      <c r="G104" s="217" t="s">
        <v>92</v>
      </c>
      <c r="H104" s="213" t="s">
        <v>1541</v>
      </c>
      <c r="I104" s="217" t="s">
        <v>1614</v>
      </c>
      <c r="J104" s="214" t="s">
        <v>150</v>
      </c>
      <c r="K104" s="215" t="s">
        <v>33</v>
      </c>
      <c r="L104" s="240" t="s">
        <v>1543</v>
      </c>
      <c r="M104" s="227" t="s">
        <v>1552</v>
      </c>
      <c r="N104" s="217"/>
      <c r="O104" s="210"/>
    </row>
    <row r="105">
      <c r="A105" s="212">
        <f t="shared" si="1"/>
        <v>103</v>
      </c>
      <c r="B105" s="212" t="s">
        <v>40</v>
      </c>
      <c r="C105" s="212" t="s">
        <v>150</v>
      </c>
      <c r="D105" s="39"/>
      <c r="E105" s="212" t="s">
        <v>92</v>
      </c>
      <c r="F105" s="39"/>
      <c r="G105" s="217" t="s">
        <v>92</v>
      </c>
      <c r="H105" s="213" t="s">
        <v>1545</v>
      </c>
      <c r="I105" s="217" t="s">
        <v>1615</v>
      </c>
      <c r="J105" s="214" t="s">
        <v>150</v>
      </c>
      <c r="K105" s="215" t="s">
        <v>33</v>
      </c>
      <c r="L105" s="240" t="s">
        <v>1543</v>
      </c>
      <c r="M105" s="227" t="s">
        <v>1552</v>
      </c>
      <c r="N105" s="217"/>
      <c r="O105" s="210"/>
    </row>
    <row r="106">
      <c r="A106" s="212">
        <f t="shared" si="1"/>
        <v>104</v>
      </c>
      <c r="B106" s="212" t="s">
        <v>40</v>
      </c>
      <c r="C106" s="212" t="s">
        <v>150</v>
      </c>
      <c r="D106" s="225" t="s">
        <v>1507</v>
      </c>
      <c r="E106" s="212" t="s">
        <v>92</v>
      </c>
      <c r="F106" s="225" t="s">
        <v>1616</v>
      </c>
      <c r="G106" s="217" t="s">
        <v>92</v>
      </c>
      <c r="H106" s="213" t="s">
        <v>1617</v>
      </c>
      <c r="I106" s="217" t="s">
        <v>1618</v>
      </c>
      <c r="J106" s="214" t="s">
        <v>150</v>
      </c>
      <c r="K106" s="215" t="s">
        <v>33</v>
      </c>
      <c r="L106" s="224"/>
      <c r="M106" s="224"/>
      <c r="N106" s="217"/>
      <c r="O106" s="210"/>
    </row>
    <row r="107">
      <c r="A107" s="212">
        <f t="shared" si="1"/>
        <v>105</v>
      </c>
      <c r="B107" s="212" t="s">
        <v>40</v>
      </c>
      <c r="C107" s="212" t="s">
        <v>150</v>
      </c>
      <c r="D107" s="220"/>
      <c r="E107" s="212" t="s">
        <v>92</v>
      </c>
      <c r="F107" s="220"/>
      <c r="G107" s="217" t="s">
        <v>92</v>
      </c>
      <c r="H107" s="213" t="s">
        <v>1529</v>
      </c>
      <c r="I107" s="217" t="s">
        <v>1619</v>
      </c>
      <c r="J107" s="214" t="s">
        <v>150</v>
      </c>
      <c r="K107" s="215" t="s">
        <v>33</v>
      </c>
      <c r="L107" s="224"/>
      <c r="M107" s="224"/>
      <c r="N107" s="217"/>
      <c r="O107" s="210"/>
    </row>
    <row r="108">
      <c r="A108" s="212">
        <f t="shared" si="1"/>
        <v>106</v>
      </c>
      <c r="B108" s="212" t="s">
        <v>40</v>
      </c>
      <c r="C108" s="212" t="s">
        <v>150</v>
      </c>
      <c r="D108" s="220"/>
      <c r="E108" s="212" t="s">
        <v>92</v>
      </c>
      <c r="F108" s="220"/>
      <c r="G108" s="217" t="s">
        <v>92</v>
      </c>
      <c r="H108" s="213" t="s">
        <v>1532</v>
      </c>
      <c r="I108" s="217" t="s">
        <v>1533</v>
      </c>
      <c r="J108" s="214" t="s">
        <v>150</v>
      </c>
      <c r="K108" s="215" t="s">
        <v>33</v>
      </c>
      <c r="L108" s="224"/>
      <c r="M108" s="224"/>
      <c r="N108" s="217"/>
      <c r="O108" s="210"/>
    </row>
    <row r="109">
      <c r="A109" s="212">
        <f t="shared" si="1"/>
        <v>107</v>
      </c>
      <c r="B109" s="212" t="s">
        <v>40</v>
      </c>
      <c r="C109" s="212" t="s">
        <v>150</v>
      </c>
      <c r="D109" s="220"/>
      <c r="E109" s="212" t="s">
        <v>92</v>
      </c>
      <c r="F109" s="220"/>
      <c r="G109" s="217" t="s">
        <v>92</v>
      </c>
      <c r="H109" s="213" t="s">
        <v>1534</v>
      </c>
      <c r="I109" s="217" t="s">
        <v>1533</v>
      </c>
      <c r="J109" s="214" t="s">
        <v>150</v>
      </c>
      <c r="K109" s="215" t="s">
        <v>35</v>
      </c>
      <c r="L109" s="224"/>
      <c r="M109" s="224"/>
      <c r="N109" s="217"/>
      <c r="O109" s="210"/>
    </row>
    <row r="110">
      <c r="A110" s="212">
        <f t="shared" si="1"/>
        <v>108</v>
      </c>
      <c r="B110" s="212" t="s">
        <v>40</v>
      </c>
      <c r="C110" s="212" t="s">
        <v>150</v>
      </c>
      <c r="D110" s="220"/>
      <c r="E110" s="212"/>
      <c r="F110" s="220"/>
      <c r="G110" s="217"/>
      <c r="H110" s="213" t="s">
        <v>1535</v>
      </c>
      <c r="I110" s="217" t="s">
        <v>1536</v>
      </c>
      <c r="J110" s="214" t="s">
        <v>150</v>
      </c>
      <c r="K110" s="215" t="s">
        <v>33</v>
      </c>
      <c r="L110" s="224"/>
      <c r="M110" s="224"/>
      <c r="N110" s="217"/>
      <c r="O110" s="210"/>
    </row>
    <row r="111">
      <c r="A111" s="212">
        <f t="shared" si="1"/>
        <v>109</v>
      </c>
      <c r="B111" s="212" t="s">
        <v>40</v>
      </c>
      <c r="C111" s="212" t="s">
        <v>150</v>
      </c>
      <c r="D111" s="220"/>
      <c r="E111" s="212" t="s">
        <v>92</v>
      </c>
      <c r="F111" s="220"/>
      <c r="G111" s="217" t="s">
        <v>92</v>
      </c>
      <c r="H111" s="213" t="s">
        <v>1539</v>
      </c>
      <c r="I111" s="217" t="s">
        <v>1540</v>
      </c>
      <c r="J111" s="214" t="s">
        <v>150</v>
      </c>
      <c r="K111" s="215" t="s">
        <v>33</v>
      </c>
      <c r="L111" s="224"/>
      <c r="M111" s="224"/>
      <c r="N111" s="217"/>
      <c r="O111" s="210"/>
    </row>
    <row r="112">
      <c r="A112" s="212">
        <f t="shared" si="1"/>
        <v>110</v>
      </c>
      <c r="B112" s="212" t="s">
        <v>40</v>
      </c>
      <c r="C112" s="212" t="s">
        <v>150</v>
      </c>
      <c r="D112" s="220"/>
      <c r="E112" s="212" t="s">
        <v>92</v>
      </c>
      <c r="F112" s="220"/>
      <c r="G112" s="217" t="s">
        <v>92</v>
      </c>
      <c r="H112" s="213" t="s">
        <v>1541</v>
      </c>
      <c r="I112" s="217" t="s">
        <v>1620</v>
      </c>
      <c r="J112" s="214" t="s">
        <v>150</v>
      </c>
      <c r="K112" s="215" t="s">
        <v>33</v>
      </c>
      <c r="L112" s="224"/>
      <c r="M112" s="224"/>
      <c r="N112" s="217"/>
      <c r="O112" s="210"/>
    </row>
    <row r="113">
      <c r="A113" s="212">
        <f t="shared" si="1"/>
        <v>111</v>
      </c>
      <c r="B113" s="212" t="s">
        <v>40</v>
      </c>
      <c r="C113" s="212" t="s">
        <v>150</v>
      </c>
      <c r="D113" s="39"/>
      <c r="E113" s="212" t="s">
        <v>92</v>
      </c>
      <c r="F113" s="39"/>
      <c r="G113" s="217" t="s">
        <v>92</v>
      </c>
      <c r="H113" s="213" t="s">
        <v>1545</v>
      </c>
      <c r="I113" s="217" t="s">
        <v>1621</v>
      </c>
      <c r="J113" s="214" t="s">
        <v>150</v>
      </c>
      <c r="K113" s="215" t="s">
        <v>33</v>
      </c>
      <c r="L113" s="224"/>
      <c r="M113" s="224"/>
      <c r="N113" s="217"/>
      <c r="O113" s="210"/>
    </row>
    <row r="114">
      <c r="A114" s="212">
        <f t="shared" si="1"/>
        <v>112</v>
      </c>
      <c r="B114" s="212" t="s">
        <v>40</v>
      </c>
      <c r="C114" s="212" t="s">
        <v>150</v>
      </c>
      <c r="D114" s="225" t="s">
        <v>1622</v>
      </c>
      <c r="E114" s="212" t="s">
        <v>92</v>
      </c>
      <c r="F114" s="212" t="s">
        <v>613</v>
      </c>
      <c r="G114" s="227" t="s">
        <v>92</v>
      </c>
      <c r="H114" s="227" t="s">
        <v>1623</v>
      </c>
      <c r="I114" s="227" t="s">
        <v>1624</v>
      </c>
      <c r="J114" s="214" t="s">
        <v>150</v>
      </c>
      <c r="K114" s="215" t="s">
        <v>33</v>
      </c>
      <c r="L114" s="240" t="s">
        <v>1625</v>
      </c>
      <c r="M114" s="227" t="s">
        <v>1626</v>
      </c>
      <c r="N114" s="217"/>
      <c r="O114" s="210"/>
    </row>
    <row r="115">
      <c r="A115" s="212">
        <f t="shared" si="1"/>
        <v>113</v>
      </c>
      <c r="B115" s="212" t="s">
        <v>40</v>
      </c>
      <c r="C115" s="212" t="s">
        <v>150</v>
      </c>
      <c r="D115" s="220"/>
      <c r="E115" s="212" t="s">
        <v>92</v>
      </c>
      <c r="F115" s="212" t="s">
        <v>1378</v>
      </c>
      <c r="G115" s="227" t="s">
        <v>92</v>
      </c>
      <c r="H115" s="227" t="s">
        <v>1379</v>
      </c>
      <c r="I115" s="227" t="s">
        <v>1627</v>
      </c>
      <c r="J115" s="214" t="s">
        <v>150</v>
      </c>
      <c r="K115" s="215" t="s">
        <v>33</v>
      </c>
      <c r="L115" s="226"/>
      <c r="M115" s="224"/>
      <c r="N115" s="217"/>
      <c r="O115" s="210"/>
    </row>
    <row r="116">
      <c r="A116" s="212">
        <f t="shared" si="1"/>
        <v>114</v>
      </c>
      <c r="B116" s="212" t="s">
        <v>40</v>
      </c>
      <c r="C116" s="212" t="s">
        <v>150</v>
      </c>
      <c r="D116" s="220"/>
      <c r="E116" s="212" t="s">
        <v>92</v>
      </c>
      <c r="F116" s="212" t="s">
        <v>1628</v>
      </c>
      <c r="G116" s="227" t="s">
        <v>92</v>
      </c>
      <c r="H116" s="227" t="s">
        <v>1629</v>
      </c>
      <c r="I116" s="227" t="s">
        <v>1630</v>
      </c>
      <c r="J116" s="214" t="s">
        <v>150</v>
      </c>
      <c r="K116" s="215" t="s">
        <v>33</v>
      </c>
      <c r="L116" s="226"/>
      <c r="M116" s="224"/>
      <c r="N116" s="217"/>
      <c r="O116" s="210"/>
    </row>
    <row r="117">
      <c r="A117" s="212">
        <f t="shared" si="1"/>
        <v>115</v>
      </c>
      <c r="B117" s="212" t="s">
        <v>40</v>
      </c>
      <c r="C117" s="212" t="s">
        <v>150</v>
      </c>
      <c r="D117" s="220"/>
      <c r="E117" s="212" t="s">
        <v>92</v>
      </c>
      <c r="F117" s="212" t="s">
        <v>1631</v>
      </c>
      <c r="G117" s="227" t="s">
        <v>92</v>
      </c>
      <c r="H117" s="227" t="s">
        <v>1632</v>
      </c>
      <c r="I117" s="227" t="s">
        <v>1633</v>
      </c>
      <c r="J117" s="214" t="s">
        <v>150</v>
      </c>
      <c r="K117" s="215" t="s">
        <v>33</v>
      </c>
      <c r="L117" s="226"/>
      <c r="M117" s="224"/>
      <c r="N117" s="217"/>
      <c r="O117" s="210"/>
    </row>
    <row r="118">
      <c r="A118" s="212">
        <f t="shared" si="1"/>
        <v>116</v>
      </c>
      <c r="B118" s="212" t="s">
        <v>40</v>
      </c>
      <c r="C118" s="212" t="s">
        <v>150</v>
      </c>
      <c r="D118" s="220"/>
      <c r="E118" s="212" t="s">
        <v>92</v>
      </c>
      <c r="F118" s="212" t="s">
        <v>1634</v>
      </c>
      <c r="G118" s="227" t="s">
        <v>92</v>
      </c>
      <c r="H118" s="227" t="s">
        <v>1635</v>
      </c>
      <c r="I118" s="227" t="s">
        <v>1636</v>
      </c>
      <c r="J118" s="214" t="s">
        <v>150</v>
      </c>
      <c r="K118" s="215" t="s">
        <v>33</v>
      </c>
      <c r="L118" s="226"/>
      <c r="M118" s="224"/>
      <c r="N118" s="217"/>
      <c r="O118" s="210"/>
    </row>
    <row r="119">
      <c r="A119" s="212">
        <f t="shared" si="1"/>
        <v>117</v>
      </c>
      <c r="B119" s="212" t="s">
        <v>40</v>
      </c>
      <c r="C119" s="212" t="s">
        <v>150</v>
      </c>
      <c r="D119" s="220"/>
      <c r="E119" s="212" t="s">
        <v>92</v>
      </c>
      <c r="F119" s="225" t="s">
        <v>1637</v>
      </c>
      <c r="G119" s="227" t="s">
        <v>92</v>
      </c>
      <c r="H119" s="227" t="s">
        <v>1638</v>
      </c>
      <c r="I119" s="255" t="s">
        <v>1639</v>
      </c>
      <c r="J119" s="214" t="s">
        <v>150</v>
      </c>
      <c r="K119" s="215" t="s">
        <v>33</v>
      </c>
      <c r="L119" s="240" t="s">
        <v>1625</v>
      </c>
      <c r="M119" s="227" t="s">
        <v>1626</v>
      </c>
      <c r="N119" s="217"/>
      <c r="O119" s="210"/>
    </row>
    <row r="120">
      <c r="A120" s="212">
        <f t="shared" si="1"/>
        <v>118</v>
      </c>
      <c r="B120" s="212" t="s">
        <v>40</v>
      </c>
      <c r="C120" s="212" t="s">
        <v>150</v>
      </c>
      <c r="D120" s="220"/>
      <c r="E120" s="212" t="s">
        <v>92</v>
      </c>
      <c r="F120" s="220"/>
      <c r="G120" s="227" t="s">
        <v>92</v>
      </c>
      <c r="H120" s="255" t="s">
        <v>1640</v>
      </c>
      <c r="I120" s="255" t="s">
        <v>1641</v>
      </c>
      <c r="J120" s="214" t="s">
        <v>150</v>
      </c>
      <c r="K120" s="215" t="s">
        <v>33</v>
      </c>
      <c r="L120" s="226"/>
      <c r="M120" s="224"/>
      <c r="N120" s="217"/>
      <c r="O120" s="210"/>
    </row>
    <row r="121">
      <c r="A121" s="212">
        <f t="shared" si="1"/>
        <v>119</v>
      </c>
      <c r="B121" s="212" t="s">
        <v>40</v>
      </c>
      <c r="C121" s="212" t="s">
        <v>150</v>
      </c>
      <c r="D121" s="220"/>
      <c r="E121" s="212" t="s">
        <v>92</v>
      </c>
      <c r="F121" s="220"/>
      <c r="G121" s="227" t="s">
        <v>92</v>
      </c>
      <c r="H121" s="227" t="s">
        <v>1642</v>
      </c>
      <c r="I121" s="227" t="s">
        <v>1643</v>
      </c>
      <c r="J121" s="214" t="s">
        <v>150</v>
      </c>
      <c r="K121" s="215" t="s">
        <v>33</v>
      </c>
      <c r="L121" s="226"/>
      <c r="M121" s="224"/>
      <c r="N121" s="217"/>
      <c r="O121" s="210"/>
    </row>
    <row r="122">
      <c r="A122" s="212">
        <f t="shared" si="1"/>
        <v>120</v>
      </c>
      <c r="B122" s="212" t="s">
        <v>40</v>
      </c>
      <c r="C122" s="212" t="s">
        <v>150</v>
      </c>
      <c r="D122" s="220"/>
      <c r="E122" s="212" t="s">
        <v>92</v>
      </c>
      <c r="F122" s="220"/>
      <c r="G122" s="227" t="s">
        <v>92</v>
      </c>
      <c r="H122" s="227" t="s">
        <v>1162</v>
      </c>
      <c r="I122" s="227" t="s">
        <v>1644</v>
      </c>
      <c r="J122" s="214" t="s">
        <v>150</v>
      </c>
      <c r="K122" s="215" t="s">
        <v>33</v>
      </c>
      <c r="L122" s="226"/>
      <c r="M122" s="224"/>
      <c r="N122" s="217"/>
      <c r="O122" s="210"/>
    </row>
    <row r="123">
      <c r="A123" s="212">
        <f t="shared" si="1"/>
        <v>121</v>
      </c>
      <c r="B123" s="212" t="s">
        <v>40</v>
      </c>
      <c r="C123" s="212" t="s">
        <v>150</v>
      </c>
      <c r="D123" s="39"/>
      <c r="E123" s="212" t="s">
        <v>92</v>
      </c>
      <c r="F123" s="39"/>
      <c r="G123" s="227" t="s">
        <v>92</v>
      </c>
      <c r="H123" s="227" t="s">
        <v>1093</v>
      </c>
      <c r="I123" s="227" t="s">
        <v>1645</v>
      </c>
      <c r="J123" s="214" t="s">
        <v>150</v>
      </c>
      <c r="K123" s="215" t="s">
        <v>33</v>
      </c>
      <c r="L123" s="226"/>
      <c r="M123" s="224"/>
      <c r="N123" s="217"/>
      <c r="O123" s="210"/>
    </row>
    <row r="124">
      <c r="A124" s="212">
        <f t="shared" si="1"/>
        <v>122</v>
      </c>
      <c r="B124" s="212" t="s">
        <v>40</v>
      </c>
      <c r="C124" s="212" t="s">
        <v>150</v>
      </c>
      <c r="D124" s="225" t="s">
        <v>1646</v>
      </c>
      <c r="E124" s="212" t="s">
        <v>92</v>
      </c>
      <c r="F124" s="212" t="s">
        <v>613</v>
      </c>
      <c r="G124" s="227" t="s">
        <v>92</v>
      </c>
      <c r="H124" s="227" t="s">
        <v>1647</v>
      </c>
      <c r="I124" s="227" t="s">
        <v>1648</v>
      </c>
      <c r="J124" s="214" t="s">
        <v>150</v>
      </c>
      <c r="K124" s="215" t="s">
        <v>33</v>
      </c>
      <c r="L124" s="240" t="s">
        <v>1625</v>
      </c>
      <c r="M124" s="227" t="s">
        <v>1626</v>
      </c>
      <c r="N124" s="217"/>
      <c r="O124" s="210"/>
    </row>
    <row r="125">
      <c r="A125" s="212">
        <f t="shared" si="1"/>
        <v>123</v>
      </c>
      <c r="B125" s="212" t="s">
        <v>40</v>
      </c>
      <c r="C125" s="212" t="s">
        <v>150</v>
      </c>
      <c r="D125" s="220"/>
      <c r="E125" s="212" t="s">
        <v>92</v>
      </c>
      <c r="F125" s="212" t="s">
        <v>1378</v>
      </c>
      <c r="G125" s="227" t="s">
        <v>92</v>
      </c>
      <c r="H125" s="227" t="s">
        <v>1379</v>
      </c>
      <c r="I125" s="227" t="s">
        <v>1649</v>
      </c>
      <c r="J125" s="214" t="s">
        <v>150</v>
      </c>
      <c r="K125" s="215" t="s">
        <v>33</v>
      </c>
      <c r="L125" s="226"/>
      <c r="M125" s="224"/>
      <c r="N125" s="217"/>
      <c r="O125" s="210"/>
    </row>
    <row r="126">
      <c r="A126" s="212">
        <f t="shared" si="1"/>
        <v>124</v>
      </c>
      <c r="B126" s="212" t="s">
        <v>40</v>
      </c>
      <c r="C126" s="212" t="s">
        <v>150</v>
      </c>
      <c r="D126" s="220"/>
      <c r="E126" s="212" t="s">
        <v>92</v>
      </c>
      <c r="F126" s="212" t="s">
        <v>1650</v>
      </c>
      <c r="G126" s="227" t="s">
        <v>92</v>
      </c>
      <c r="H126" s="227" t="s">
        <v>1651</v>
      </c>
      <c r="I126" s="227" t="s">
        <v>1652</v>
      </c>
      <c r="J126" s="214" t="s">
        <v>150</v>
      </c>
      <c r="K126" s="215" t="s">
        <v>33</v>
      </c>
      <c r="L126" s="226"/>
      <c r="M126" s="224"/>
      <c r="N126" s="217"/>
      <c r="O126" s="210"/>
    </row>
    <row r="127">
      <c r="A127" s="212">
        <f t="shared" si="1"/>
        <v>125</v>
      </c>
      <c r="B127" s="212" t="s">
        <v>40</v>
      </c>
      <c r="C127" s="212" t="s">
        <v>150</v>
      </c>
      <c r="D127" s="220"/>
      <c r="E127" s="212" t="s">
        <v>92</v>
      </c>
      <c r="F127" s="212" t="s">
        <v>1631</v>
      </c>
      <c r="G127" s="227" t="s">
        <v>92</v>
      </c>
      <c r="H127" s="227" t="s">
        <v>1632</v>
      </c>
      <c r="I127" s="227" t="s">
        <v>1633</v>
      </c>
      <c r="J127" s="214" t="s">
        <v>150</v>
      </c>
      <c r="K127" s="215" t="s">
        <v>33</v>
      </c>
      <c r="L127" s="226"/>
      <c r="M127" s="224"/>
      <c r="N127" s="217"/>
      <c r="O127" s="210"/>
    </row>
    <row r="128">
      <c r="A128" s="212">
        <f t="shared" si="1"/>
        <v>126</v>
      </c>
      <c r="B128" s="212" t="s">
        <v>40</v>
      </c>
      <c r="C128" s="212" t="s">
        <v>150</v>
      </c>
      <c r="D128" s="220"/>
      <c r="E128" s="212" t="s">
        <v>92</v>
      </c>
      <c r="F128" s="212" t="s">
        <v>1634</v>
      </c>
      <c r="G128" s="227" t="s">
        <v>92</v>
      </c>
      <c r="H128" s="227" t="s">
        <v>1635</v>
      </c>
      <c r="I128" s="227" t="s">
        <v>1636</v>
      </c>
      <c r="J128" s="214" t="s">
        <v>150</v>
      </c>
      <c r="K128" s="215" t="s">
        <v>33</v>
      </c>
      <c r="L128" s="226"/>
      <c r="M128" s="224"/>
      <c r="N128" s="217"/>
      <c r="O128" s="210"/>
    </row>
    <row r="129">
      <c r="A129" s="212">
        <f t="shared" si="1"/>
        <v>127</v>
      </c>
      <c r="B129" s="212" t="s">
        <v>40</v>
      </c>
      <c r="C129" s="212" t="s">
        <v>150</v>
      </c>
      <c r="D129" s="220"/>
      <c r="E129" s="212" t="s">
        <v>92</v>
      </c>
      <c r="F129" s="225" t="s">
        <v>1637</v>
      </c>
      <c r="G129" s="227" t="s">
        <v>92</v>
      </c>
      <c r="H129" s="227" t="s">
        <v>1638</v>
      </c>
      <c r="I129" s="227" t="s">
        <v>1653</v>
      </c>
      <c r="J129" s="214" t="s">
        <v>150</v>
      </c>
      <c r="K129" s="215" t="s">
        <v>33</v>
      </c>
      <c r="L129" s="240" t="s">
        <v>1625</v>
      </c>
      <c r="M129" s="227" t="s">
        <v>1626</v>
      </c>
      <c r="N129" s="217"/>
      <c r="O129" s="210"/>
    </row>
    <row r="130">
      <c r="A130" s="212">
        <f t="shared" si="1"/>
        <v>128</v>
      </c>
      <c r="B130" s="212" t="s">
        <v>40</v>
      </c>
      <c r="C130" s="212" t="s">
        <v>150</v>
      </c>
      <c r="D130" s="220"/>
      <c r="E130" s="212" t="s">
        <v>92</v>
      </c>
      <c r="F130" s="220"/>
      <c r="G130" s="227" t="s">
        <v>92</v>
      </c>
      <c r="H130" s="227" t="s">
        <v>1654</v>
      </c>
      <c r="I130" s="227" t="s">
        <v>1655</v>
      </c>
      <c r="J130" s="214" t="s">
        <v>150</v>
      </c>
      <c r="K130" s="215" t="s">
        <v>33</v>
      </c>
      <c r="L130" s="226"/>
      <c r="M130" s="224"/>
      <c r="N130" s="217"/>
      <c r="O130" s="210"/>
    </row>
    <row r="131">
      <c r="A131" s="212">
        <f t="shared" si="1"/>
        <v>129</v>
      </c>
      <c r="B131" s="212" t="s">
        <v>40</v>
      </c>
      <c r="C131" s="212" t="s">
        <v>150</v>
      </c>
      <c r="D131" s="220"/>
      <c r="E131" s="212" t="s">
        <v>92</v>
      </c>
      <c r="F131" s="220"/>
      <c r="G131" s="227" t="s">
        <v>92</v>
      </c>
      <c r="H131" s="227" t="s">
        <v>1162</v>
      </c>
      <c r="I131" s="227" t="s">
        <v>1656</v>
      </c>
      <c r="J131" s="214" t="s">
        <v>150</v>
      </c>
      <c r="K131" s="215" t="s">
        <v>33</v>
      </c>
      <c r="L131" s="226"/>
      <c r="M131" s="224"/>
      <c r="N131" s="217"/>
      <c r="O131" s="210"/>
    </row>
    <row r="132">
      <c r="A132" s="212">
        <f t="shared" si="1"/>
        <v>130</v>
      </c>
      <c r="B132" s="212" t="s">
        <v>40</v>
      </c>
      <c r="C132" s="212" t="s">
        <v>150</v>
      </c>
      <c r="D132" s="39"/>
      <c r="E132" s="212" t="s">
        <v>92</v>
      </c>
      <c r="F132" s="39"/>
      <c r="G132" s="227" t="s">
        <v>92</v>
      </c>
      <c r="H132" s="227" t="s">
        <v>1093</v>
      </c>
      <c r="I132" s="227" t="s">
        <v>1657</v>
      </c>
      <c r="J132" s="214" t="s">
        <v>150</v>
      </c>
      <c r="K132" s="215" t="s">
        <v>33</v>
      </c>
      <c r="L132" s="226"/>
      <c r="M132" s="224"/>
      <c r="N132" s="217"/>
      <c r="O132" s="210"/>
    </row>
    <row r="133">
      <c r="A133" s="212">
        <f t="shared" si="1"/>
        <v>131</v>
      </c>
      <c r="B133" s="212" t="s">
        <v>40</v>
      </c>
      <c r="C133" s="212" t="s">
        <v>150</v>
      </c>
      <c r="D133" s="225" t="s">
        <v>1658</v>
      </c>
      <c r="E133" s="212" t="s">
        <v>92</v>
      </c>
      <c r="F133" s="212" t="s">
        <v>613</v>
      </c>
      <c r="G133" s="227" t="s">
        <v>92</v>
      </c>
      <c r="H133" s="227" t="s">
        <v>1659</v>
      </c>
      <c r="I133" s="227" t="s">
        <v>1660</v>
      </c>
      <c r="J133" s="214" t="s">
        <v>150</v>
      </c>
      <c r="K133" s="215" t="s">
        <v>33</v>
      </c>
      <c r="L133" s="226"/>
      <c r="M133" s="224"/>
      <c r="N133" s="217"/>
      <c r="O133" s="210"/>
    </row>
    <row r="134">
      <c r="A134" s="212">
        <f t="shared" si="1"/>
        <v>132</v>
      </c>
      <c r="B134" s="212" t="s">
        <v>40</v>
      </c>
      <c r="C134" s="212" t="s">
        <v>150</v>
      </c>
      <c r="D134" s="220"/>
      <c r="E134" s="212" t="s">
        <v>92</v>
      </c>
      <c r="F134" s="212" t="s">
        <v>1378</v>
      </c>
      <c r="G134" s="227" t="s">
        <v>92</v>
      </c>
      <c r="H134" s="227" t="s">
        <v>1379</v>
      </c>
      <c r="I134" s="227" t="s">
        <v>1661</v>
      </c>
      <c r="J134" s="214" t="s">
        <v>150</v>
      </c>
      <c r="K134" s="215" t="s">
        <v>33</v>
      </c>
      <c r="L134" s="226"/>
      <c r="M134" s="224"/>
      <c r="N134" s="217"/>
      <c r="O134" s="210"/>
    </row>
    <row r="135">
      <c r="A135" s="212">
        <f t="shared" si="1"/>
        <v>133</v>
      </c>
      <c r="B135" s="212" t="s">
        <v>40</v>
      </c>
      <c r="C135" s="212" t="s">
        <v>150</v>
      </c>
      <c r="D135" s="220"/>
      <c r="E135" s="212" t="s">
        <v>92</v>
      </c>
      <c r="F135" s="212" t="s">
        <v>1628</v>
      </c>
      <c r="G135" s="227" t="s">
        <v>92</v>
      </c>
      <c r="H135" s="227" t="s">
        <v>1629</v>
      </c>
      <c r="I135" s="227" t="s">
        <v>1630</v>
      </c>
      <c r="J135" s="214" t="s">
        <v>150</v>
      </c>
      <c r="K135" s="215" t="s">
        <v>33</v>
      </c>
      <c r="L135" s="226"/>
      <c r="M135" s="224"/>
      <c r="N135" s="217"/>
      <c r="O135" s="210"/>
    </row>
    <row r="136">
      <c r="A136" s="212">
        <f t="shared" si="1"/>
        <v>134</v>
      </c>
      <c r="B136" s="212" t="s">
        <v>40</v>
      </c>
      <c r="C136" s="212" t="s">
        <v>150</v>
      </c>
      <c r="D136" s="220"/>
      <c r="E136" s="212" t="s">
        <v>92</v>
      </c>
      <c r="F136" s="212" t="s">
        <v>1631</v>
      </c>
      <c r="G136" s="227" t="s">
        <v>92</v>
      </c>
      <c r="H136" s="227" t="s">
        <v>1632</v>
      </c>
      <c r="I136" s="227" t="s">
        <v>1633</v>
      </c>
      <c r="J136" s="214" t="s">
        <v>150</v>
      </c>
      <c r="K136" s="215" t="s">
        <v>33</v>
      </c>
      <c r="L136" s="226"/>
      <c r="M136" s="224"/>
      <c r="N136" s="217"/>
      <c r="O136" s="210"/>
    </row>
    <row r="137">
      <c r="A137" s="212">
        <f t="shared" si="1"/>
        <v>135</v>
      </c>
      <c r="B137" s="212" t="s">
        <v>40</v>
      </c>
      <c r="C137" s="212" t="s">
        <v>150</v>
      </c>
      <c r="D137" s="220"/>
      <c r="E137" s="212" t="s">
        <v>92</v>
      </c>
      <c r="F137" s="212" t="s">
        <v>1634</v>
      </c>
      <c r="G137" s="227" t="s">
        <v>92</v>
      </c>
      <c r="H137" s="227" t="s">
        <v>1635</v>
      </c>
      <c r="I137" s="227" t="s">
        <v>1636</v>
      </c>
      <c r="J137" s="214" t="s">
        <v>150</v>
      </c>
      <c r="K137" s="215" t="s">
        <v>33</v>
      </c>
      <c r="L137" s="226"/>
      <c r="M137" s="224"/>
      <c r="N137" s="217"/>
      <c r="O137" s="210"/>
    </row>
    <row r="138">
      <c r="A138" s="212">
        <f t="shared" si="1"/>
        <v>136</v>
      </c>
      <c r="B138" s="212" t="s">
        <v>40</v>
      </c>
      <c r="C138" s="212" t="s">
        <v>150</v>
      </c>
      <c r="D138" s="220"/>
      <c r="E138" s="212" t="s">
        <v>92</v>
      </c>
      <c r="F138" s="225" t="s">
        <v>1637</v>
      </c>
      <c r="G138" s="227" t="s">
        <v>92</v>
      </c>
      <c r="H138" s="227" t="s">
        <v>1638</v>
      </c>
      <c r="I138" s="227" t="s">
        <v>1662</v>
      </c>
      <c r="J138" s="214" t="s">
        <v>150</v>
      </c>
      <c r="K138" s="215" t="s">
        <v>33</v>
      </c>
      <c r="L138" s="226"/>
      <c r="M138" s="224"/>
      <c r="N138" s="217"/>
      <c r="O138" s="210"/>
    </row>
    <row r="139">
      <c r="A139" s="212">
        <f t="shared" si="1"/>
        <v>137</v>
      </c>
      <c r="B139" s="212" t="s">
        <v>40</v>
      </c>
      <c r="C139" s="212" t="s">
        <v>150</v>
      </c>
      <c r="D139" s="220"/>
      <c r="E139" s="212" t="s">
        <v>92</v>
      </c>
      <c r="F139" s="220"/>
      <c r="G139" s="227" t="s">
        <v>92</v>
      </c>
      <c r="H139" s="227" t="s">
        <v>1642</v>
      </c>
      <c r="I139" s="227" t="s">
        <v>1663</v>
      </c>
      <c r="J139" s="214" t="s">
        <v>150</v>
      </c>
      <c r="K139" s="215" t="s">
        <v>33</v>
      </c>
      <c r="L139" s="226"/>
      <c r="M139" s="224"/>
      <c r="N139" s="217"/>
      <c r="O139" s="210"/>
    </row>
    <row r="140">
      <c r="A140" s="212">
        <f t="shared" si="1"/>
        <v>138</v>
      </c>
      <c r="B140" s="212" t="s">
        <v>40</v>
      </c>
      <c r="C140" s="212" t="s">
        <v>150</v>
      </c>
      <c r="D140" s="220"/>
      <c r="E140" s="212" t="s">
        <v>92</v>
      </c>
      <c r="F140" s="220"/>
      <c r="G140" s="227"/>
      <c r="H140" s="227" t="s">
        <v>1664</v>
      </c>
      <c r="I140" s="227" t="s">
        <v>1665</v>
      </c>
      <c r="J140" s="214" t="s">
        <v>150</v>
      </c>
      <c r="K140" s="215" t="s">
        <v>33</v>
      </c>
      <c r="L140" s="226"/>
      <c r="M140" s="224"/>
      <c r="N140" s="217"/>
      <c r="O140" s="210"/>
    </row>
    <row r="141">
      <c r="A141" s="212">
        <f t="shared" si="1"/>
        <v>139</v>
      </c>
      <c r="B141" s="212" t="s">
        <v>40</v>
      </c>
      <c r="C141" s="212" t="s">
        <v>150</v>
      </c>
      <c r="D141" s="220"/>
      <c r="E141" s="212" t="s">
        <v>92</v>
      </c>
      <c r="F141" s="220"/>
      <c r="G141" s="227" t="s">
        <v>92</v>
      </c>
      <c r="H141" s="227" t="s">
        <v>1162</v>
      </c>
      <c r="I141" s="227" t="s">
        <v>1644</v>
      </c>
      <c r="J141" s="214" t="s">
        <v>150</v>
      </c>
      <c r="K141" s="215" t="s">
        <v>33</v>
      </c>
      <c r="L141" s="226"/>
      <c r="M141" s="224"/>
      <c r="N141" s="217"/>
      <c r="O141" s="210"/>
    </row>
    <row r="142">
      <c r="A142" s="212">
        <f t="shared" si="1"/>
        <v>140</v>
      </c>
      <c r="B142" s="212" t="s">
        <v>40</v>
      </c>
      <c r="C142" s="212" t="s">
        <v>150</v>
      </c>
      <c r="D142" s="39"/>
      <c r="E142" s="212" t="s">
        <v>92</v>
      </c>
      <c r="F142" s="39"/>
      <c r="G142" s="227" t="s">
        <v>92</v>
      </c>
      <c r="H142" s="227" t="s">
        <v>1093</v>
      </c>
      <c r="I142" s="227" t="s">
        <v>1645</v>
      </c>
      <c r="J142" s="214" t="s">
        <v>150</v>
      </c>
      <c r="K142" s="215" t="s">
        <v>33</v>
      </c>
      <c r="L142" s="226"/>
      <c r="M142" s="224"/>
      <c r="N142" s="217"/>
      <c r="O142" s="210"/>
    </row>
    <row r="143">
      <c r="A143" s="212">
        <f t="shared" si="1"/>
        <v>141</v>
      </c>
      <c r="B143" s="212" t="s">
        <v>40</v>
      </c>
      <c r="C143" s="212" t="s">
        <v>150</v>
      </c>
      <c r="D143" s="225" t="s">
        <v>1666</v>
      </c>
      <c r="E143" s="212" t="s">
        <v>92</v>
      </c>
      <c r="F143" s="212" t="s">
        <v>613</v>
      </c>
      <c r="G143" s="227" t="s">
        <v>92</v>
      </c>
      <c r="H143" s="227" t="s">
        <v>985</v>
      </c>
      <c r="I143" s="227" t="s">
        <v>1667</v>
      </c>
      <c r="J143" s="214" t="s">
        <v>150</v>
      </c>
      <c r="K143" s="215" t="s">
        <v>33</v>
      </c>
      <c r="L143" s="226"/>
      <c r="M143" s="224"/>
      <c r="N143" s="217"/>
      <c r="O143" s="210"/>
    </row>
    <row r="144">
      <c r="A144" s="212">
        <f t="shared" si="1"/>
        <v>142</v>
      </c>
      <c r="B144" s="212" t="s">
        <v>40</v>
      </c>
      <c r="C144" s="212" t="s">
        <v>150</v>
      </c>
      <c r="D144" s="220"/>
      <c r="E144" s="212" t="s">
        <v>92</v>
      </c>
      <c r="F144" s="212" t="s">
        <v>1378</v>
      </c>
      <c r="G144" s="227" t="s">
        <v>92</v>
      </c>
      <c r="H144" s="227" t="s">
        <v>1379</v>
      </c>
      <c r="I144" s="227" t="s">
        <v>1668</v>
      </c>
      <c r="J144" s="214" t="s">
        <v>150</v>
      </c>
      <c r="K144" s="215" t="s">
        <v>33</v>
      </c>
      <c r="L144" s="226"/>
      <c r="M144" s="224"/>
      <c r="N144" s="217"/>
      <c r="O144" s="210"/>
    </row>
    <row r="145">
      <c r="A145" s="212">
        <f t="shared" si="1"/>
        <v>143</v>
      </c>
      <c r="B145" s="212" t="s">
        <v>40</v>
      </c>
      <c r="C145" s="212" t="s">
        <v>150</v>
      </c>
      <c r="D145" s="220"/>
      <c r="E145" s="212" t="s">
        <v>92</v>
      </c>
      <c r="F145" s="212" t="s">
        <v>1628</v>
      </c>
      <c r="G145" s="227" t="s">
        <v>92</v>
      </c>
      <c r="H145" s="227" t="s">
        <v>1629</v>
      </c>
      <c r="I145" s="227" t="s">
        <v>1630</v>
      </c>
      <c r="J145" s="214" t="s">
        <v>150</v>
      </c>
      <c r="K145" s="215" t="s">
        <v>33</v>
      </c>
      <c r="L145" s="226"/>
      <c r="M145" s="224"/>
      <c r="N145" s="217"/>
      <c r="O145" s="210"/>
    </row>
    <row r="146">
      <c r="A146" s="212">
        <f t="shared" si="1"/>
        <v>144</v>
      </c>
      <c r="B146" s="212" t="s">
        <v>40</v>
      </c>
      <c r="C146" s="212" t="s">
        <v>150</v>
      </c>
      <c r="D146" s="220"/>
      <c r="E146" s="212" t="s">
        <v>92</v>
      </c>
      <c r="F146" s="212" t="s">
        <v>1631</v>
      </c>
      <c r="G146" s="227" t="s">
        <v>92</v>
      </c>
      <c r="H146" s="227" t="s">
        <v>1632</v>
      </c>
      <c r="I146" s="227" t="s">
        <v>1633</v>
      </c>
      <c r="J146" s="214" t="s">
        <v>150</v>
      </c>
      <c r="K146" s="215" t="s">
        <v>33</v>
      </c>
      <c r="L146" s="226"/>
      <c r="M146" s="224"/>
      <c r="N146" s="217"/>
      <c r="O146" s="210"/>
    </row>
    <row r="147">
      <c r="A147" s="212">
        <f t="shared" si="1"/>
        <v>145</v>
      </c>
      <c r="B147" s="212" t="s">
        <v>40</v>
      </c>
      <c r="C147" s="212" t="s">
        <v>150</v>
      </c>
      <c r="D147" s="220"/>
      <c r="E147" s="212" t="s">
        <v>92</v>
      </c>
      <c r="F147" s="212" t="s">
        <v>1634</v>
      </c>
      <c r="G147" s="227" t="s">
        <v>92</v>
      </c>
      <c r="H147" s="227" t="s">
        <v>1635</v>
      </c>
      <c r="I147" s="227" t="s">
        <v>1636</v>
      </c>
      <c r="J147" s="214" t="s">
        <v>150</v>
      </c>
      <c r="K147" s="215" t="s">
        <v>33</v>
      </c>
      <c r="L147" s="226"/>
      <c r="M147" s="224"/>
      <c r="N147" s="217"/>
      <c r="O147" s="210"/>
    </row>
    <row r="148">
      <c r="A148" s="212">
        <f t="shared" si="1"/>
        <v>146</v>
      </c>
      <c r="B148" s="212" t="s">
        <v>40</v>
      </c>
      <c r="C148" s="212" t="s">
        <v>150</v>
      </c>
      <c r="D148" s="220"/>
      <c r="E148" s="212" t="s">
        <v>92</v>
      </c>
      <c r="F148" s="225" t="s">
        <v>1637</v>
      </c>
      <c r="G148" s="227" t="s">
        <v>92</v>
      </c>
      <c r="H148" s="227" t="s">
        <v>1638</v>
      </c>
      <c r="I148" s="227" t="s">
        <v>1669</v>
      </c>
      <c r="J148" s="214" t="s">
        <v>150</v>
      </c>
      <c r="K148" s="215" t="s">
        <v>33</v>
      </c>
      <c r="L148" s="226"/>
      <c r="M148" s="224"/>
      <c r="N148" s="217"/>
      <c r="O148" s="210"/>
    </row>
    <row r="149">
      <c r="A149" s="212">
        <f t="shared" si="1"/>
        <v>147</v>
      </c>
      <c r="B149" s="212" t="s">
        <v>40</v>
      </c>
      <c r="C149" s="212" t="s">
        <v>150</v>
      </c>
      <c r="D149" s="220"/>
      <c r="E149" s="212" t="s">
        <v>92</v>
      </c>
      <c r="F149" s="220"/>
      <c r="G149" s="227" t="s">
        <v>92</v>
      </c>
      <c r="H149" s="227" t="s">
        <v>1670</v>
      </c>
      <c r="I149" s="227" t="s">
        <v>1671</v>
      </c>
      <c r="J149" s="214" t="s">
        <v>150</v>
      </c>
      <c r="K149" s="215" t="s">
        <v>33</v>
      </c>
      <c r="L149" s="226"/>
      <c r="M149" s="224"/>
      <c r="N149" s="217"/>
      <c r="O149" s="210"/>
    </row>
    <row r="150">
      <c r="A150" s="212">
        <f t="shared" si="1"/>
        <v>148</v>
      </c>
      <c r="B150" s="212" t="s">
        <v>40</v>
      </c>
      <c r="C150" s="212" t="s">
        <v>150</v>
      </c>
      <c r="D150" s="220"/>
      <c r="E150" s="212" t="s">
        <v>92</v>
      </c>
      <c r="F150" s="220"/>
      <c r="G150" s="227" t="s">
        <v>92</v>
      </c>
      <c r="H150" s="227" t="s">
        <v>1642</v>
      </c>
      <c r="I150" s="227" t="s">
        <v>1672</v>
      </c>
      <c r="J150" s="214" t="s">
        <v>150</v>
      </c>
      <c r="K150" s="215" t="s">
        <v>33</v>
      </c>
      <c r="L150" s="240" t="s">
        <v>1673</v>
      </c>
      <c r="M150" s="227" t="s">
        <v>1674</v>
      </c>
      <c r="N150" s="217"/>
      <c r="O150" s="210"/>
    </row>
    <row r="151">
      <c r="A151" s="212">
        <f t="shared" si="1"/>
        <v>149</v>
      </c>
      <c r="B151" s="212" t="s">
        <v>40</v>
      </c>
      <c r="C151" s="212" t="s">
        <v>150</v>
      </c>
      <c r="D151" s="220"/>
      <c r="E151" s="212" t="s">
        <v>92</v>
      </c>
      <c r="F151" s="220"/>
      <c r="G151" s="227" t="s">
        <v>92</v>
      </c>
      <c r="H151" s="227" t="s">
        <v>1675</v>
      </c>
      <c r="I151" s="227" t="s">
        <v>1676</v>
      </c>
      <c r="J151" s="214" t="s">
        <v>150</v>
      </c>
      <c r="K151" s="215" t="s">
        <v>33</v>
      </c>
      <c r="L151" s="226"/>
      <c r="M151" s="224"/>
      <c r="N151" s="217"/>
      <c r="O151" s="210"/>
    </row>
    <row r="152">
      <c r="A152" s="212">
        <f t="shared" si="1"/>
        <v>150</v>
      </c>
      <c r="B152" s="212" t="s">
        <v>40</v>
      </c>
      <c r="C152" s="212" t="s">
        <v>150</v>
      </c>
      <c r="D152" s="220"/>
      <c r="E152" s="212" t="s">
        <v>92</v>
      </c>
      <c r="F152" s="220"/>
      <c r="G152" s="227" t="s">
        <v>92</v>
      </c>
      <c r="H152" s="227" t="s">
        <v>1664</v>
      </c>
      <c r="I152" s="227" t="s">
        <v>1665</v>
      </c>
      <c r="J152" s="214" t="s">
        <v>150</v>
      </c>
      <c r="K152" s="215" t="s">
        <v>33</v>
      </c>
      <c r="L152" s="226"/>
      <c r="M152" s="224"/>
      <c r="N152" s="217"/>
      <c r="O152" s="210"/>
    </row>
    <row r="153">
      <c r="A153" s="212">
        <f t="shared" si="1"/>
        <v>151</v>
      </c>
      <c r="B153" s="212" t="s">
        <v>40</v>
      </c>
      <c r="C153" s="212" t="s">
        <v>150</v>
      </c>
      <c r="D153" s="220"/>
      <c r="E153" s="212" t="s">
        <v>92</v>
      </c>
      <c r="F153" s="220"/>
      <c r="G153" s="227" t="s">
        <v>92</v>
      </c>
      <c r="H153" s="227" t="s">
        <v>1162</v>
      </c>
      <c r="I153" s="227" t="s">
        <v>1644</v>
      </c>
      <c r="J153" s="214" t="s">
        <v>150</v>
      </c>
      <c r="K153" s="215" t="s">
        <v>33</v>
      </c>
      <c r="L153" s="226"/>
      <c r="M153" s="224"/>
      <c r="N153" s="217"/>
      <c r="O153" s="210"/>
    </row>
    <row r="154">
      <c r="A154" s="212">
        <f t="shared" si="1"/>
        <v>152</v>
      </c>
      <c r="B154" s="212" t="s">
        <v>40</v>
      </c>
      <c r="C154" s="212" t="s">
        <v>150</v>
      </c>
      <c r="D154" s="39"/>
      <c r="E154" s="212" t="s">
        <v>92</v>
      </c>
      <c r="F154" s="39"/>
      <c r="G154" s="227" t="s">
        <v>92</v>
      </c>
      <c r="H154" s="227" t="s">
        <v>1093</v>
      </c>
      <c r="I154" s="227" t="s">
        <v>1645</v>
      </c>
      <c r="J154" s="214" t="s">
        <v>150</v>
      </c>
      <c r="K154" s="215" t="s">
        <v>33</v>
      </c>
      <c r="L154" s="226"/>
      <c r="M154" s="224"/>
      <c r="N154" s="217"/>
      <c r="O154" s="210"/>
    </row>
    <row r="155">
      <c r="A155" s="212">
        <f t="shared" si="1"/>
        <v>153</v>
      </c>
      <c r="B155" s="212" t="s">
        <v>40</v>
      </c>
      <c r="C155" s="212" t="s">
        <v>150</v>
      </c>
      <c r="D155" s="225" t="s">
        <v>1677</v>
      </c>
      <c r="E155" s="212" t="s">
        <v>92</v>
      </c>
      <c r="F155" s="212" t="s">
        <v>613</v>
      </c>
      <c r="G155" s="227" t="s">
        <v>92</v>
      </c>
      <c r="H155" s="227" t="s">
        <v>990</v>
      </c>
      <c r="I155" s="227" t="s">
        <v>1678</v>
      </c>
      <c r="J155" s="214" t="s">
        <v>150</v>
      </c>
      <c r="K155" s="215" t="s">
        <v>33</v>
      </c>
      <c r="L155" s="226"/>
      <c r="M155" s="224"/>
      <c r="N155" s="217"/>
      <c r="O155" s="210"/>
    </row>
    <row r="156">
      <c r="A156" s="212">
        <f t="shared" si="1"/>
        <v>154</v>
      </c>
      <c r="B156" s="212" t="s">
        <v>40</v>
      </c>
      <c r="C156" s="212" t="s">
        <v>150</v>
      </c>
      <c r="D156" s="220"/>
      <c r="E156" s="212" t="s">
        <v>92</v>
      </c>
      <c r="F156" s="212" t="s">
        <v>1378</v>
      </c>
      <c r="G156" s="227" t="s">
        <v>92</v>
      </c>
      <c r="H156" s="227" t="s">
        <v>1379</v>
      </c>
      <c r="I156" s="227" t="s">
        <v>1679</v>
      </c>
      <c r="J156" s="214" t="s">
        <v>150</v>
      </c>
      <c r="K156" s="215" t="s">
        <v>33</v>
      </c>
      <c r="L156" s="226"/>
      <c r="M156" s="227"/>
      <c r="N156" s="217"/>
      <c r="O156" s="210"/>
    </row>
    <row r="157">
      <c r="A157" s="212">
        <f t="shared" si="1"/>
        <v>155</v>
      </c>
      <c r="B157" s="212" t="s">
        <v>40</v>
      </c>
      <c r="C157" s="212" t="s">
        <v>150</v>
      </c>
      <c r="D157" s="220"/>
      <c r="E157" s="212" t="s">
        <v>92</v>
      </c>
      <c r="F157" s="225" t="s">
        <v>1680</v>
      </c>
      <c r="G157" s="227" t="s">
        <v>92</v>
      </c>
      <c r="H157" s="227" t="s">
        <v>1681</v>
      </c>
      <c r="I157" s="227" t="s">
        <v>1682</v>
      </c>
      <c r="J157" s="214" t="s">
        <v>150</v>
      </c>
      <c r="K157" s="215" t="s">
        <v>33</v>
      </c>
      <c r="L157" s="224"/>
      <c r="M157" s="224"/>
      <c r="N157" s="217"/>
      <c r="O157" s="210"/>
    </row>
    <row r="158">
      <c r="A158" s="212">
        <f t="shared" si="1"/>
        <v>156</v>
      </c>
      <c r="B158" s="212" t="s">
        <v>40</v>
      </c>
      <c r="C158" s="212" t="s">
        <v>150</v>
      </c>
      <c r="D158" s="220"/>
      <c r="E158" s="212" t="s">
        <v>92</v>
      </c>
      <c r="F158" s="39"/>
      <c r="G158" s="227" t="s">
        <v>1683</v>
      </c>
      <c r="H158" s="227" t="s">
        <v>1681</v>
      </c>
      <c r="I158" s="227" t="s">
        <v>1684</v>
      </c>
      <c r="J158" s="214" t="s">
        <v>150</v>
      </c>
      <c r="K158" s="215" t="s">
        <v>33</v>
      </c>
      <c r="L158" s="224"/>
      <c r="M158" s="224"/>
      <c r="N158" s="217"/>
      <c r="O158" s="210"/>
    </row>
    <row r="159">
      <c r="A159" s="212">
        <f t="shared" si="1"/>
        <v>157</v>
      </c>
      <c r="B159" s="212" t="s">
        <v>40</v>
      </c>
      <c r="C159" s="212" t="s">
        <v>150</v>
      </c>
      <c r="D159" s="220"/>
      <c r="E159" s="212" t="s">
        <v>92</v>
      </c>
      <c r="F159" s="212" t="s">
        <v>1685</v>
      </c>
      <c r="G159" s="227" t="s">
        <v>92</v>
      </c>
      <c r="H159" s="227" t="s">
        <v>1686</v>
      </c>
      <c r="I159" s="227" t="s">
        <v>1687</v>
      </c>
      <c r="J159" s="214" t="s">
        <v>150</v>
      </c>
      <c r="K159" s="215" t="s">
        <v>33</v>
      </c>
      <c r="L159" s="224"/>
      <c r="M159" s="224"/>
      <c r="N159" s="217"/>
      <c r="O159" s="210"/>
    </row>
    <row r="160">
      <c r="A160" s="212">
        <f t="shared" si="1"/>
        <v>158</v>
      </c>
      <c r="B160" s="212" t="s">
        <v>40</v>
      </c>
      <c r="C160" s="212" t="s">
        <v>150</v>
      </c>
      <c r="D160" s="220"/>
      <c r="E160" s="212" t="s">
        <v>92</v>
      </c>
      <c r="F160" s="212" t="s">
        <v>1688</v>
      </c>
      <c r="G160" s="227" t="s">
        <v>92</v>
      </c>
      <c r="H160" s="227" t="s">
        <v>1689</v>
      </c>
      <c r="I160" s="227" t="s">
        <v>1690</v>
      </c>
      <c r="J160" s="214" t="s">
        <v>150</v>
      </c>
      <c r="K160" s="215" t="s">
        <v>33</v>
      </c>
      <c r="L160" s="224"/>
      <c r="M160" s="224"/>
      <c r="N160" s="217"/>
      <c r="O160" s="210"/>
    </row>
    <row r="161">
      <c r="A161" s="212">
        <f t="shared" si="1"/>
        <v>159</v>
      </c>
      <c r="B161" s="212" t="s">
        <v>40</v>
      </c>
      <c r="C161" s="212" t="s">
        <v>150</v>
      </c>
      <c r="D161" s="220"/>
      <c r="E161" s="212" t="s">
        <v>92</v>
      </c>
      <c r="F161" s="212" t="s">
        <v>1691</v>
      </c>
      <c r="G161" s="227" t="s">
        <v>92</v>
      </c>
      <c r="H161" s="227" t="s">
        <v>1692</v>
      </c>
      <c r="I161" s="227" t="s">
        <v>1693</v>
      </c>
      <c r="J161" s="214" t="s">
        <v>150</v>
      </c>
      <c r="K161" s="215" t="s">
        <v>33</v>
      </c>
      <c r="L161" s="224"/>
      <c r="M161" s="224"/>
      <c r="N161" s="217"/>
      <c r="O161" s="210"/>
    </row>
    <row r="162">
      <c r="A162" s="212">
        <f t="shared" si="1"/>
        <v>160</v>
      </c>
      <c r="B162" s="212" t="s">
        <v>40</v>
      </c>
      <c r="C162" s="212" t="s">
        <v>150</v>
      </c>
      <c r="D162" s="220"/>
      <c r="E162" s="212" t="s">
        <v>92</v>
      </c>
      <c r="F162" s="225" t="s">
        <v>1694</v>
      </c>
      <c r="G162" s="227" t="s">
        <v>92</v>
      </c>
      <c r="H162" s="227" t="s">
        <v>1695</v>
      </c>
      <c r="I162" s="227" t="s">
        <v>1696</v>
      </c>
      <c r="J162" s="214" t="s">
        <v>150</v>
      </c>
      <c r="K162" s="215" t="s">
        <v>33</v>
      </c>
      <c r="L162" s="224"/>
      <c r="M162" s="224"/>
      <c r="N162" s="217"/>
      <c r="O162" s="210"/>
    </row>
    <row r="163">
      <c r="A163" s="212">
        <f t="shared" si="1"/>
        <v>161</v>
      </c>
      <c r="B163" s="212" t="s">
        <v>40</v>
      </c>
      <c r="C163" s="212" t="s">
        <v>150</v>
      </c>
      <c r="D163" s="220"/>
      <c r="E163" s="212" t="s">
        <v>92</v>
      </c>
      <c r="F163" s="39"/>
      <c r="G163" s="227" t="s">
        <v>92</v>
      </c>
      <c r="H163" s="227" t="s">
        <v>1697</v>
      </c>
      <c r="I163" s="213" t="s">
        <v>1698</v>
      </c>
      <c r="J163" s="214" t="s">
        <v>150</v>
      </c>
      <c r="K163" s="215" t="s">
        <v>33</v>
      </c>
      <c r="L163" s="224"/>
      <c r="M163" s="224"/>
      <c r="N163" s="217"/>
      <c r="O163" s="210"/>
    </row>
    <row r="164">
      <c r="A164" s="212">
        <f t="shared" si="1"/>
        <v>162</v>
      </c>
      <c r="B164" s="212" t="s">
        <v>40</v>
      </c>
      <c r="C164" s="212" t="s">
        <v>150</v>
      </c>
      <c r="D164" s="220"/>
      <c r="E164" s="212" t="s">
        <v>92</v>
      </c>
      <c r="F164" s="225" t="s">
        <v>1040</v>
      </c>
      <c r="G164" s="227" t="s">
        <v>1699</v>
      </c>
      <c r="H164" s="227" t="s">
        <v>1093</v>
      </c>
      <c r="I164" s="227" t="s">
        <v>1700</v>
      </c>
      <c r="J164" s="214" t="s">
        <v>150</v>
      </c>
      <c r="K164" s="215" t="s">
        <v>33</v>
      </c>
      <c r="L164" s="224"/>
      <c r="M164" s="224"/>
      <c r="N164" s="217"/>
      <c r="O164" s="210"/>
    </row>
    <row r="165">
      <c r="A165" s="212">
        <f t="shared" si="1"/>
        <v>163</v>
      </c>
      <c r="B165" s="212" t="s">
        <v>40</v>
      </c>
      <c r="C165" s="212" t="s">
        <v>150</v>
      </c>
      <c r="D165" s="220"/>
      <c r="E165" s="212" t="s">
        <v>92</v>
      </c>
      <c r="F165" s="220"/>
      <c r="G165" s="227" t="s">
        <v>1701</v>
      </c>
      <c r="H165" s="227" t="s">
        <v>1093</v>
      </c>
      <c r="I165" s="213" t="s">
        <v>1702</v>
      </c>
      <c r="J165" s="214" t="s">
        <v>150</v>
      </c>
      <c r="K165" s="215" t="s">
        <v>33</v>
      </c>
      <c r="L165" s="224"/>
      <c r="M165" s="224"/>
      <c r="N165" s="217"/>
      <c r="O165" s="210"/>
    </row>
    <row r="166">
      <c r="A166" s="212">
        <f t="shared" si="1"/>
        <v>164</v>
      </c>
      <c r="B166" s="212" t="s">
        <v>40</v>
      </c>
      <c r="C166" s="212" t="s">
        <v>150</v>
      </c>
      <c r="D166" s="39"/>
      <c r="E166" s="212" t="s">
        <v>92</v>
      </c>
      <c r="F166" s="39"/>
      <c r="G166" s="217" t="s">
        <v>1703</v>
      </c>
      <c r="H166" s="227" t="s">
        <v>1093</v>
      </c>
      <c r="I166" s="217" t="s">
        <v>1704</v>
      </c>
      <c r="J166" s="214" t="s">
        <v>150</v>
      </c>
      <c r="K166" s="215" t="s">
        <v>33</v>
      </c>
      <c r="L166" s="224"/>
      <c r="M166" s="224"/>
      <c r="N166" s="217"/>
      <c r="O166" s="210"/>
    </row>
    <row r="167">
      <c r="A167" s="212">
        <f t="shared" si="1"/>
        <v>165</v>
      </c>
      <c r="B167" s="212" t="s">
        <v>40</v>
      </c>
      <c r="C167" s="212" t="s">
        <v>150</v>
      </c>
      <c r="D167" s="225" t="s">
        <v>1705</v>
      </c>
      <c r="E167" s="212" t="s">
        <v>92</v>
      </c>
      <c r="F167" s="225" t="s">
        <v>613</v>
      </c>
      <c r="G167" s="217" t="s">
        <v>1706</v>
      </c>
      <c r="H167" s="213" t="s">
        <v>1707</v>
      </c>
      <c r="I167" s="217" t="s">
        <v>1708</v>
      </c>
      <c r="J167" s="214" t="s">
        <v>150</v>
      </c>
      <c r="K167" s="215" t="s">
        <v>33</v>
      </c>
      <c r="L167" s="224"/>
      <c r="M167" s="224"/>
      <c r="N167" s="217"/>
      <c r="O167" s="210"/>
    </row>
    <row r="168">
      <c r="A168" s="212">
        <f t="shared" si="1"/>
        <v>166</v>
      </c>
      <c r="B168" s="212" t="s">
        <v>40</v>
      </c>
      <c r="C168" s="212" t="s">
        <v>150</v>
      </c>
      <c r="D168" s="220"/>
      <c r="E168" s="212" t="s">
        <v>92</v>
      </c>
      <c r="F168" s="39"/>
      <c r="G168" s="217" t="s">
        <v>1709</v>
      </c>
      <c r="H168" s="213" t="s">
        <v>1707</v>
      </c>
      <c r="I168" s="217" t="s">
        <v>1710</v>
      </c>
      <c r="J168" s="214" t="s">
        <v>150</v>
      </c>
      <c r="K168" s="215" t="s">
        <v>33</v>
      </c>
      <c r="L168" s="224"/>
      <c r="M168" s="224"/>
      <c r="N168" s="217"/>
      <c r="O168" s="210"/>
    </row>
    <row r="169">
      <c r="A169" s="212">
        <f t="shared" si="1"/>
        <v>167</v>
      </c>
      <c r="B169" s="212" t="s">
        <v>40</v>
      </c>
      <c r="C169" s="212" t="s">
        <v>150</v>
      </c>
      <c r="D169" s="220"/>
      <c r="E169" s="212" t="s">
        <v>92</v>
      </c>
      <c r="F169" s="212" t="s">
        <v>1691</v>
      </c>
      <c r="G169" s="217" t="s">
        <v>1709</v>
      </c>
      <c r="H169" s="213" t="s">
        <v>1711</v>
      </c>
      <c r="I169" s="227" t="s">
        <v>1712</v>
      </c>
      <c r="J169" s="214" t="s">
        <v>150</v>
      </c>
      <c r="K169" s="215" t="s">
        <v>33</v>
      </c>
      <c r="L169" s="226"/>
      <c r="M169" s="224"/>
      <c r="N169" s="217"/>
      <c r="O169" s="210"/>
    </row>
    <row r="170">
      <c r="A170" s="212">
        <f t="shared" si="1"/>
        <v>168</v>
      </c>
      <c r="B170" s="212" t="s">
        <v>40</v>
      </c>
      <c r="C170" s="212" t="s">
        <v>150</v>
      </c>
      <c r="D170" s="220"/>
      <c r="E170" s="212" t="s">
        <v>92</v>
      </c>
      <c r="F170" s="225" t="s">
        <v>1713</v>
      </c>
      <c r="G170" s="254" t="s">
        <v>1714</v>
      </c>
      <c r="H170" s="213" t="s">
        <v>1715</v>
      </c>
      <c r="I170" s="227" t="s">
        <v>1716</v>
      </c>
      <c r="J170" s="214" t="s">
        <v>150</v>
      </c>
      <c r="K170" s="215" t="s">
        <v>33</v>
      </c>
      <c r="L170" s="226"/>
      <c r="M170" s="224"/>
      <c r="N170" s="217"/>
      <c r="O170" s="210"/>
    </row>
    <row r="171">
      <c r="A171" s="212">
        <f t="shared" si="1"/>
        <v>169</v>
      </c>
      <c r="B171" s="212" t="s">
        <v>40</v>
      </c>
      <c r="C171" s="212" t="s">
        <v>150</v>
      </c>
      <c r="D171" s="220"/>
      <c r="E171" s="212" t="s">
        <v>92</v>
      </c>
      <c r="F171" s="220"/>
      <c r="G171" s="220"/>
      <c r="H171" s="213" t="s">
        <v>1717</v>
      </c>
      <c r="I171" s="227" t="s">
        <v>1718</v>
      </c>
      <c r="J171" s="214" t="s">
        <v>150</v>
      </c>
      <c r="K171" s="215" t="s">
        <v>33</v>
      </c>
      <c r="L171" s="226"/>
      <c r="M171" s="224"/>
      <c r="N171" s="217"/>
      <c r="O171" s="210"/>
    </row>
    <row r="172">
      <c r="A172" s="212">
        <f t="shared" si="1"/>
        <v>170</v>
      </c>
      <c r="B172" s="212" t="s">
        <v>40</v>
      </c>
      <c r="C172" s="212" t="s">
        <v>150</v>
      </c>
      <c r="D172" s="220"/>
      <c r="E172" s="212" t="s">
        <v>92</v>
      </c>
      <c r="F172" s="220"/>
      <c r="G172" s="39"/>
      <c r="H172" s="213" t="s">
        <v>1719</v>
      </c>
      <c r="I172" s="227" t="s">
        <v>1720</v>
      </c>
      <c r="J172" s="214" t="s">
        <v>150</v>
      </c>
      <c r="K172" s="215" t="s">
        <v>33</v>
      </c>
      <c r="L172" s="224"/>
      <c r="M172" s="224"/>
      <c r="N172" s="217"/>
      <c r="O172" s="210"/>
    </row>
    <row r="173">
      <c r="A173" s="212">
        <f t="shared" si="1"/>
        <v>171</v>
      </c>
      <c r="B173" s="212" t="s">
        <v>40</v>
      </c>
      <c r="C173" s="212" t="s">
        <v>150</v>
      </c>
      <c r="D173" s="220"/>
      <c r="E173" s="212" t="s">
        <v>92</v>
      </c>
      <c r="F173" s="220"/>
      <c r="G173" s="227" t="s">
        <v>92</v>
      </c>
      <c r="H173" s="227" t="s">
        <v>1162</v>
      </c>
      <c r="I173" s="227" t="s">
        <v>1721</v>
      </c>
      <c r="J173" s="214" t="s">
        <v>150</v>
      </c>
      <c r="K173" s="215" t="s">
        <v>33</v>
      </c>
      <c r="L173" s="224"/>
      <c r="M173" s="224"/>
      <c r="N173" s="217"/>
      <c r="O173" s="210"/>
    </row>
    <row r="174">
      <c r="A174" s="212">
        <f t="shared" si="1"/>
        <v>172</v>
      </c>
      <c r="B174" s="212" t="s">
        <v>40</v>
      </c>
      <c r="C174" s="212" t="s">
        <v>150</v>
      </c>
      <c r="D174" s="220"/>
      <c r="E174" s="212" t="s">
        <v>92</v>
      </c>
      <c r="F174" s="220"/>
      <c r="G174" s="227" t="s">
        <v>1722</v>
      </c>
      <c r="H174" s="227" t="s">
        <v>1723</v>
      </c>
      <c r="I174" s="227" t="s">
        <v>1724</v>
      </c>
      <c r="J174" s="214" t="s">
        <v>150</v>
      </c>
      <c r="K174" s="215" t="s">
        <v>33</v>
      </c>
      <c r="L174" s="224"/>
      <c r="M174" s="224"/>
      <c r="N174" s="217"/>
      <c r="O174" s="210"/>
    </row>
    <row r="175">
      <c r="A175" s="212">
        <f t="shared" si="1"/>
        <v>173</v>
      </c>
      <c r="B175" s="212" t="s">
        <v>40</v>
      </c>
      <c r="C175" s="212" t="s">
        <v>150</v>
      </c>
      <c r="D175" s="220"/>
      <c r="E175" s="212" t="s">
        <v>92</v>
      </c>
      <c r="F175" s="220"/>
      <c r="G175" s="227" t="s">
        <v>1725</v>
      </c>
      <c r="H175" s="227" t="s">
        <v>1715</v>
      </c>
      <c r="I175" s="227" t="s">
        <v>1726</v>
      </c>
      <c r="J175" s="214" t="s">
        <v>150</v>
      </c>
      <c r="K175" s="215" t="s">
        <v>33</v>
      </c>
      <c r="L175" s="224"/>
      <c r="M175" s="224"/>
      <c r="N175" s="217"/>
      <c r="O175" s="210"/>
    </row>
    <row r="176">
      <c r="A176" s="212">
        <f t="shared" si="1"/>
        <v>174</v>
      </c>
      <c r="B176" s="212" t="s">
        <v>40</v>
      </c>
      <c r="C176" s="212" t="s">
        <v>150</v>
      </c>
      <c r="D176" s="220"/>
      <c r="E176" s="212" t="s">
        <v>92</v>
      </c>
      <c r="F176" s="220"/>
      <c r="G176" s="227" t="s">
        <v>1727</v>
      </c>
      <c r="H176" s="227" t="s">
        <v>1723</v>
      </c>
      <c r="I176" s="227" t="s">
        <v>1724</v>
      </c>
      <c r="J176" s="214" t="s">
        <v>150</v>
      </c>
      <c r="K176" s="215" t="s">
        <v>33</v>
      </c>
      <c r="L176" s="224"/>
      <c r="M176" s="224"/>
      <c r="N176" s="217"/>
      <c r="O176" s="210"/>
    </row>
    <row r="177">
      <c r="A177" s="212">
        <f t="shared" si="1"/>
        <v>175</v>
      </c>
      <c r="B177" s="212" t="s">
        <v>40</v>
      </c>
      <c r="C177" s="212" t="s">
        <v>150</v>
      </c>
      <c r="D177" s="220"/>
      <c r="E177" s="212" t="s">
        <v>92</v>
      </c>
      <c r="F177" s="220"/>
      <c r="G177" s="227" t="s">
        <v>1728</v>
      </c>
      <c r="H177" s="227" t="s">
        <v>1715</v>
      </c>
      <c r="I177" s="227" t="s">
        <v>1726</v>
      </c>
      <c r="J177" s="214" t="s">
        <v>150</v>
      </c>
      <c r="K177" s="215" t="s">
        <v>33</v>
      </c>
      <c r="L177" s="224"/>
      <c r="M177" s="224"/>
      <c r="N177" s="217"/>
      <c r="O177" s="210"/>
    </row>
    <row r="178">
      <c r="A178" s="212">
        <f t="shared" si="1"/>
        <v>176</v>
      </c>
      <c r="B178" s="212" t="s">
        <v>40</v>
      </c>
      <c r="C178" s="212" t="s">
        <v>150</v>
      </c>
      <c r="D178" s="39"/>
      <c r="E178" s="212" t="s">
        <v>92</v>
      </c>
      <c r="F178" s="39"/>
      <c r="G178" s="227" t="s">
        <v>1729</v>
      </c>
      <c r="H178" s="227" t="s">
        <v>1715</v>
      </c>
      <c r="I178" s="227" t="s">
        <v>1730</v>
      </c>
      <c r="J178" s="214" t="s">
        <v>150</v>
      </c>
      <c r="K178" s="215" t="s">
        <v>33</v>
      </c>
      <c r="L178" s="224"/>
      <c r="M178" s="224"/>
      <c r="N178" s="217"/>
      <c r="O178" s="210"/>
    </row>
    <row r="179">
      <c r="A179" s="212">
        <f t="shared" si="1"/>
        <v>177</v>
      </c>
      <c r="B179" s="212" t="s">
        <v>40</v>
      </c>
      <c r="C179" s="212" t="s">
        <v>150</v>
      </c>
      <c r="D179" s="225" t="s">
        <v>1731</v>
      </c>
      <c r="E179" s="212" t="s">
        <v>92</v>
      </c>
      <c r="F179" s="212" t="s">
        <v>613</v>
      </c>
      <c r="G179" s="217" t="s">
        <v>92</v>
      </c>
      <c r="H179" s="213" t="s">
        <v>1732</v>
      </c>
      <c r="I179" s="217" t="s">
        <v>1733</v>
      </c>
      <c r="J179" s="214" t="s">
        <v>150</v>
      </c>
      <c r="K179" s="215" t="s">
        <v>35</v>
      </c>
      <c r="L179" s="224"/>
      <c r="M179" s="227" t="s">
        <v>1734</v>
      </c>
      <c r="N179" s="217"/>
      <c r="O179" s="210"/>
    </row>
    <row r="180">
      <c r="A180" s="212">
        <f t="shared" si="1"/>
        <v>178</v>
      </c>
      <c r="B180" s="212" t="s">
        <v>40</v>
      </c>
      <c r="C180" s="212" t="s">
        <v>150</v>
      </c>
      <c r="D180" s="220"/>
      <c r="E180" s="212" t="s">
        <v>92</v>
      </c>
      <c r="F180" s="212" t="s">
        <v>1691</v>
      </c>
      <c r="G180" s="227" t="s">
        <v>92</v>
      </c>
      <c r="H180" s="227" t="s">
        <v>1735</v>
      </c>
      <c r="I180" s="227" t="s">
        <v>1736</v>
      </c>
      <c r="J180" s="214" t="s">
        <v>150</v>
      </c>
      <c r="K180" s="215" t="s">
        <v>35</v>
      </c>
      <c r="L180" s="224"/>
      <c r="M180" s="227" t="s">
        <v>1734</v>
      </c>
      <c r="N180" s="217"/>
      <c r="O180" s="210"/>
    </row>
    <row r="181">
      <c r="A181" s="212">
        <f t="shared" si="1"/>
        <v>179</v>
      </c>
      <c r="B181" s="212" t="s">
        <v>40</v>
      </c>
      <c r="C181" s="212" t="s">
        <v>150</v>
      </c>
      <c r="D181" s="220"/>
      <c r="E181" s="212" t="s">
        <v>92</v>
      </c>
      <c r="F181" s="225" t="s">
        <v>1040</v>
      </c>
      <c r="G181" s="227" t="s">
        <v>1737</v>
      </c>
      <c r="H181" s="227" t="s">
        <v>1093</v>
      </c>
      <c r="I181" s="227" t="s">
        <v>1738</v>
      </c>
      <c r="J181" s="214" t="s">
        <v>150</v>
      </c>
      <c r="K181" s="215" t="s">
        <v>35</v>
      </c>
      <c r="L181" s="224"/>
      <c r="M181" s="227" t="s">
        <v>1734</v>
      </c>
      <c r="N181" s="217"/>
      <c r="O181" s="210"/>
    </row>
    <row r="182">
      <c r="A182" s="212">
        <f t="shared" si="1"/>
        <v>180</v>
      </c>
      <c r="B182" s="212" t="s">
        <v>40</v>
      </c>
      <c r="C182" s="212" t="s">
        <v>150</v>
      </c>
      <c r="D182" s="39"/>
      <c r="E182" s="212" t="s">
        <v>92</v>
      </c>
      <c r="F182" s="39"/>
      <c r="G182" s="227" t="s">
        <v>1739</v>
      </c>
      <c r="H182" s="227" t="s">
        <v>1093</v>
      </c>
      <c r="I182" s="227" t="s">
        <v>1740</v>
      </c>
      <c r="J182" s="214" t="s">
        <v>150</v>
      </c>
      <c r="K182" s="215" t="s">
        <v>35</v>
      </c>
      <c r="L182" s="224"/>
      <c r="M182" s="227" t="s">
        <v>1734</v>
      </c>
      <c r="N182" s="217"/>
      <c r="O182" s="210"/>
    </row>
    <row r="183">
      <c r="A183" s="212">
        <f t="shared" si="1"/>
        <v>181</v>
      </c>
      <c r="B183" s="212" t="s">
        <v>40</v>
      </c>
      <c r="C183" s="212" t="s">
        <v>154</v>
      </c>
      <c r="D183" s="212" t="s">
        <v>92</v>
      </c>
      <c r="E183" s="212" t="s">
        <v>92</v>
      </c>
      <c r="F183" s="212" t="s">
        <v>613</v>
      </c>
      <c r="G183" s="217" t="s">
        <v>92</v>
      </c>
      <c r="H183" s="213" t="s">
        <v>1741</v>
      </c>
      <c r="I183" s="213" t="s">
        <v>1742</v>
      </c>
      <c r="J183" s="256" t="s">
        <v>154</v>
      </c>
      <c r="K183" s="215" t="s">
        <v>33</v>
      </c>
      <c r="L183" s="240" t="s">
        <v>1743</v>
      </c>
      <c r="M183" s="227" t="s">
        <v>1744</v>
      </c>
      <c r="N183" s="217"/>
      <c r="O183" s="210"/>
    </row>
    <row r="184">
      <c r="A184" s="212">
        <f t="shared" si="1"/>
        <v>182</v>
      </c>
      <c r="B184" s="212" t="s">
        <v>40</v>
      </c>
      <c r="C184" s="212" t="s">
        <v>154</v>
      </c>
      <c r="D184" s="212" t="s">
        <v>92</v>
      </c>
      <c r="E184" s="212" t="s">
        <v>92</v>
      </c>
      <c r="F184" s="212" t="s">
        <v>1378</v>
      </c>
      <c r="G184" s="217" t="s">
        <v>92</v>
      </c>
      <c r="H184" s="227" t="s">
        <v>1745</v>
      </c>
      <c r="I184" s="227" t="s">
        <v>1746</v>
      </c>
      <c r="J184" s="256" t="s">
        <v>154</v>
      </c>
      <c r="K184" s="215" t="s">
        <v>33</v>
      </c>
      <c r="L184" s="224"/>
      <c r="M184" s="224"/>
      <c r="N184" s="217"/>
      <c r="O184" s="210"/>
    </row>
    <row r="185">
      <c r="A185" s="212">
        <f t="shared" si="1"/>
        <v>183</v>
      </c>
      <c r="B185" s="212" t="s">
        <v>40</v>
      </c>
      <c r="C185" s="212" t="s">
        <v>154</v>
      </c>
      <c r="D185" s="212" t="s">
        <v>92</v>
      </c>
      <c r="E185" s="212" t="s">
        <v>92</v>
      </c>
      <c r="F185" s="212" t="s">
        <v>234</v>
      </c>
      <c r="G185" s="217" t="s">
        <v>92</v>
      </c>
      <c r="H185" s="227" t="s">
        <v>1747</v>
      </c>
      <c r="I185" s="227" t="s">
        <v>1748</v>
      </c>
      <c r="J185" s="256" t="s">
        <v>154</v>
      </c>
      <c r="K185" s="215" t="s">
        <v>33</v>
      </c>
      <c r="L185" s="224"/>
      <c r="M185" s="224"/>
      <c r="N185" s="217"/>
      <c r="O185" s="210"/>
    </row>
    <row r="186">
      <c r="A186" s="212">
        <f t="shared" si="1"/>
        <v>184</v>
      </c>
      <c r="B186" s="212" t="s">
        <v>40</v>
      </c>
      <c r="C186" s="212" t="s">
        <v>154</v>
      </c>
      <c r="D186" s="225" t="s">
        <v>1749</v>
      </c>
      <c r="E186" s="212" t="s">
        <v>92</v>
      </c>
      <c r="F186" s="212" t="s">
        <v>613</v>
      </c>
      <c r="G186" s="227" t="s">
        <v>92</v>
      </c>
      <c r="H186" s="227" t="s">
        <v>1750</v>
      </c>
      <c r="I186" s="227" t="s">
        <v>1751</v>
      </c>
      <c r="J186" s="256" t="s">
        <v>1749</v>
      </c>
      <c r="K186" s="215" t="s">
        <v>33</v>
      </c>
      <c r="L186" s="224"/>
      <c r="M186" s="224"/>
      <c r="N186" s="217"/>
      <c r="O186" s="210"/>
    </row>
    <row r="187">
      <c r="A187" s="212">
        <f t="shared" si="1"/>
        <v>185</v>
      </c>
      <c r="B187" s="212" t="s">
        <v>40</v>
      </c>
      <c r="C187" s="212" t="s">
        <v>154</v>
      </c>
      <c r="D187" s="220"/>
      <c r="E187" s="225" t="s">
        <v>1752</v>
      </c>
      <c r="F187" s="212" t="s">
        <v>613</v>
      </c>
      <c r="G187" s="227" t="s">
        <v>92</v>
      </c>
      <c r="H187" s="227" t="s">
        <v>1753</v>
      </c>
      <c r="I187" s="227" t="s">
        <v>1754</v>
      </c>
      <c r="J187" s="256" t="s">
        <v>1749</v>
      </c>
      <c r="K187" s="215" t="s">
        <v>33</v>
      </c>
      <c r="L187" s="240" t="s">
        <v>1743</v>
      </c>
      <c r="M187" s="227" t="s">
        <v>1755</v>
      </c>
      <c r="N187" s="217"/>
      <c r="O187" s="210"/>
    </row>
    <row r="188">
      <c r="A188" s="212">
        <f t="shared" si="1"/>
        <v>186</v>
      </c>
      <c r="B188" s="212" t="s">
        <v>40</v>
      </c>
      <c r="C188" s="212" t="s">
        <v>154</v>
      </c>
      <c r="D188" s="220"/>
      <c r="E188" s="220"/>
      <c r="F188" s="212" t="s">
        <v>1378</v>
      </c>
      <c r="G188" s="227" t="s">
        <v>92</v>
      </c>
      <c r="H188" s="227" t="s">
        <v>1379</v>
      </c>
      <c r="I188" s="227" t="s">
        <v>1756</v>
      </c>
      <c r="J188" s="256" t="s">
        <v>1749</v>
      </c>
      <c r="K188" s="215" t="s">
        <v>33</v>
      </c>
      <c r="L188" s="240" t="s">
        <v>1743</v>
      </c>
      <c r="M188" s="227" t="s">
        <v>1757</v>
      </c>
      <c r="N188" s="217"/>
      <c r="O188" s="210"/>
    </row>
    <row r="189">
      <c r="A189" s="212">
        <f t="shared" si="1"/>
        <v>187</v>
      </c>
      <c r="B189" s="212" t="s">
        <v>40</v>
      </c>
      <c r="C189" s="212" t="s">
        <v>154</v>
      </c>
      <c r="D189" s="220"/>
      <c r="E189" s="220"/>
      <c r="F189" s="212" t="s">
        <v>1758</v>
      </c>
      <c r="G189" s="227" t="s">
        <v>1759</v>
      </c>
      <c r="H189" s="227" t="s">
        <v>1760</v>
      </c>
      <c r="I189" s="227" t="s">
        <v>1761</v>
      </c>
      <c r="J189" s="256" t="s">
        <v>1749</v>
      </c>
      <c r="K189" s="215" t="s">
        <v>33</v>
      </c>
      <c r="L189" s="224"/>
      <c r="M189" s="224"/>
      <c r="N189" s="217"/>
      <c r="O189" s="210"/>
    </row>
    <row r="190">
      <c r="A190" s="212">
        <f t="shared" si="1"/>
        <v>188</v>
      </c>
      <c r="B190" s="212" t="s">
        <v>40</v>
      </c>
      <c r="C190" s="212" t="s">
        <v>154</v>
      </c>
      <c r="D190" s="220"/>
      <c r="E190" s="39"/>
      <c r="F190" s="212" t="s">
        <v>1040</v>
      </c>
      <c r="G190" s="227" t="s">
        <v>92</v>
      </c>
      <c r="H190" s="227" t="s">
        <v>1762</v>
      </c>
      <c r="I190" s="227" t="s">
        <v>1763</v>
      </c>
      <c r="J190" s="256" t="s">
        <v>1749</v>
      </c>
      <c r="K190" s="215" t="s">
        <v>33</v>
      </c>
      <c r="L190" s="224"/>
      <c r="M190" s="224"/>
      <c r="N190" s="217"/>
      <c r="O190" s="210"/>
    </row>
    <row r="191">
      <c r="A191" s="212">
        <f t="shared" si="1"/>
        <v>189</v>
      </c>
      <c r="B191" s="212" t="s">
        <v>40</v>
      </c>
      <c r="C191" s="212" t="s">
        <v>154</v>
      </c>
      <c r="D191" s="220"/>
      <c r="E191" s="225" t="s">
        <v>1764</v>
      </c>
      <c r="F191" s="212" t="s">
        <v>613</v>
      </c>
      <c r="G191" s="227" t="s">
        <v>92</v>
      </c>
      <c r="H191" s="227" t="s">
        <v>1765</v>
      </c>
      <c r="I191" s="227" t="s">
        <v>1766</v>
      </c>
      <c r="J191" s="256" t="s">
        <v>1749</v>
      </c>
      <c r="K191" s="215" t="s">
        <v>33</v>
      </c>
      <c r="L191" s="226"/>
      <c r="M191" s="224"/>
      <c r="N191" s="217"/>
      <c r="O191" s="210"/>
    </row>
    <row r="192">
      <c r="A192" s="212">
        <f t="shared" si="1"/>
        <v>190</v>
      </c>
      <c r="B192" s="212" t="s">
        <v>40</v>
      </c>
      <c r="C192" s="212" t="s">
        <v>154</v>
      </c>
      <c r="D192" s="220"/>
      <c r="E192" s="220"/>
      <c r="F192" s="212" t="s">
        <v>1378</v>
      </c>
      <c r="G192" s="227" t="s">
        <v>92</v>
      </c>
      <c r="H192" s="227" t="s">
        <v>1379</v>
      </c>
      <c r="I192" s="227" t="s">
        <v>1767</v>
      </c>
      <c r="J192" s="256" t="s">
        <v>1749</v>
      </c>
      <c r="K192" s="215" t="s">
        <v>33</v>
      </c>
      <c r="L192" s="240" t="s">
        <v>1743</v>
      </c>
      <c r="M192" s="227" t="s">
        <v>1757</v>
      </c>
      <c r="N192" s="217"/>
      <c r="O192" s="210"/>
    </row>
    <row r="193">
      <c r="A193" s="212">
        <f t="shared" si="1"/>
        <v>191</v>
      </c>
      <c r="B193" s="212" t="s">
        <v>40</v>
      </c>
      <c r="C193" s="212" t="s">
        <v>154</v>
      </c>
      <c r="D193" s="220"/>
      <c r="E193" s="220"/>
      <c r="F193" s="225" t="s">
        <v>1768</v>
      </c>
      <c r="G193" s="227" t="s">
        <v>92</v>
      </c>
      <c r="H193" s="227" t="s">
        <v>1769</v>
      </c>
      <c r="I193" s="226" t="s">
        <v>1770</v>
      </c>
      <c r="J193" s="256" t="s">
        <v>1749</v>
      </c>
      <c r="K193" s="215" t="s">
        <v>33</v>
      </c>
      <c r="L193" s="224"/>
      <c r="M193" s="227"/>
      <c r="N193" s="217"/>
      <c r="O193" s="210"/>
    </row>
    <row r="194">
      <c r="A194" s="212">
        <f t="shared" si="1"/>
        <v>192</v>
      </c>
      <c r="B194" s="212" t="s">
        <v>40</v>
      </c>
      <c r="C194" s="212" t="s">
        <v>154</v>
      </c>
      <c r="D194" s="220"/>
      <c r="E194" s="220"/>
      <c r="F194" s="39"/>
      <c r="G194" s="227" t="s">
        <v>1771</v>
      </c>
      <c r="H194" s="227" t="s">
        <v>1769</v>
      </c>
      <c r="I194" s="227" t="s">
        <v>1772</v>
      </c>
      <c r="J194" s="256" t="s">
        <v>1749</v>
      </c>
      <c r="K194" s="215" t="s">
        <v>33</v>
      </c>
      <c r="L194" s="224"/>
      <c r="M194" s="224"/>
      <c r="N194" s="217"/>
      <c r="O194" s="210"/>
    </row>
    <row r="195">
      <c r="A195" s="212">
        <f t="shared" si="1"/>
        <v>193</v>
      </c>
      <c r="B195" s="212" t="s">
        <v>40</v>
      </c>
      <c r="C195" s="212" t="s">
        <v>154</v>
      </c>
      <c r="D195" s="220"/>
      <c r="E195" s="220"/>
      <c r="F195" s="212" t="s">
        <v>1773</v>
      </c>
      <c r="G195" s="217" t="s">
        <v>92</v>
      </c>
      <c r="H195" s="213" t="s">
        <v>1774</v>
      </c>
      <c r="I195" s="213" t="s">
        <v>1775</v>
      </c>
      <c r="J195" s="256" t="s">
        <v>1749</v>
      </c>
      <c r="K195" s="215" t="s">
        <v>34</v>
      </c>
      <c r="L195" s="240" t="s">
        <v>1776</v>
      </c>
      <c r="M195" s="227" t="s">
        <v>1777</v>
      </c>
      <c r="N195" s="217"/>
      <c r="O195" s="210"/>
    </row>
    <row r="196">
      <c r="A196" s="212">
        <f t="shared" si="1"/>
        <v>194</v>
      </c>
      <c r="B196" s="212" t="s">
        <v>40</v>
      </c>
      <c r="C196" s="212" t="s">
        <v>154</v>
      </c>
      <c r="D196" s="220"/>
      <c r="E196" s="220"/>
      <c r="F196" s="212" t="s">
        <v>1778</v>
      </c>
      <c r="G196" s="217" t="s">
        <v>92</v>
      </c>
      <c r="H196" s="213" t="s">
        <v>1779</v>
      </c>
      <c r="I196" s="213" t="s">
        <v>1780</v>
      </c>
      <c r="J196" s="256" t="s">
        <v>1749</v>
      </c>
      <c r="K196" s="215" t="s">
        <v>34</v>
      </c>
      <c r="L196" s="240" t="s">
        <v>1776</v>
      </c>
      <c r="M196" s="224"/>
      <c r="N196" s="217"/>
      <c r="O196" s="210"/>
    </row>
    <row r="197">
      <c r="A197" s="212">
        <f t="shared" si="1"/>
        <v>195</v>
      </c>
      <c r="B197" s="212" t="s">
        <v>40</v>
      </c>
      <c r="C197" s="212" t="s">
        <v>154</v>
      </c>
      <c r="D197" s="220"/>
      <c r="E197" s="220"/>
      <c r="F197" s="212" t="s">
        <v>1694</v>
      </c>
      <c r="G197" s="217" t="s">
        <v>92</v>
      </c>
      <c r="H197" s="213" t="s">
        <v>878</v>
      </c>
      <c r="I197" s="217" t="s">
        <v>1696</v>
      </c>
      <c r="J197" s="256" t="s">
        <v>1749</v>
      </c>
      <c r="K197" s="215" t="s">
        <v>33</v>
      </c>
      <c r="L197" s="224"/>
      <c r="M197" s="224"/>
      <c r="N197" s="217"/>
      <c r="O197" s="210"/>
    </row>
    <row r="198">
      <c r="A198" s="212">
        <f t="shared" si="1"/>
        <v>196</v>
      </c>
      <c r="B198" s="212" t="s">
        <v>40</v>
      </c>
      <c r="C198" s="212" t="s">
        <v>154</v>
      </c>
      <c r="D198" s="220"/>
      <c r="E198" s="220"/>
      <c r="F198" s="225" t="s">
        <v>1040</v>
      </c>
      <c r="G198" s="227" t="s">
        <v>1781</v>
      </c>
      <c r="H198" s="213" t="s">
        <v>1093</v>
      </c>
      <c r="I198" s="227" t="s">
        <v>1782</v>
      </c>
      <c r="J198" s="256" t="s">
        <v>1749</v>
      </c>
      <c r="K198" s="215" t="s">
        <v>33</v>
      </c>
      <c r="L198" s="224"/>
      <c r="M198" s="224"/>
      <c r="N198" s="217"/>
      <c r="O198" s="210"/>
    </row>
    <row r="199">
      <c r="A199" s="212">
        <f t="shared" si="1"/>
        <v>197</v>
      </c>
      <c r="B199" s="212" t="s">
        <v>40</v>
      </c>
      <c r="C199" s="212" t="s">
        <v>154</v>
      </c>
      <c r="D199" s="39"/>
      <c r="E199" s="39"/>
      <c r="F199" s="39"/>
      <c r="G199" s="227" t="s">
        <v>1783</v>
      </c>
      <c r="H199" s="213" t="s">
        <v>1093</v>
      </c>
      <c r="I199" s="227" t="s">
        <v>1784</v>
      </c>
      <c r="J199" s="256" t="s">
        <v>1749</v>
      </c>
      <c r="K199" s="215" t="s">
        <v>34</v>
      </c>
      <c r="L199" s="240" t="s">
        <v>1785</v>
      </c>
      <c r="M199" s="227" t="s">
        <v>1786</v>
      </c>
      <c r="N199" s="217"/>
      <c r="O199" s="210"/>
    </row>
    <row r="200">
      <c r="A200" s="212">
        <f t="shared" si="1"/>
        <v>198</v>
      </c>
      <c r="B200" s="212" t="s">
        <v>40</v>
      </c>
      <c r="C200" s="212" t="s">
        <v>154</v>
      </c>
      <c r="D200" s="225" t="s">
        <v>1787</v>
      </c>
      <c r="E200" s="212" t="s">
        <v>92</v>
      </c>
      <c r="F200" s="212" t="s">
        <v>613</v>
      </c>
      <c r="G200" s="227" t="s">
        <v>92</v>
      </c>
      <c r="H200" s="227" t="s">
        <v>1788</v>
      </c>
      <c r="I200" s="227" t="s">
        <v>1789</v>
      </c>
      <c r="J200" s="256" t="s">
        <v>1787</v>
      </c>
      <c r="K200" s="215" t="s">
        <v>33</v>
      </c>
      <c r="L200" s="226"/>
      <c r="M200" s="224"/>
      <c r="N200" s="217"/>
      <c r="O200" s="210"/>
    </row>
    <row r="201">
      <c r="A201" s="212">
        <f t="shared" si="1"/>
        <v>199</v>
      </c>
      <c r="B201" s="212" t="s">
        <v>40</v>
      </c>
      <c r="C201" s="212" t="s">
        <v>154</v>
      </c>
      <c r="D201" s="220"/>
      <c r="E201" s="225" t="s">
        <v>1752</v>
      </c>
      <c r="F201" s="212" t="s">
        <v>613</v>
      </c>
      <c r="G201" s="227" t="s">
        <v>92</v>
      </c>
      <c r="H201" s="227" t="s">
        <v>1753</v>
      </c>
      <c r="I201" s="227" t="s">
        <v>1754</v>
      </c>
      <c r="J201" s="256" t="s">
        <v>1787</v>
      </c>
      <c r="K201" s="215" t="s">
        <v>33</v>
      </c>
      <c r="L201" s="226"/>
      <c r="M201" s="224"/>
      <c r="N201" s="217"/>
      <c r="O201" s="210"/>
    </row>
    <row r="202">
      <c r="A202" s="212">
        <f t="shared" si="1"/>
        <v>200</v>
      </c>
      <c r="B202" s="212" t="s">
        <v>40</v>
      </c>
      <c r="C202" s="212" t="s">
        <v>154</v>
      </c>
      <c r="D202" s="220"/>
      <c r="E202" s="220"/>
      <c r="F202" s="212" t="s">
        <v>1378</v>
      </c>
      <c r="G202" s="227" t="s">
        <v>92</v>
      </c>
      <c r="H202" s="227" t="s">
        <v>1379</v>
      </c>
      <c r="I202" s="227" t="s">
        <v>1756</v>
      </c>
      <c r="J202" s="256" t="s">
        <v>1787</v>
      </c>
      <c r="K202" s="215" t="s">
        <v>33</v>
      </c>
      <c r="L202" s="224"/>
      <c r="M202" s="224"/>
      <c r="N202" s="217"/>
      <c r="O202" s="210"/>
    </row>
    <row r="203">
      <c r="A203" s="212">
        <f t="shared" si="1"/>
        <v>201</v>
      </c>
      <c r="B203" s="212" t="s">
        <v>40</v>
      </c>
      <c r="C203" s="212" t="s">
        <v>154</v>
      </c>
      <c r="D203" s="220"/>
      <c r="E203" s="220"/>
      <c r="F203" s="212" t="s">
        <v>1758</v>
      </c>
      <c r="G203" s="227" t="s">
        <v>1759</v>
      </c>
      <c r="H203" s="227" t="s">
        <v>1760</v>
      </c>
      <c r="I203" s="227" t="s">
        <v>1761</v>
      </c>
      <c r="J203" s="256" t="s">
        <v>1787</v>
      </c>
      <c r="K203" s="215" t="s">
        <v>33</v>
      </c>
      <c r="L203" s="224"/>
      <c r="M203" s="224"/>
      <c r="N203" s="217"/>
      <c r="O203" s="210"/>
    </row>
    <row r="204">
      <c r="A204" s="212">
        <f t="shared" si="1"/>
        <v>202</v>
      </c>
      <c r="B204" s="212" t="s">
        <v>40</v>
      </c>
      <c r="C204" s="212" t="s">
        <v>154</v>
      </c>
      <c r="D204" s="220"/>
      <c r="E204" s="39"/>
      <c r="F204" s="212" t="s">
        <v>1040</v>
      </c>
      <c r="G204" s="227" t="s">
        <v>92</v>
      </c>
      <c r="H204" s="227" t="s">
        <v>1762</v>
      </c>
      <c r="I204" s="227" t="s">
        <v>1790</v>
      </c>
      <c r="J204" s="256" t="s">
        <v>1787</v>
      </c>
      <c r="K204" s="215" t="s">
        <v>33</v>
      </c>
      <c r="L204" s="224"/>
      <c r="M204" s="224"/>
      <c r="N204" s="217"/>
      <c r="O204" s="210"/>
    </row>
    <row r="205">
      <c r="A205" s="212">
        <f t="shared" si="1"/>
        <v>203</v>
      </c>
      <c r="B205" s="212" t="s">
        <v>40</v>
      </c>
      <c r="C205" s="212" t="s">
        <v>154</v>
      </c>
      <c r="D205" s="220"/>
      <c r="E205" s="225" t="s">
        <v>1764</v>
      </c>
      <c r="F205" s="212" t="s">
        <v>613</v>
      </c>
      <c r="G205" s="227" t="s">
        <v>92</v>
      </c>
      <c r="H205" s="227" t="s">
        <v>1765</v>
      </c>
      <c r="I205" s="227" t="s">
        <v>1766</v>
      </c>
      <c r="J205" s="256" t="s">
        <v>1787</v>
      </c>
      <c r="K205" s="215" t="s">
        <v>33</v>
      </c>
      <c r="L205" s="224"/>
      <c r="M205" s="224"/>
      <c r="N205" s="217"/>
      <c r="O205" s="210"/>
    </row>
    <row r="206">
      <c r="A206" s="212">
        <f t="shared" si="1"/>
        <v>204</v>
      </c>
      <c r="B206" s="212" t="s">
        <v>40</v>
      </c>
      <c r="C206" s="212" t="s">
        <v>154</v>
      </c>
      <c r="D206" s="220"/>
      <c r="E206" s="220"/>
      <c r="F206" s="212" t="s">
        <v>1378</v>
      </c>
      <c r="G206" s="227" t="s">
        <v>92</v>
      </c>
      <c r="H206" s="227" t="s">
        <v>1379</v>
      </c>
      <c r="I206" s="227" t="s">
        <v>1767</v>
      </c>
      <c r="J206" s="256" t="s">
        <v>1787</v>
      </c>
      <c r="K206" s="215" t="s">
        <v>33</v>
      </c>
      <c r="L206" s="240" t="s">
        <v>1743</v>
      </c>
      <c r="M206" s="227" t="s">
        <v>1757</v>
      </c>
      <c r="N206" s="217"/>
      <c r="O206" s="210"/>
    </row>
    <row r="207">
      <c r="A207" s="212">
        <f t="shared" si="1"/>
        <v>205</v>
      </c>
      <c r="B207" s="212" t="s">
        <v>40</v>
      </c>
      <c r="C207" s="212" t="s">
        <v>154</v>
      </c>
      <c r="D207" s="220"/>
      <c r="E207" s="220"/>
      <c r="F207" s="225" t="s">
        <v>1768</v>
      </c>
      <c r="G207" s="227" t="s">
        <v>92</v>
      </c>
      <c r="H207" s="227" t="s">
        <v>1769</v>
      </c>
      <c r="I207" s="226" t="s">
        <v>1770</v>
      </c>
      <c r="J207" s="256" t="s">
        <v>1787</v>
      </c>
      <c r="K207" s="215" t="s">
        <v>33</v>
      </c>
      <c r="L207" s="224"/>
      <c r="M207" s="227"/>
      <c r="N207" s="217"/>
      <c r="O207" s="210"/>
    </row>
    <row r="208">
      <c r="A208" s="212">
        <f t="shared" si="1"/>
        <v>206</v>
      </c>
      <c r="B208" s="212" t="s">
        <v>40</v>
      </c>
      <c r="C208" s="212" t="s">
        <v>154</v>
      </c>
      <c r="D208" s="220"/>
      <c r="E208" s="220"/>
      <c r="F208" s="39"/>
      <c r="G208" s="227" t="s">
        <v>1771</v>
      </c>
      <c r="H208" s="227" t="s">
        <v>1769</v>
      </c>
      <c r="I208" s="227" t="s">
        <v>1791</v>
      </c>
      <c r="J208" s="256" t="s">
        <v>1787</v>
      </c>
      <c r="K208" s="215" t="s">
        <v>33</v>
      </c>
      <c r="L208" s="224"/>
      <c r="M208" s="224"/>
      <c r="N208" s="217"/>
      <c r="O208" s="210"/>
    </row>
    <row r="209">
      <c r="A209" s="212">
        <f t="shared" si="1"/>
        <v>207</v>
      </c>
      <c r="B209" s="212" t="s">
        <v>40</v>
      </c>
      <c r="C209" s="212" t="s">
        <v>154</v>
      </c>
      <c r="D209" s="220"/>
      <c r="E209" s="220"/>
      <c r="F209" s="212" t="s">
        <v>1773</v>
      </c>
      <c r="G209" s="217" t="s">
        <v>92</v>
      </c>
      <c r="H209" s="213" t="s">
        <v>1774</v>
      </c>
      <c r="I209" s="213" t="s">
        <v>1775</v>
      </c>
      <c r="J209" s="256" t="s">
        <v>1787</v>
      </c>
      <c r="K209" s="215" t="s">
        <v>34</v>
      </c>
      <c r="L209" s="240" t="s">
        <v>1776</v>
      </c>
      <c r="M209" s="227" t="s">
        <v>1777</v>
      </c>
      <c r="N209" s="217"/>
      <c r="O209" s="210"/>
    </row>
    <row r="210">
      <c r="A210" s="212">
        <f t="shared" si="1"/>
        <v>208</v>
      </c>
      <c r="B210" s="212" t="s">
        <v>40</v>
      </c>
      <c r="C210" s="212" t="s">
        <v>154</v>
      </c>
      <c r="D210" s="220"/>
      <c r="E210" s="220"/>
      <c r="F210" s="212" t="s">
        <v>1778</v>
      </c>
      <c r="G210" s="217" t="s">
        <v>92</v>
      </c>
      <c r="H210" s="213" t="s">
        <v>1779</v>
      </c>
      <c r="I210" s="213" t="s">
        <v>1780</v>
      </c>
      <c r="J210" s="256" t="s">
        <v>1787</v>
      </c>
      <c r="K210" s="215" t="s">
        <v>34</v>
      </c>
      <c r="L210" s="240" t="s">
        <v>1776</v>
      </c>
      <c r="M210" s="227" t="s">
        <v>1792</v>
      </c>
      <c r="N210" s="217"/>
      <c r="O210" s="210"/>
    </row>
    <row r="211">
      <c r="A211" s="212">
        <f t="shared" si="1"/>
        <v>209</v>
      </c>
      <c r="B211" s="212" t="s">
        <v>40</v>
      </c>
      <c r="C211" s="212" t="s">
        <v>154</v>
      </c>
      <c r="D211" s="220"/>
      <c r="E211" s="220"/>
      <c r="F211" s="212" t="s">
        <v>1694</v>
      </c>
      <c r="G211" s="217" t="s">
        <v>92</v>
      </c>
      <c r="H211" s="213" t="s">
        <v>878</v>
      </c>
      <c r="I211" s="217" t="s">
        <v>1696</v>
      </c>
      <c r="J211" s="256" t="s">
        <v>1787</v>
      </c>
      <c r="K211" s="215" t="s">
        <v>33</v>
      </c>
      <c r="L211" s="224"/>
      <c r="M211" s="224"/>
      <c r="N211" s="217"/>
      <c r="O211" s="210"/>
    </row>
    <row r="212">
      <c r="A212" s="212">
        <f t="shared" si="1"/>
        <v>210</v>
      </c>
      <c r="B212" s="212" t="s">
        <v>40</v>
      </c>
      <c r="C212" s="212" t="s">
        <v>154</v>
      </c>
      <c r="D212" s="220"/>
      <c r="E212" s="220"/>
      <c r="F212" s="225" t="s">
        <v>1040</v>
      </c>
      <c r="G212" s="227" t="s">
        <v>1781</v>
      </c>
      <c r="H212" s="213" t="s">
        <v>1093</v>
      </c>
      <c r="I212" s="227" t="s">
        <v>1793</v>
      </c>
      <c r="J212" s="256" t="s">
        <v>1787</v>
      </c>
      <c r="K212" s="215" t="s">
        <v>33</v>
      </c>
      <c r="L212" s="224"/>
      <c r="M212" s="224"/>
      <c r="N212" s="217"/>
      <c r="O212" s="210"/>
    </row>
    <row r="213">
      <c r="A213" s="212">
        <f t="shared" si="1"/>
        <v>211</v>
      </c>
      <c r="B213" s="212" t="s">
        <v>40</v>
      </c>
      <c r="C213" s="212" t="s">
        <v>154</v>
      </c>
      <c r="D213" s="39"/>
      <c r="E213" s="39"/>
      <c r="F213" s="39"/>
      <c r="G213" s="227" t="s">
        <v>1783</v>
      </c>
      <c r="H213" s="213" t="s">
        <v>1093</v>
      </c>
      <c r="I213" s="227" t="s">
        <v>1794</v>
      </c>
      <c r="J213" s="256" t="s">
        <v>1787</v>
      </c>
      <c r="K213" s="215" t="s">
        <v>34</v>
      </c>
      <c r="L213" s="240" t="s">
        <v>1785</v>
      </c>
      <c r="M213" s="227" t="s">
        <v>1786</v>
      </c>
      <c r="N213" s="217"/>
      <c r="O213" s="210"/>
    </row>
    <row r="214">
      <c r="A214" s="212">
        <f t="shared" si="1"/>
        <v>212</v>
      </c>
      <c r="B214" s="212" t="s">
        <v>40</v>
      </c>
      <c r="C214" s="212" t="s">
        <v>154</v>
      </c>
      <c r="D214" s="225" t="s">
        <v>1795</v>
      </c>
      <c r="E214" s="212" t="s">
        <v>92</v>
      </c>
      <c r="F214" s="212" t="s">
        <v>613</v>
      </c>
      <c r="G214" s="227" t="s">
        <v>92</v>
      </c>
      <c r="H214" s="227" t="s">
        <v>1796</v>
      </c>
      <c r="I214" s="227" t="s">
        <v>1797</v>
      </c>
      <c r="J214" s="256" t="s">
        <v>1795</v>
      </c>
      <c r="K214" s="215" t="s">
        <v>33</v>
      </c>
      <c r="L214" s="226"/>
      <c r="M214" s="224"/>
      <c r="N214" s="217"/>
      <c r="O214" s="210"/>
    </row>
    <row r="215">
      <c r="A215" s="212">
        <f t="shared" si="1"/>
        <v>213</v>
      </c>
      <c r="B215" s="212" t="s">
        <v>40</v>
      </c>
      <c r="C215" s="212" t="s">
        <v>154</v>
      </c>
      <c r="D215" s="220"/>
      <c r="E215" s="212" t="s">
        <v>92</v>
      </c>
      <c r="F215" s="212" t="s">
        <v>1378</v>
      </c>
      <c r="G215" s="227" t="s">
        <v>92</v>
      </c>
      <c r="H215" s="227" t="s">
        <v>1379</v>
      </c>
      <c r="I215" s="227" t="s">
        <v>1798</v>
      </c>
      <c r="J215" s="256" t="s">
        <v>1795</v>
      </c>
      <c r="K215" s="215" t="s">
        <v>33</v>
      </c>
      <c r="L215" s="226"/>
      <c r="M215" s="224"/>
      <c r="N215" s="217"/>
      <c r="O215" s="210"/>
    </row>
    <row r="216">
      <c r="A216" s="212">
        <f t="shared" si="1"/>
        <v>214</v>
      </c>
      <c r="B216" s="212" t="s">
        <v>40</v>
      </c>
      <c r="C216" s="212" t="s">
        <v>154</v>
      </c>
      <c r="D216" s="220"/>
      <c r="E216" s="212" t="s">
        <v>92</v>
      </c>
      <c r="F216" s="212" t="s">
        <v>1778</v>
      </c>
      <c r="G216" s="217" t="s">
        <v>92</v>
      </c>
      <c r="H216" s="213" t="s">
        <v>1779</v>
      </c>
      <c r="I216" s="213" t="s">
        <v>1799</v>
      </c>
      <c r="J216" s="256" t="s">
        <v>1795</v>
      </c>
      <c r="K216" s="215" t="s">
        <v>33</v>
      </c>
      <c r="L216" s="226"/>
      <c r="M216" s="224"/>
      <c r="N216" s="217"/>
      <c r="O216" s="210"/>
    </row>
    <row r="217">
      <c r="A217" s="212">
        <f t="shared" si="1"/>
        <v>215</v>
      </c>
      <c r="B217" s="212" t="s">
        <v>40</v>
      </c>
      <c r="C217" s="212" t="s">
        <v>154</v>
      </c>
      <c r="D217" s="39"/>
      <c r="E217" s="212" t="s">
        <v>92</v>
      </c>
      <c r="F217" s="212" t="s">
        <v>1040</v>
      </c>
      <c r="G217" s="227" t="s">
        <v>1800</v>
      </c>
      <c r="H217" s="213" t="s">
        <v>1093</v>
      </c>
      <c r="I217" s="227" t="s">
        <v>1801</v>
      </c>
      <c r="J217" s="256" t="s">
        <v>1795</v>
      </c>
      <c r="K217" s="215" t="s">
        <v>33</v>
      </c>
      <c r="L217" s="224"/>
      <c r="M217" s="224"/>
      <c r="N217" s="217"/>
      <c r="O217" s="210"/>
    </row>
    <row r="218">
      <c r="A218" s="212">
        <f t="shared" si="1"/>
        <v>216</v>
      </c>
      <c r="B218" s="212" t="s">
        <v>40</v>
      </c>
      <c r="C218" s="212" t="s">
        <v>154</v>
      </c>
      <c r="D218" s="225" t="s">
        <v>1802</v>
      </c>
      <c r="E218" s="212" t="s">
        <v>92</v>
      </c>
      <c r="F218" s="212" t="s">
        <v>613</v>
      </c>
      <c r="G218" s="227" t="s">
        <v>92</v>
      </c>
      <c r="H218" s="227" t="s">
        <v>1803</v>
      </c>
      <c r="I218" s="227" t="s">
        <v>1804</v>
      </c>
      <c r="J218" s="256" t="s">
        <v>1802</v>
      </c>
      <c r="K218" s="215" t="s">
        <v>33</v>
      </c>
      <c r="L218" s="224"/>
      <c r="M218" s="224"/>
      <c r="N218" s="217"/>
      <c r="O218" s="210"/>
    </row>
    <row r="219">
      <c r="A219" s="212">
        <f t="shared" si="1"/>
        <v>217</v>
      </c>
      <c r="B219" s="212" t="s">
        <v>40</v>
      </c>
      <c r="C219" s="212" t="s">
        <v>154</v>
      </c>
      <c r="D219" s="220"/>
      <c r="E219" s="212" t="s">
        <v>92</v>
      </c>
      <c r="F219" s="212" t="s">
        <v>1378</v>
      </c>
      <c r="G219" s="227" t="s">
        <v>92</v>
      </c>
      <c r="H219" s="227" t="s">
        <v>1379</v>
      </c>
      <c r="I219" s="227" t="s">
        <v>1805</v>
      </c>
      <c r="J219" s="256" t="s">
        <v>1802</v>
      </c>
      <c r="K219" s="215" t="s">
        <v>33</v>
      </c>
      <c r="L219" s="226"/>
      <c r="M219" s="224"/>
      <c r="N219" s="217"/>
      <c r="O219" s="210"/>
    </row>
    <row r="220">
      <c r="A220" s="212">
        <f t="shared" si="1"/>
        <v>218</v>
      </c>
      <c r="B220" s="212" t="s">
        <v>40</v>
      </c>
      <c r="C220" s="212" t="s">
        <v>154</v>
      </c>
      <c r="D220" s="220"/>
      <c r="E220" s="212" t="s">
        <v>92</v>
      </c>
      <c r="F220" s="225" t="s">
        <v>1768</v>
      </c>
      <c r="G220" s="227" t="s">
        <v>92</v>
      </c>
      <c r="H220" s="227" t="s">
        <v>1769</v>
      </c>
      <c r="I220" s="226" t="s">
        <v>1770</v>
      </c>
      <c r="J220" s="256" t="s">
        <v>1802</v>
      </c>
      <c r="K220" s="215" t="s">
        <v>33</v>
      </c>
      <c r="L220" s="224"/>
      <c r="M220" s="224"/>
      <c r="N220" s="217"/>
      <c r="O220" s="210"/>
    </row>
    <row r="221">
      <c r="A221" s="212">
        <f t="shared" si="1"/>
        <v>219</v>
      </c>
      <c r="B221" s="212" t="s">
        <v>40</v>
      </c>
      <c r="C221" s="212" t="s">
        <v>154</v>
      </c>
      <c r="D221" s="220"/>
      <c r="E221" s="212" t="s">
        <v>92</v>
      </c>
      <c r="F221" s="39"/>
      <c r="G221" s="227" t="s">
        <v>1806</v>
      </c>
      <c r="H221" s="227" t="s">
        <v>1769</v>
      </c>
      <c r="I221" s="227" t="s">
        <v>1791</v>
      </c>
      <c r="J221" s="256" t="s">
        <v>1802</v>
      </c>
      <c r="K221" s="215" t="s">
        <v>33</v>
      </c>
      <c r="L221" s="226"/>
      <c r="M221" s="224"/>
      <c r="N221" s="217"/>
      <c r="O221" s="210"/>
    </row>
    <row r="222">
      <c r="A222" s="212">
        <f t="shared" si="1"/>
        <v>220</v>
      </c>
      <c r="B222" s="212" t="s">
        <v>40</v>
      </c>
      <c r="C222" s="212" t="s">
        <v>154</v>
      </c>
      <c r="D222" s="220"/>
      <c r="E222" s="212" t="s">
        <v>92</v>
      </c>
      <c r="F222" s="212" t="s">
        <v>1807</v>
      </c>
      <c r="G222" s="217" t="s">
        <v>1808</v>
      </c>
      <c r="H222" s="213" t="s">
        <v>1809</v>
      </c>
      <c r="I222" s="213" t="s">
        <v>1810</v>
      </c>
      <c r="J222" s="256" t="s">
        <v>1802</v>
      </c>
      <c r="K222" s="215" t="s">
        <v>33</v>
      </c>
      <c r="L222" s="224"/>
      <c r="M222" s="224"/>
      <c r="N222" s="217"/>
      <c r="O222" s="210"/>
    </row>
    <row r="223">
      <c r="A223" s="212">
        <f t="shared" si="1"/>
        <v>221</v>
      </c>
      <c r="B223" s="212" t="s">
        <v>40</v>
      </c>
      <c r="C223" s="212" t="s">
        <v>154</v>
      </c>
      <c r="D223" s="220"/>
      <c r="E223" s="212" t="s">
        <v>92</v>
      </c>
      <c r="F223" s="212" t="s">
        <v>1773</v>
      </c>
      <c r="G223" s="217" t="s">
        <v>92</v>
      </c>
      <c r="H223" s="213" t="s">
        <v>1774</v>
      </c>
      <c r="I223" s="213" t="s">
        <v>1811</v>
      </c>
      <c r="J223" s="256" t="s">
        <v>1802</v>
      </c>
      <c r="K223" s="215" t="s">
        <v>33</v>
      </c>
      <c r="L223" s="240" t="s">
        <v>1812</v>
      </c>
      <c r="M223" s="227" t="s">
        <v>1813</v>
      </c>
      <c r="N223" s="217"/>
      <c r="O223" s="210"/>
    </row>
    <row r="224">
      <c r="A224" s="212">
        <f t="shared" si="1"/>
        <v>222</v>
      </c>
      <c r="B224" s="212" t="s">
        <v>40</v>
      </c>
      <c r="C224" s="212" t="s">
        <v>154</v>
      </c>
      <c r="D224" s="220"/>
      <c r="E224" s="212" t="s">
        <v>92</v>
      </c>
      <c r="F224" s="212" t="s">
        <v>1778</v>
      </c>
      <c r="G224" s="217" t="s">
        <v>92</v>
      </c>
      <c r="H224" s="213" t="s">
        <v>1779</v>
      </c>
      <c r="I224" s="213" t="s">
        <v>1780</v>
      </c>
      <c r="J224" s="256" t="s">
        <v>1802</v>
      </c>
      <c r="K224" s="215" t="s">
        <v>33</v>
      </c>
      <c r="L224" s="240" t="s">
        <v>1812</v>
      </c>
      <c r="M224" s="227" t="s">
        <v>1813</v>
      </c>
      <c r="N224" s="217"/>
      <c r="O224" s="210"/>
    </row>
    <row r="225">
      <c r="A225" s="212">
        <f t="shared" si="1"/>
        <v>223</v>
      </c>
      <c r="B225" s="212" t="s">
        <v>40</v>
      </c>
      <c r="C225" s="212" t="s">
        <v>154</v>
      </c>
      <c r="D225" s="220"/>
      <c r="E225" s="212" t="s">
        <v>92</v>
      </c>
      <c r="F225" s="212" t="s">
        <v>1694</v>
      </c>
      <c r="G225" s="217" t="s">
        <v>92</v>
      </c>
      <c r="H225" s="213" t="s">
        <v>878</v>
      </c>
      <c r="I225" s="217" t="s">
        <v>1696</v>
      </c>
      <c r="J225" s="256" t="s">
        <v>1802</v>
      </c>
      <c r="K225" s="215" t="s">
        <v>33</v>
      </c>
      <c r="L225" s="224"/>
      <c r="M225" s="224"/>
      <c r="N225" s="217"/>
      <c r="O225" s="210"/>
    </row>
    <row r="226">
      <c r="A226" s="212">
        <f t="shared" si="1"/>
        <v>224</v>
      </c>
      <c r="B226" s="212" t="s">
        <v>40</v>
      </c>
      <c r="C226" s="212" t="s">
        <v>154</v>
      </c>
      <c r="D226" s="220"/>
      <c r="E226" s="212" t="s">
        <v>92</v>
      </c>
      <c r="F226" s="225" t="s">
        <v>1040</v>
      </c>
      <c r="G226" s="227" t="s">
        <v>1781</v>
      </c>
      <c r="H226" s="213" t="s">
        <v>1093</v>
      </c>
      <c r="I226" s="227" t="s">
        <v>1814</v>
      </c>
      <c r="J226" s="256" t="s">
        <v>1802</v>
      </c>
      <c r="K226" s="215" t="s">
        <v>33</v>
      </c>
      <c r="L226" s="224"/>
      <c r="M226" s="224"/>
      <c r="N226" s="217"/>
      <c r="O226" s="210"/>
    </row>
    <row r="227">
      <c r="A227" s="212">
        <f t="shared" si="1"/>
        <v>225</v>
      </c>
      <c r="B227" s="212" t="s">
        <v>40</v>
      </c>
      <c r="C227" s="212" t="s">
        <v>154</v>
      </c>
      <c r="D227" s="39"/>
      <c r="E227" s="212" t="s">
        <v>92</v>
      </c>
      <c r="F227" s="39"/>
      <c r="G227" s="227" t="s">
        <v>1783</v>
      </c>
      <c r="H227" s="213" t="s">
        <v>1093</v>
      </c>
      <c r="I227" s="227" t="s">
        <v>1815</v>
      </c>
      <c r="J227" s="256" t="s">
        <v>1802</v>
      </c>
      <c r="K227" s="215" t="s">
        <v>34</v>
      </c>
      <c r="L227" s="240" t="s">
        <v>1785</v>
      </c>
      <c r="M227" s="227" t="s">
        <v>1786</v>
      </c>
      <c r="N227" s="217"/>
      <c r="O227" s="210"/>
    </row>
    <row r="228">
      <c r="A228" s="212">
        <f t="shared" si="1"/>
        <v>226</v>
      </c>
      <c r="B228" s="212" t="s">
        <v>40</v>
      </c>
      <c r="C228" s="212" t="s">
        <v>154</v>
      </c>
      <c r="D228" s="225" t="s">
        <v>1816</v>
      </c>
      <c r="E228" s="212" t="s">
        <v>92</v>
      </c>
      <c r="F228" s="212" t="s">
        <v>613</v>
      </c>
      <c r="G228" s="227" t="s">
        <v>92</v>
      </c>
      <c r="H228" s="227" t="s">
        <v>1817</v>
      </c>
      <c r="I228" s="227" t="s">
        <v>1818</v>
      </c>
      <c r="J228" s="256" t="s">
        <v>1816</v>
      </c>
      <c r="K228" s="215" t="s">
        <v>33</v>
      </c>
      <c r="L228" s="226"/>
      <c r="M228" s="224"/>
      <c r="N228" s="217"/>
      <c r="O228" s="210"/>
    </row>
    <row r="229">
      <c r="A229" s="212">
        <f t="shared" si="1"/>
        <v>227</v>
      </c>
      <c r="B229" s="212" t="s">
        <v>40</v>
      </c>
      <c r="C229" s="212" t="s">
        <v>154</v>
      </c>
      <c r="D229" s="220"/>
      <c r="E229" s="225" t="s">
        <v>1819</v>
      </c>
      <c r="F229" s="212" t="s">
        <v>613</v>
      </c>
      <c r="G229" s="227" t="s">
        <v>92</v>
      </c>
      <c r="H229" s="227" t="s">
        <v>1820</v>
      </c>
      <c r="I229" s="227" t="s">
        <v>1821</v>
      </c>
      <c r="J229" s="256" t="s">
        <v>1816</v>
      </c>
      <c r="K229" s="215" t="s">
        <v>33</v>
      </c>
      <c r="L229" s="224"/>
      <c r="M229" s="224"/>
      <c r="N229" s="217"/>
      <c r="O229" s="210"/>
    </row>
    <row r="230">
      <c r="A230" s="212">
        <f t="shared" si="1"/>
        <v>228</v>
      </c>
      <c r="B230" s="212" t="s">
        <v>40</v>
      </c>
      <c r="C230" s="212" t="s">
        <v>154</v>
      </c>
      <c r="D230" s="220"/>
      <c r="E230" s="220"/>
      <c r="F230" s="212" t="s">
        <v>1378</v>
      </c>
      <c r="G230" s="227" t="s">
        <v>92</v>
      </c>
      <c r="H230" s="227" t="s">
        <v>1379</v>
      </c>
      <c r="I230" s="227" t="s">
        <v>1822</v>
      </c>
      <c r="J230" s="256" t="s">
        <v>1816</v>
      </c>
      <c r="K230" s="215" t="s">
        <v>33</v>
      </c>
      <c r="L230" s="224"/>
      <c r="M230" s="224"/>
      <c r="N230" s="217"/>
      <c r="O230" s="210"/>
    </row>
    <row r="231">
      <c r="A231" s="212">
        <f t="shared" si="1"/>
        <v>229</v>
      </c>
      <c r="B231" s="212" t="s">
        <v>40</v>
      </c>
      <c r="C231" s="212" t="s">
        <v>154</v>
      </c>
      <c r="D231" s="220"/>
      <c r="E231" s="220"/>
      <c r="F231" s="225" t="s">
        <v>1768</v>
      </c>
      <c r="G231" s="227" t="s">
        <v>92</v>
      </c>
      <c r="H231" s="227" t="s">
        <v>1769</v>
      </c>
      <c r="I231" s="226" t="s">
        <v>1770</v>
      </c>
      <c r="J231" s="256" t="s">
        <v>1816</v>
      </c>
      <c r="K231" s="215" t="s">
        <v>33</v>
      </c>
      <c r="L231" s="224"/>
      <c r="M231" s="224"/>
      <c r="N231" s="217"/>
      <c r="O231" s="210"/>
    </row>
    <row r="232">
      <c r="A232" s="212">
        <f t="shared" si="1"/>
        <v>230</v>
      </c>
      <c r="B232" s="212" t="s">
        <v>40</v>
      </c>
      <c r="C232" s="212" t="s">
        <v>154</v>
      </c>
      <c r="D232" s="220"/>
      <c r="E232" s="220"/>
      <c r="F232" s="39"/>
      <c r="G232" s="227" t="s">
        <v>1823</v>
      </c>
      <c r="H232" s="227" t="s">
        <v>1769</v>
      </c>
      <c r="I232" s="227" t="s">
        <v>1824</v>
      </c>
      <c r="J232" s="256" t="s">
        <v>1816</v>
      </c>
      <c r="K232" s="215" t="s">
        <v>33</v>
      </c>
      <c r="L232" s="240" t="s">
        <v>1825</v>
      </c>
      <c r="M232" s="227" t="s">
        <v>1826</v>
      </c>
      <c r="N232" s="217"/>
      <c r="O232" s="210"/>
    </row>
    <row r="233">
      <c r="A233" s="212">
        <f t="shared" si="1"/>
        <v>231</v>
      </c>
      <c r="B233" s="212" t="s">
        <v>40</v>
      </c>
      <c r="C233" s="212" t="s">
        <v>154</v>
      </c>
      <c r="D233" s="220"/>
      <c r="E233" s="220"/>
      <c r="F233" s="212" t="s">
        <v>1807</v>
      </c>
      <c r="G233" s="217" t="s">
        <v>1827</v>
      </c>
      <c r="H233" s="213" t="s">
        <v>1809</v>
      </c>
      <c r="I233" s="213" t="s">
        <v>1828</v>
      </c>
      <c r="J233" s="256" t="s">
        <v>1816</v>
      </c>
      <c r="K233" s="215" t="s">
        <v>33</v>
      </c>
      <c r="L233" s="224"/>
      <c r="M233" s="224"/>
      <c r="N233" s="217"/>
      <c r="O233" s="210"/>
    </row>
    <row r="234">
      <c r="A234" s="212">
        <f t="shared" si="1"/>
        <v>232</v>
      </c>
      <c r="B234" s="212" t="s">
        <v>40</v>
      </c>
      <c r="C234" s="212" t="s">
        <v>154</v>
      </c>
      <c r="D234" s="220"/>
      <c r="E234" s="220"/>
      <c r="F234" s="212" t="s">
        <v>1829</v>
      </c>
      <c r="G234" s="217" t="s">
        <v>92</v>
      </c>
      <c r="H234" s="213" t="s">
        <v>1830</v>
      </c>
      <c r="I234" s="213" t="s">
        <v>1831</v>
      </c>
      <c r="J234" s="256" t="s">
        <v>1816</v>
      </c>
      <c r="K234" s="215" t="s">
        <v>33</v>
      </c>
      <c r="L234" s="240" t="s">
        <v>1825</v>
      </c>
      <c r="M234" s="227" t="s">
        <v>1832</v>
      </c>
      <c r="N234" s="227"/>
      <c r="O234" s="210"/>
    </row>
    <row r="235">
      <c r="A235" s="212">
        <f t="shared" si="1"/>
        <v>233</v>
      </c>
      <c r="B235" s="212" t="s">
        <v>40</v>
      </c>
      <c r="C235" s="212" t="s">
        <v>154</v>
      </c>
      <c r="D235" s="220"/>
      <c r="E235" s="220"/>
      <c r="F235" s="212" t="s">
        <v>1694</v>
      </c>
      <c r="G235" s="217" t="s">
        <v>92</v>
      </c>
      <c r="H235" s="213" t="s">
        <v>878</v>
      </c>
      <c r="I235" s="217" t="s">
        <v>1696</v>
      </c>
      <c r="J235" s="256" t="s">
        <v>1816</v>
      </c>
      <c r="K235" s="215" t="s">
        <v>33</v>
      </c>
      <c r="L235" s="224"/>
      <c r="M235" s="224"/>
      <c r="N235" s="227"/>
      <c r="O235" s="210"/>
    </row>
    <row r="236">
      <c r="A236" s="212">
        <f t="shared" si="1"/>
        <v>234</v>
      </c>
      <c r="B236" s="212" t="s">
        <v>40</v>
      </c>
      <c r="C236" s="212" t="s">
        <v>154</v>
      </c>
      <c r="D236" s="220"/>
      <c r="E236" s="220"/>
      <c r="F236" s="225" t="s">
        <v>1040</v>
      </c>
      <c r="G236" s="227" t="s">
        <v>1781</v>
      </c>
      <c r="H236" s="213" t="s">
        <v>1093</v>
      </c>
      <c r="I236" s="227" t="s">
        <v>1833</v>
      </c>
      <c r="J236" s="256" t="s">
        <v>1816</v>
      </c>
      <c r="K236" s="215" t="s">
        <v>33</v>
      </c>
      <c r="L236" s="224"/>
      <c r="M236" s="224"/>
      <c r="N236" s="227"/>
      <c r="O236" s="210"/>
    </row>
    <row r="237">
      <c r="A237" s="212">
        <f t="shared" si="1"/>
        <v>235</v>
      </c>
      <c r="B237" s="212" t="s">
        <v>40</v>
      </c>
      <c r="C237" s="212" t="s">
        <v>154</v>
      </c>
      <c r="D237" s="220"/>
      <c r="E237" s="39"/>
      <c r="F237" s="39"/>
      <c r="G237" s="227" t="s">
        <v>1783</v>
      </c>
      <c r="H237" s="213" t="s">
        <v>1093</v>
      </c>
      <c r="I237" s="227" t="s">
        <v>1834</v>
      </c>
      <c r="J237" s="256" t="s">
        <v>1816</v>
      </c>
      <c r="K237" s="215" t="s">
        <v>34</v>
      </c>
      <c r="L237" s="240" t="s">
        <v>1785</v>
      </c>
      <c r="M237" s="227" t="s">
        <v>1786</v>
      </c>
      <c r="N237" s="227"/>
      <c r="O237" s="210"/>
    </row>
    <row r="238">
      <c r="A238" s="212">
        <f t="shared" si="1"/>
        <v>236</v>
      </c>
      <c r="B238" s="212" t="s">
        <v>40</v>
      </c>
      <c r="C238" s="212" t="s">
        <v>154</v>
      </c>
      <c r="D238" s="220"/>
      <c r="E238" s="225" t="s">
        <v>1835</v>
      </c>
      <c r="F238" s="212" t="s">
        <v>613</v>
      </c>
      <c r="G238" s="227" t="s">
        <v>92</v>
      </c>
      <c r="H238" s="227" t="s">
        <v>1836</v>
      </c>
      <c r="I238" s="227" t="s">
        <v>1837</v>
      </c>
      <c r="J238" s="256" t="s">
        <v>1816</v>
      </c>
      <c r="K238" s="215" t="s">
        <v>33</v>
      </c>
      <c r="L238" s="224"/>
      <c r="M238" s="224"/>
      <c r="N238" s="227"/>
      <c r="O238" s="210"/>
    </row>
    <row r="239">
      <c r="A239" s="212">
        <f t="shared" si="1"/>
        <v>237</v>
      </c>
      <c r="B239" s="212" t="s">
        <v>40</v>
      </c>
      <c r="C239" s="212" t="s">
        <v>154</v>
      </c>
      <c r="D239" s="220"/>
      <c r="E239" s="220"/>
      <c r="F239" s="212" t="s">
        <v>1378</v>
      </c>
      <c r="G239" s="227" t="s">
        <v>92</v>
      </c>
      <c r="H239" s="227" t="s">
        <v>1379</v>
      </c>
      <c r="I239" s="227" t="s">
        <v>1838</v>
      </c>
      <c r="J239" s="256" t="s">
        <v>1816</v>
      </c>
      <c r="K239" s="215" t="s">
        <v>33</v>
      </c>
      <c r="L239" s="224"/>
      <c r="M239" s="224"/>
      <c r="N239" s="227"/>
      <c r="O239" s="210"/>
    </row>
    <row r="240">
      <c r="A240" s="212">
        <f t="shared" si="1"/>
        <v>238</v>
      </c>
      <c r="B240" s="212" t="s">
        <v>40</v>
      </c>
      <c r="C240" s="212" t="s">
        <v>154</v>
      </c>
      <c r="D240" s="220"/>
      <c r="E240" s="220"/>
      <c r="F240" s="225" t="s">
        <v>1768</v>
      </c>
      <c r="G240" s="227" t="s">
        <v>92</v>
      </c>
      <c r="H240" s="227" t="s">
        <v>1769</v>
      </c>
      <c r="I240" s="226" t="s">
        <v>1770</v>
      </c>
      <c r="J240" s="256" t="s">
        <v>1816</v>
      </c>
      <c r="K240" s="215" t="s">
        <v>33</v>
      </c>
      <c r="L240" s="224"/>
      <c r="M240" s="224"/>
      <c r="N240" s="227"/>
      <c r="O240" s="210"/>
    </row>
    <row r="241">
      <c r="A241" s="212">
        <f t="shared" si="1"/>
        <v>239</v>
      </c>
      <c r="B241" s="212" t="s">
        <v>40</v>
      </c>
      <c r="C241" s="212" t="s">
        <v>154</v>
      </c>
      <c r="D241" s="220"/>
      <c r="E241" s="220"/>
      <c r="F241" s="39"/>
      <c r="G241" s="227" t="s">
        <v>1823</v>
      </c>
      <c r="H241" s="227" t="s">
        <v>1769</v>
      </c>
      <c r="I241" s="227" t="s">
        <v>1824</v>
      </c>
      <c r="J241" s="256" t="s">
        <v>1816</v>
      </c>
      <c r="K241" s="215" t="s">
        <v>33</v>
      </c>
      <c r="L241" s="240" t="s">
        <v>1825</v>
      </c>
      <c r="M241" s="227" t="s">
        <v>1826</v>
      </c>
      <c r="N241" s="227"/>
      <c r="O241" s="210"/>
    </row>
    <row r="242">
      <c r="A242" s="212">
        <f t="shared" si="1"/>
        <v>240</v>
      </c>
      <c r="B242" s="212" t="s">
        <v>40</v>
      </c>
      <c r="C242" s="212" t="s">
        <v>154</v>
      </c>
      <c r="D242" s="220"/>
      <c r="E242" s="220"/>
      <c r="F242" s="212" t="s">
        <v>1807</v>
      </c>
      <c r="G242" s="217" t="s">
        <v>1827</v>
      </c>
      <c r="H242" s="213" t="s">
        <v>1809</v>
      </c>
      <c r="I242" s="213" t="s">
        <v>1828</v>
      </c>
      <c r="J242" s="256" t="s">
        <v>1816</v>
      </c>
      <c r="K242" s="215" t="s">
        <v>33</v>
      </c>
      <c r="L242" s="224"/>
      <c r="M242" s="224"/>
      <c r="N242" s="227"/>
      <c r="O242" s="210"/>
    </row>
    <row r="243">
      <c r="A243" s="212">
        <f t="shared" si="1"/>
        <v>241</v>
      </c>
      <c r="B243" s="212" t="s">
        <v>40</v>
      </c>
      <c r="C243" s="212" t="s">
        <v>154</v>
      </c>
      <c r="D243" s="220"/>
      <c r="E243" s="220"/>
      <c r="F243" s="212" t="s">
        <v>1839</v>
      </c>
      <c r="G243" s="217" t="s">
        <v>92</v>
      </c>
      <c r="H243" s="213" t="s">
        <v>1840</v>
      </c>
      <c r="I243" s="213" t="s">
        <v>1841</v>
      </c>
      <c r="J243" s="256" t="s">
        <v>1816</v>
      </c>
      <c r="K243" s="215" t="s">
        <v>33</v>
      </c>
      <c r="L243" s="240" t="s">
        <v>1825</v>
      </c>
      <c r="M243" s="227" t="s">
        <v>1832</v>
      </c>
      <c r="N243" s="227"/>
      <c r="O243" s="210"/>
    </row>
    <row r="244">
      <c r="A244" s="212">
        <f t="shared" si="1"/>
        <v>242</v>
      </c>
      <c r="B244" s="212" t="s">
        <v>40</v>
      </c>
      <c r="C244" s="212" t="s">
        <v>154</v>
      </c>
      <c r="D244" s="220"/>
      <c r="E244" s="220"/>
      <c r="F244" s="212" t="s">
        <v>1694</v>
      </c>
      <c r="G244" s="217" t="s">
        <v>92</v>
      </c>
      <c r="H244" s="213" t="s">
        <v>878</v>
      </c>
      <c r="I244" s="217" t="s">
        <v>1696</v>
      </c>
      <c r="J244" s="256" t="s">
        <v>1816</v>
      </c>
      <c r="K244" s="215" t="s">
        <v>33</v>
      </c>
      <c r="L244" s="226"/>
      <c r="M244" s="224"/>
      <c r="N244" s="227"/>
      <c r="O244" s="210"/>
    </row>
    <row r="245">
      <c r="A245" s="212">
        <f t="shared" si="1"/>
        <v>243</v>
      </c>
      <c r="B245" s="212" t="s">
        <v>40</v>
      </c>
      <c r="C245" s="212" t="s">
        <v>154</v>
      </c>
      <c r="D245" s="220"/>
      <c r="E245" s="220"/>
      <c r="F245" s="225" t="s">
        <v>1040</v>
      </c>
      <c r="G245" s="227" t="s">
        <v>1781</v>
      </c>
      <c r="H245" s="213" t="s">
        <v>1093</v>
      </c>
      <c r="I245" s="227" t="s">
        <v>1842</v>
      </c>
      <c r="J245" s="256" t="s">
        <v>1816</v>
      </c>
      <c r="K245" s="215" t="s">
        <v>33</v>
      </c>
      <c r="L245" s="226"/>
      <c r="M245" s="224"/>
      <c r="N245" s="227"/>
      <c r="O245" s="210"/>
    </row>
    <row r="246">
      <c r="A246" s="212">
        <f t="shared" si="1"/>
        <v>244</v>
      </c>
      <c r="B246" s="212" t="s">
        <v>40</v>
      </c>
      <c r="C246" s="212" t="s">
        <v>154</v>
      </c>
      <c r="D246" s="39"/>
      <c r="E246" s="39"/>
      <c r="F246" s="39"/>
      <c r="G246" s="227" t="s">
        <v>1783</v>
      </c>
      <c r="H246" s="213" t="s">
        <v>1093</v>
      </c>
      <c r="I246" s="227" t="s">
        <v>1843</v>
      </c>
      <c r="J246" s="256" t="s">
        <v>1816</v>
      </c>
      <c r="K246" s="215" t="s">
        <v>34</v>
      </c>
      <c r="L246" s="240" t="s">
        <v>1785</v>
      </c>
      <c r="M246" s="227" t="s">
        <v>1786</v>
      </c>
      <c r="N246" s="227"/>
      <c r="O246" s="210"/>
    </row>
    <row r="247">
      <c r="A247" s="212">
        <f t="shared" si="1"/>
        <v>245</v>
      </c>
      <c r="B247" s="212" t="s">
        <v>40</v>
      </c>
      <c r="C247" s="212" t="s">
        <v>158</v>
      </c>
      <c r="D247" s="212" t="s">
        <v>92</v>
      </c>
      <c r="E247" s="212" t="s">
        <v>92</v>
      </c>
      <c r="F247" s="212" t="s">
        <v>613</v>
      </c>
      <c r="G247" s="217" t="s">
        <v>92</v>
      </c>
      <c r="H247" s="213" t="s">
        <v>1844</v>
      </c>
      <c r="I247" s="213" t="s">
        <v>1845</v>
      </c>
      <c r="J247" s="256" t="s">
        <v>158</v>
      </c>
      <c r="K247" s="215" t="s">
        <v>33</v>
      </c>
      <c r="L247" s="224"/>
      <c r="M247" s="224"/>
      <c r="N247" s="227"/>
      <c r="O247" s="210"/>
    </row>
    <row r="248">
      <c r="A248" s="212">
        <f t="shared" si="1"/>
        <v>246</v>
      </c>
      <c r="B248" s="212" t="s">
        <v>40</v>
      </c>
      <c r="C248" s="212" t="s">
        <v>158</v>
      </c>
      <c r="D248" s="212" t="s">
        <v>92</v>
      </c>
      <c r="E248" s="212" t="s">
        <v>92</v>
      </c>
      <c r="F248" s="212" t="s">
        <v>1378</v>
      </c>
      <c r="G248" s="217" t="s">
        <v>92</v>
      </c>
      <c r="H248" s="227" t="s">
        <v>1745</v>
      </c>
      <c r="I248" s="227" t="s">
        <v>1846</v>
      </c>
      <c r="J248" s="256" t="s">
        <v>158</v>
      </c>
      <c r="K248" s="215" t="s">
        <v>33</v>
      </c>
      <c r="L248" s="240" t="s">
        <v>1847</v>
      </c>
      <c r="M248" s="227" t="s">
        <v>1848</v>
      </c>
      <c r="N248" s="227"/>
      <c r="O248" s="210"/>
    </row>
    <row r="249">
      <c r="A249" s="212">
        <f t="shared" si="1"/>
        <v>247</v>
      </c>
      <c r="B249" s="212" t="s">
        <v>40</v>
      </c>
      <c r="C249" s="212" t="s">
        <v>158</v>
      </c>
      <c r="D249" s="212" t="s">
        <v>92</v>
      </c>
      <c r="E249" s="212" t="s">
        <v>92</v>
      </c>
      <c r="F249" s="212" t="s">
        <v>234</v>
      </c>
      <c r="G249" s="217" t="s">
        <v>92</v>
      </c>
      <c r="H249" s="227" t="s">
        <v>1747</v>
      </c>
      <c r="I249" s="227" t="s">
        <v>1849</v>
      </c>
      <c r="J249" s="256" t="s">
        <v>158</v>
      </c>
      <c r="K249" s="215" t="s">
        <v>33</v>
      </c>
      <c r="L249" s="224"/>
      <c r="M249" s="227" t="s">
        <v>1850</v>
      </c>
      <c r="N249" s="227"/>
      <c r="O249" s="210"/>
    </row>
    <row r="250">
      <c r="A250" s="212">
        <f t="shared" si="1"/>
        <v>248</v>
      </c>
      <c r="B250" s="212" t="s">
        <v>40</v>
      </c>
      <c r="C250" s="212" t="s">
        <v>158</v>
      </c>
      <c r="D250" s="225" t="s">
        <v>1851</v>
      </c>
      <c r="E250" s="212" t="s">
        <v>92</v>
      </c>
      <c r="F250" s="212" t="s">
        <v>613</v>
      </c>
      <c r="G250" s="227" t="s">
        <v>92</v>
      </c>
      <c r="H250" s="227" t="s">
        <v>1852</v>
      </c>
      <c r="I250" s="227" t="s">
        <v>1853</v>
      </c>
      <c r="J250" s="256" t="s">
        <v>158</v>
      </c>
      <c r="K250" s="215" t="s">
        <v>33</v>
      </c>
      <c r="L250" s="224"/>
      <c r="M250" s="224"/>
      <c r="N250" s="227"/>
      <c r="O250" s="210"/>
    </row>
    <row r="251">
      <c r="A251" s="212">
        <f t="shared" si="1"/>
        <v>249</v>
      </c>
      <c r="B251" s="212" t="s">
        <v>40</v>
      </c>
      <c r="C251" s="212" t="s">
        <v>158</v>
      </c>
      <c r="D251" s="220"/>
      <c r="E251" s="212" t="s">
        <v>92</v>
      </c>
      <c r="F251" s="212" t="s">
        <v>1378</v>
      </c>
      <c r="G251" s="227" t="s">
        <v>92</v>
      </c>
      <c r="H251" s="227" t="s">
        <v>1379</v>
      </c>
      <c r="I251" s="227" t="s">
        <v>1854</v>
      </c>
      <c r="J251" s="256" t="s">
        <v>158</v>
      </c>
      <c r="K251" s="215" t="s">
        <v>33</v>
      </c>
      <c r="L251" s="224"/>
      <c r="M251" s="224"/>
      <c r="N251" s="227"/>
      <c r="O251" s="210"/>
    </row>
    <row r="252">
      <c r="A252" s="212">
        <f t="shared" si="1"/>
        <v>250</v>
      </c>
      <c r="B252" s="212" t="s">
        <v>40</v>
      </c>
      <c r="C252" s="212" t="s">
        <v>158</v>
      </c>
      <c r="D252" s="220"/>
      <c r="E252" s="212" t="s">
        <v>92</v>
      </c>
      <c r="F252" s="225" t="s">
        <v>1855</v>
      </c>
      <c r="G252" s="227" t="s">
        <v>92</v>
      </c>
      <c r="H252" s="227" t="s">
        <v>1856</v>
      </c>
      <c r="I252" s="227" t="s">
        <v>1857</v>
      </c>
      <c r="J252" s="256" t="s">
        <v>158</v>
      </c>
      <c r="K252" s="215" t="s">
        <v>33</v>
      </c>
      <c r="L252" s="224"/>
      <c r="M252" s="224"/>
      <c r="N252" s="227"/>
      <c r="O252" s="210"/>
    </row>
    <row r="253">
      <c r="A253" s="212">
        <f t="shared" si="1"/>
        <v>251</v>
      </c>
      <c r="B253" s="212" t="s">
        <v>40</v>
      </c>
      <c r="C253" s="212" t="s">
        <v>158</v>
      </c>
      <c r="D253" s="220"/>
      <c r="E253" s="212" t="s">
        <v>92</v>
      </c>
      <c r="F253" s="220"/>
      <c r="G253" s="227" t="s">
        <v>92</v>
      </c>
      <c r="H253" s="227" t="s">
        <v>1858</v>
      </c>
      <c r="I253" s="227" t="s">
        <v>1859</v>
      </c>
      <c r="J253" s="256" t="s">
        <v>158</v>
      </c>
      <c r="K253" s="215" t="s">
        <v>33</v>
      </c>
      <c r="L253" s="224"/>
      <c r="M253" s="224"/>
      <c r="N253" s="227"/>
      <c r="O253" s="210"/>
    </row>
    <row r="254">
      <c r="A254" s="212">
        <f t="shared" si="1"/>
        <v>252</v>
      </c>
      <c r="B254" s="212" t="s">
        <v>40</v>
      </c>
      <c r="C254" s="212" t="s">
        <v>158</v>
      </c>
      <c r="D254" s="220"/>
      <c r="E254" s="212" t="s">
        <v>92</v>
      </c>
      <c r="F254" s="220"/>
      <c r="G254" s="227" t="s">
        <v>92</v>
      </c>
      <c r="H254" s="227" t="s">
        <v>1860</v>
      </c>
      <c r="I254" s="227" t="s">
        <v>1861</v>
      </c>
      <c r="J254" s="256" t="s">
        <v>158</v>
      </c>
      <c r="K254" s="215" t="s">
        <v>33</v>
      </c>
      <c r="L254" s="224"/>
      <c r="M254" s="224"/>
      <c r="N254" s="227"/>
      <c r="O254" s="210"/>
    </row>
    <row r="255">
      <c r="A255" s="212">
        <f t="shared" si="1"/>
        <v>253</v>
      </c>
      <c r="B255" s="212" t="s">
        <v>40</v>
      </c>
      <c r="C255" s="212" t="s">
        <v>158</v>
      </c>
      <c r="D255" s="220"/>
      <c r="E255" s="212" t="s">
        <v>92</v>
      </c>
      <c r="F255" s="39"/>
      <c r="G255" s="227" t="s">
        <v>1862</v>
      </c>
      <c r="H255" s="227" t="s">
        <v>1863</v>
      </c>
      <c r="I255" s="227" t="s">
        <v>1864</v>
      </c>
      <c r="J255" s="256" t="s">
        <v>158</v>
      </c>
      <c r="K255" s="215" t="s">
        <v>33</v>
      </c>
      <c r="L255" s="224"/>
      <c r="M255" s="224"/>
      <c r="N255" s="227"/>
      <c r="O255" s="210"/>
    </row>
    <row r="256">
      <c r="A256" s="212">
        <f t="shared" si="1"/>
        <v>254</v>
      </c>
      <c r="B256" s="212" t="s">
        <v>40</v>
      </c>
      <c r="C256" s="212" t="s">
        <v>158</v>
      </c>
      <c r="D256" s="220"/>
      <c r="E256" s="225" t="s">
        <v>1865</v>
      </c>
      <c r="F256" s="212" t="s">
        <v>1866</v>
      </c>
      <c r="G256" s="227" t="s">
        <v>92</v>
      </c>
      <c r="H256" s="227" t="s">
        <v>1867</v>
      </c>
      <c r="I256" s="227" t="s">
        <v>1868</v>
      </c>
      <c r="J256" s="256" t="s">
        <v>158</v>
      </c>
      <c r="K256" s="215" t="s">
        <v>33</v>
      </c>
      <c r="L256" s="240" t="s">
        <v>1869</v>
      </c>
      <c r="M256" s="227" t="s">
        <v>1870</v>
      </c>
      <c r="N256" s="227"/>
      <c r="O256" s="210"/>
    </row>
    <row r="257">
      <c r="A257" s="212">
        <f t="shared" si="1"/>
        <v>255</v>
      </c>
      <c r="B257" s="212" t="s">
        <v>40</v>
      </c>
      <c r="C257" s="212" t="s">
        <v>158</v>
      </c>
      <c r="D257" s="220"/>
      <c r="E257" s="220"/>
      <c r="F257" s="212" t="s">
        <v>1378</v>
      </c>
      <c r="G257" s="227" t="s">
        <v>92</v>
      </c>
      <c r="H257" s="227" t="s">
        <v>1379</v>
      </c>
      <c r="I257" s="227" t="s">
        <v>1871</v>
      </c>
      <c r="J257" s="256" t="s">
        <v>158</v>
      </c>
      <c r="K257" s="215" t="s">
        <v>33</v>
      </c>
      <c r="L257" s="224"/>
      <c r="M257" s="224"/>
      <c r="N257" s="227"/>
      <c r="O257" s="210"/>
    </row>
    <row r="258">
      <c r="A258" s="212">
        <f t="shared" si="1"/>
        <v>256</v>
      </c>
      <c r="B258" s="212" t="s">
        <v>40</v>
      </c>
      <c r="C258" s="212" t="s">
        <v>158</v>
      </c>
      <c r="D258" s="220"/>
      <c r="E258" s="220"/>
      <c r="F258" s="212" t="s">
        <v>1229</v>
      </c>
      <c r="G258" s="227" t="s">
        <v>92</v>
      </c>
      <c r="H258" s="227" t="s">
        <v>1872</v>
      </c>
      <c r="I258" s="227" t="s">
        <v>1873</v>
      </c>
      <c r="J258" s="256" t="s">
        <v>158</v>
      </c>
      <c r="K258" s="215" t="s">
        <v>33</v>
      </c>
      <c r="L258" s="224"/>
      <c r="M258" s="224"/>
      <c r="N258" s="227"/>
      <c r="O258" s="210"/>
    </row>
    <row r="259">
      <c r="A259" s="212">
        <f t="shared" si="1"/>
        <v>257</v>
      </c>
      <c r="B259" s="212" t="s">
        <v>40</v>
      </c>
      <c r="C259" s="212" t="s">
        <v>158</v>
      </c>
      <c r="D259" s="220"/>
      <c r="E259" s="220"/>
      <c r="F259" s="212" t="s">
        <v>1874</v>
      </c>
      <c r="G259" s="227" t="s">
        <v>92</v>
      </c>
      <c r="H259" s="227" t="s">
        <v>1875</v>
      </c>
      <c r="I259" s="227" t="s">
        <v>1876</v>
      </c>
      <c r="J259" s="256" t="s">
        <v>158</v>
      </c>
      <c r="K259" s="215" t="s">
        <v>33</v>
      </c>
      <c r="L259" s="224"/>
      <c r="M259" s="224"/>
      <c r="N259" s="227"/>
      <c r="O259" s="210"/>
    </row>
    <row r="260">
      <c r="A260" s="212">
        <f t="shared" si="1"/>
        <v>258</v>
      </c>
      <c r="B260" s="212" t="s">
        <v>40</v>
      </c>
      <c r="C260" s="212" t="s">
        <v>158</v>
      </c>
      <c r="D260" s="220"/>
      <c r="E260" s="220"/>
      <c r="F260" s="212" t="s">
        <v>1877</v>
      </c>
      <c r="G260" s="227" t="s">
        <v>92</v>
      </c>
      <c r="H260" s="227" t="s">
        <v>1878</v>
      </c>
      <c r="I260" s="227" t="s">
        <v>1879</v>
      </c>
      <c r="J260" s="256" t="s">
        <v>158</v>
      </c>
      <c r="K260" s="215" t="s">
        <v>33</v>
      </c>
      <c r="L260" s="224"/>
      <c r="M260" s="224"/>
      <c r="N260" s="227"/>
      <c r="O260" s="210"/>
    </row>
    <row r="261">
      <c r="A261" s="212">
        <f t="shared" si="1"/>
        <v>259</v>
      </c>
      <c r="B261" s="212" t="s">
        <v>40</v>
      </c>
      <c r="C261" s="212" t="s">
        <v>158</v>
      </c>
      <c r="D261" s="220"/>
      <c r="E261" s="220"/>
      <c r="F261" s="212" t="s">
        <v>1880</v>
      </c>
      <c r="G261" s="227" t="s">
        <v>92</v>
      </c>
      <c r="H261" s="227" t="s">
        <v>1881</v>
      </c>
      <c r="I261" s="227" t="s">
        <v>1882</v>
      </c>
      <c r="J261" s="256" t="s">
        <v>158</v>
      </c>
      <c r="K261" s="215" t="s">
        <v>33</v>
      </c>
      <c r="L261" s="224"/>
      <c r="M261" s="224"/>
      <c r="N261" s="227"/>
      <c r="O261" s="210"/>
    </row>
    <row r="262">
      <c r="A262" s="212">
        <f t="shared" si="1"/>
        <v>260</v>
      </c>
      <c r="B262" s="212" t="s">
        <v>40</v>
      </c>
      <c r="C262" s="212" t="s">
        <v>158</v>
      </c>
      <c r="D262" s="220"/>
      <c r="E262" s="220"/>
      <c r="F262" s="212" t="s">
        <v>1883</v>
      </c>
      <c r="G262" s="227" t="s">
        <v>92</v>
      </c>
      <c r="H262" s="227" t="s">
        <v>1884</v>
      </c>
      <c r="I262" s="227" t="s">
        <v>1885</v>
      </c>
      <c r="J262" s="256" t="s">
        <v>158</v>
      </c>
      <c r="K262" s="215" t="s">
        <v>33</v>
      </c>
      <c r="L262" s="244" t="s">
        <v>1886</v>
      </c>
      <c r="M262" s="227" t="s">
        <v>1887</v>
      </c>
      <c r="N262" s="227"/>
      <c r="O262" s="210"/>
    </row>
    <row r="263">
      <c r="A263" s="212">
        <f t="shared" si="1"/>
        <v>261</v>
      </c>
      <c r="B263" s="212" t="s">
        <v>40</v>
      </c>
      <c r="C263" s="212" t="s">
        <v>158</v>
      </c>
      <c r="D263" s="220"/>
      <c r="E263" s="220"/>
      <c r="F263" s="225" t="s">
        <v>1040</v>
      </c>
      <c r="G263" s="257" t="s">
        <v>1888</v>
      </c>
      <c r="H263" s="257" t="s">
        <v>1093</v>
      </c>
      <c r="I263" s="257" t="s">
        <v>1889</v>
      </c>
      <c r="J263" s="256" t="s">
        <v>158</v>
      </c>
      <c r="K263" s="215" t="s">
        <v>33</v>
      </c>
      <c r="L263" s="224"/>
      <c r="M263" s="224"/>
      <c r="N263" s="227"/>
      <c r="O263" s="210"/>
    </row>
    <row r="264">
      <c r="A264" s="212">
        <f t="shared" si="1"/>
        <v>262</v>
      </c>
      <c r="B264" s="212" t="s">
        <v>40</v>
      </c>
      <c r="C264" s="212" t="s">
        <v>158</v>
      </c>
      <c r="D264" s="220"/>
      <c r="E264" s="220"/>
      <c r="F264" s="220"/>
      <c r="G264" s="227" t="s">
        <v>1890</v>
      </c>
      <c r="H264" s="257" t="s">
        <v>1093</v>
      </c>
      <c r="I264" s="257" t="s">
        <v>1889</v>
      </c>
      <c r="J264" s="256" t="s">
        <v>158</v>
      </c>
      <c r="K264" s="215" t="s">
        <v>33</v>
      </c>
      <c r="L264" s="224"/>
      <c r="M264" s="224"/>
      <c r="N264" s="227"/>
      <c r="O264" s="210"/>
    </row>
    <row r="265">
      <c r="A265" s="212">
        <f t="shared" si="1"/>
        <v>263</v>
      </c>
      <c r="B265" s="212" t="s">
        <v>40</v>
      </c>
      <c r="C265" s="212" t="s">
        <v>158</v>
      </c>
      <c r="D265" s="220"/>
      <c r="E265" s="39"/>
      <c r="F265" s="39"/>
      <c r="G265" s="227" t="s">
        <v>1891</v>
      </c>
      <c r="H265" s="257" t="s">
        <v>1093</v>
      </c>
      <c r="I265" s="227" t="s">
        <v>1892</v>
      </c>
      <c r="J265" s="256" t="s">
        <v>158</v>
      </c>
      <c r="K265" s="215" t="s">
        <v>33</v>
      </c>
      <c r="L265" s="240" t="s">
        <v>1893</v>
      </c>
      <c r="M265" s="227" t="s">
        <v>1894</v>
      </c>
      <c r="N265" s="227"/>
      <c r="O265" s="210"/>
    </row>
    <row r="266">
      <c r="A266" s="212">
        <f t="shared" si="1"/>
        <v>264</v>
      </c>
      <c r="B266" s="212" t="s">
        <v>40</v>
      </c>
      <c r="C266" s="212" t="s">
        <v>158</v>
      </c>
      <c r="D266" s="220"/>
      <c r="E266" s="212" t="s">
        <v>92</v>
      </c>
      <c r="F266" s="212" t="s">
        <v>1895</v>
      </c>
      <c r="G266" s="227" t="s">
        <v>92</v>
      </c>
      <c r="H266" s="258" t="s">
        <v>1896</v>
      </c>
      <c r="I266" s="227" t="s">
        <v>1897</v>
      </c>
      <c r="J266" s="256" t="s">
        <v>158</v>
      </c>
      <c r="K266" s="215" t="s">
        <v>33</v>
      </c>
      <c r="L266" s="224"/>
      <c r="M266" s="224"/>
      <c r="N266" s="227"/>
      <c r="O266" s="210"/>
    </row>
    <row r="267">
      <c r="A267" s="212">
        <f t="shared" si="1"/>
        <v>265</v>
      </c>
      <c r="B267" s="212" t="s">
        <v>40</v>
      </c>
      <c r="C267" s="212" t="s">
        <v>158</v>
      </c>
      <c r="D267" s="220"/>
      <c r="E267" s="212" t="s">
        <v>92</v>
      </c>
      <c r="F267" s="212" t="s">
        <v>1898</v>
      </c>
      <c r="G267" s="227" t="s">
        <v>92</v>
      </c>
      <c r="H267" s="258" t="s">
        <v>1899</v>
      </c>
      <c r="I267" s="227" t="s">
        <v>1900</v>
      </c>
      <c r="J267" s="256" t="s">
        <v>158</v>
      </c>
      <c r="K267" s="215" t="s">
        <v>33</v>
      </c>
      <c r="L267" s="224"/>
      <c r="M267" s="224"/>
      <c r="N267" s="227"/>
      <c r="O267" s="210"/>
    </row>
    <row r="268">
      <c r="A268" s="212">
        <f t="shared" si="1"/>
        <v>266</v>
      </c>
      <c r="B268" s="212" t="s">
        <v>40</v>
      </c>
      <c r="C268" s="212" t="s">
        <v>158</v>
      </c>
      <c r="D268" s="220"/>
      <c r="E268" s="212" t="s">
        <v>92</v>
      </c>
      <c r="F268" s="225" t="s">
        <v>1694</v>
      </c>
      <c r="G268" s="227" t="s">
        <v>92</v>
      </c>
      <c r="H268" s="258" t="s">
        <v>878</v>
      </c>
      <c r="I268" s="227" t="s">
        <v>1901</v>
      </c>
      <c r="J268" s="256" t="s">
        <v>158</v>
      </c>
      <c r="K268" s="215" t="s">
        <v>33</v>
      </c>
      <c r="L268" s="224"/>
      <c r="M268" s="224"/>
      <c r="N268" s="227"/>
      <c r="O268" s="210"/>
    </row>
    <row r="269">
      <c r="A269" s="212">
        <f t="shared" si="1"/>
        <v>267</v>
      </c>
      <c r="B269" s="212" t="s">
        <v>40</v>
      </c>
      <c r="C269" s="212" t="s">
        <v>158</v>
      </c>
      <c r="D269" s="220"/>
      <c r="E269" s="212" t="s">
        <v>92</v>
      </c>
      <c r="F269" s="220"/>
      <c r="G269" s="227" t="s">
        <v>92</v>
      </c>
      <c r="H269" s="258" t="s">
        <v>1902</v>
      </c>
      <c r="I269" s="227" t="s">
        <v>1903</v>
      </c>
      <c r="J269" s="256" t="s">
        <v>158</v>
      </c>
      <c r="K269" s="215" t="s">
        <v>33</v>
      </c>
      <c r="L269" s="224"/>
      <c r="M269" s="224"/>
      <c r="N269" s="227"/>
      <c r="O269" s="210"/>
    </row>
    <row r="270">
      <c r="A270" s="212">
        <f t="shared" si="1"/>
        <v>268</v>
      </c>
      <c r="B270" s="212" t="s">
        <v>40</v>
      </c>
      <c r="C270" s="212" t="s">
        <v>158</v>
      </c>
      <c r="D270" s="39"/>
      <c r="E270" s="212" t="s">
        <v>92</v>
      </c>
      <c r="F270" s="39"/>
      <c r="G270" s="227" t="s">
        <v>92</v>
      </c>
      <c r="H270" s="258" t="s">
        <v>1904</v>
      </c>
      <c r="I270" s="227" t="s">
        <v>1905</v>
      </c>
      <c r="J270" s="256" t="s">
        <v>158</v>
      </c>
      <c r="K270" s="215" t="s">
        <v>33</v>
      </c>
      <c r="L270" s="224"/>
      <c r="M270" s="224"/>
      <c r="N270" s="227"/>
      <c r="O270" s="210"/>
    </row>
    <row r="271">
      <c r="A271" s="212">
        <f t="shared" si="1"/>
        <v>269</v>
      </c>
      <c r="B271" s="212" t="s">
        <v>40</v>
      </c>
      <c r="C271" s="212" t="s">
        <v>158</v>
      </c>
      <c r="D271" s="225" t="s">
        <v>1906</v>
      </c>
      <c r="E271" s="212" t="s">
        <v>92</v>
      </c>
      <c r="F271" s="212" t="s">
        <v>613</v>
      </c>
      <c r="G271" s="227" t="s">
        <v>92</v>
      </c>
      <c r="H271" s="227" t="s">
        <v>1907</v>
      </c>
      <c r="I271" s="227" t="s">
        <v>1908</v>
      </c>
      <c r="J271" s="256" t="s">
        <v>158</v>
      </c>
      <c r="K271" s="215" t="s">
        <v>33</v>
      </c>
      <c r="L271" s="224"/>
      <c r="M271" s="224"/>
      <c r="N271" s="227"/>
      <c r="O271" s="210"/>
    </row>
    <row r="272">
      <c r="A272" s="212">
        <f t="shared" si="1"/>
        <v>270</v>
      </c>
      <c r="B272" s="212" t="s">
        <v>40</v>
      </c>
      <c r="C272" s="212" t="s">
        <v>158</v>
      </c>
      <c r="D272" s="220"/>
      <c r="E272" s="212" t="s">
        <v>92</v>
      </c>
      <c r="F272" s="212" t="s">
        <v>1378</v>
      </c>
      <c r="G272" s="227" t="s">
        <v>92</v>
      </c>
      <c r="H272" s="227" t="s">
        <v>1379</v>
      </c>
      <c r="I272" s="227" t="s">
        <v>1909</v>
      </c>
      <c r="J272" s="256" t="s">
        <v>158</v>
      </c>
      <c r="K272" s="215" t="s">
        <v>33</v>
      </c>
      <c r="L272" s="224"/>
      <c r="M272" s="224"/>
      <c r="N272" s="227"/>
      <c r="O272" s="210"/>
    </row>
    <row r="273">
      <c r="A273" s="212">
        <f t="shared" si="1"/>
        <v>271</v>
      </c>
      <c r="B273" s="212" t="s">
        <v>40</v>
      </c>
      <c r="C273" s="212" t="s">
        <v>158</v>
      </c>
      <c r="D273" s="220"/>
      <c r="E273" s="212" t="s">
        <v>92</v>
      </c>
      <c r="F273" s="225" t="s">
        <v>1855</v>
      </c>
      <c r="G273" s="227" t="s">
        <v>92</v>
      </c>
      <c r="H273" s="227" t="s">
        <v>1856</v>
      </c>
      <c r="I273" s="227" t="s">
        <v>1910</v>
      </c>
      <c r="J273" s="256" t="s">
        <v>158</v>
      </c>
      <c r="K273" s="215" t="s">
        <v>33</v>
      </c>
      <c r="L273" s="224"/>
      <c r="M273" s="224"/>
      <c r="N273" s="227"/>
      <c r="O273" s="210"/>
    </row>
    <row r="274">
      <c r="A274" s="212">
        <f t="shared" si="1"/>
        <v>272</v>
      </c>
      <c r="B274" s="212" t="s">
        <v>40</v>
      </c>
      <c r="C274" s="212" t="s">
        <v>158</v>
      </c>
      <c r="D274" s="220"/>
      <c r="E274" s="212" t="s">
        <v>92</v>
      </c>
      <c r="F274" s="39"/>
      <c r="G274" s="227" t="s">
        <v>92</v>
      </c>
      <c r="H274" s="227" t="s">
        <v>1911</v>
      </c>
      <c r="I274" s="227" t="s">
        <v>1912</v>
      </c>
      <c r="J274" s="256" t="s">
        <v>158</v>
      </c>
      <c r="K274" s="215" t="s">
        <v>33</v>
      </c>
      <c r="L274" s="224"/>
      <c r="M274" s="224"/>
      <c r="N274" s="227"/>
      <c r="O274" s="210"/>
    </row>
    <row r="275">
      <c r="A275" s="212">
        <f t="shared" si="1"/>
        <v>273</v>
      </c>
      <c r="B275" s="212" t="s">
        <v>40</v>
      </c>
      <c r="C275" s="212" t="s">
        <v>158</v>
      </c>
      <c r="D275" s="220"/>
      <c r="E275" s="225" t="s">
        <v>1913</v>
      </c>
      <c r="F275" s="212" t="s">
        <v>1914</v>
      </c>
      <c r="G275" s="227" t="s">
        <v>92</v>
      </c>
      <c r="H275" s="227" t="s">
        <v>1915</v>
      </c>
      <c r="I275" s="227" t="s">
        <v>1916</v>
      </c>
      <c r="J275" s="256" t="s">
        <v>158</v>
      </c>
      <c r="K275" s="215" t="s">
        <v>33</v>
      </c>
      <c r="L275" s="224"/>
      <c r="M275" s="224"/>
      <c r="N275" s="227"/>
      <c r="O275" s="210"/>
    </row>
    <row r="276">
      <c r="A276" s="212">
        <f t="shared" si="1"/>
        <v>274</v>
      </c>
      <c r="B276" s="212" t="s">
        <v>40</v>
      </c>
      <c r="C276" s="212" t="s">
        <v>158</v>
      </c>
      <c r="D276" s="220"/>
      <c r="E276" s="220"/>
      <c r="F276" s="212" t="s">
        <v>1378</v>
      </c>
      <c r="G276" s="227" t="s">
        <v>92</v>
      </c>
      <c r="H276" s="227" t="s">
        <v>1379</v>
      </c>
      <c r="I276" s="227" t="s">
        <v>1917</v>
      </c>
      <c r="J276" s="256" t="s">
        <v>158</v>
      </c>
      <c r="K276" s="215" t="s">
        <v>33</v>
      </c>
      <c r="L276" s="224"/>
      <c r="M276" s="224"/>
      <c r="N276" s="227"/>
      <c r="O276" s="210"/>
    </row>
    <row r="277">
      <c r="A277" s="212">
        <f t="shared" si="1"/>
        <v>275</v>
      </c>
      <c r="B277" s="212" t="s">
        <v>40</v>
      </c>
      <c r="C277" s="212" t="s">
        <v>158</v>
      </c>
      <c r="D277" s="220"/>
      <c r="E277" s="220"/>
      <c r="F277" s="212" t="s">
        <v>1229</v>
      </c>
      <c r="G277" s="227" t="s">
        <v>92</v>
      </c>
      <c r="H277" s="227" t="s">
        <v>1918</v>
      </c>
      <c r="I277" s="227" t="s">
        <v>1919</v>
      </c>
      <c r="J277" s="256" t="s">
        <v>158</v>
      </c>
      <c r="K277" s="215" t="s">
        <v>33</v>
      </c>
      <c r="L277" s="224"/>
      <c r="M277" s="224"/>
      <c r="N277" s="227"/>
      <c r="O277" s="210"/>
    </row>
    <row r="278">
      <c r="A278" s="212">
        <f t="shared" si="1"/>
        <v>276</v>
      </c>
      <c r="B278" s="212" t="s">
        <v>40</v>
      </c>
      <c r="C278" s="212" t="s">
        <v>158</v>
      </c>
      <c r="D278" s="220"/>
      <c r="E278" s="220"/>
      <c r="F278" s="212" t="s">
        <v>1920</v>
      </c>
      <c r="G278" s="227" t="s">
        <v>92</v>
      </c>
      <c r="H278" s="227" t="s">
        <v>1921</v>
      </c>
      <c r="I278" s="227" t="s">
        <v>1922</v>
      </c>
      <c r="J278" s="256" t="s">
        <v>158</v>
      </c>
      <c r="K278" s="215" t="s">
        <v>33</v>
      </c>
      <c r="L278" s="224"/>
      <c r="M278" s="227"/>
      <c r="N278" s="227"/>
      <c r="O278" s="210"/>
    </row>
    <row r="279">
      <c r="A279" s="212">
        <f t="shared" si="1"/>
        <v>277</v>
      </c>
      <c r="B279" s="212" t="s">
        <v>40</v>
      </c>
      <c r="C279" s="212" t="s">
        <v>158</v>
      </c>
      <c r="D279" s="220"/>
      <c r="E279" s="220"/>
      <c r="F279" s="212" t="s">
        <v>1923</v>
      </c>
      <c r="G279" s="227" t="s">
        <v>92</v>
      </c>
      <c r="H279" s="227" t="s">
        <v>1924</v>
      </c>
      <c r="I279" s="227" t="s">
        <v>1925</v>
      </c>
      <c r="J279" s="256" t="s">
        <v>158</v>
      </c>
      <c r="K279" s="215" t="s">
        <v>33</v>
      </c>
      <c r="L279" s="224"/>
      <c r="M279" s="224"/>
      <c r="N279" s="227"/>
      <c r="O279" s="210"/>
    </row>
    <row r="280">
      <c r="A280" s="212">
        <f t="shared" si="1"/>
        <v>278</v>
      </c>
      <c r="B280" s="212" t="s">
        <v>40</v>
      </c>
      <c r="C280" s="212" t="s">
        <v>158</v>
      </c>
      <c r="D280" s="220"/>
      <c r="E280" s="220"/>
      <c r="F280" s="225" t="s">
        <v>1040</v>
      </c>
      <c r="G280" s="227" t="s">
        <v>1926</v>
      </c>
      <c r="H280" s="227" t="s">
        <v>1093</v>
      </c>
      <c r="I280" s="227" t="s">
        <v>1927</v>
      </c>
      <c r="J280" s="256" t="s">
        <v>158</v>
      </c>
      <c r="K280" s="215" t="s">
        <v>33</v>
      </c>
      <c r="L280" s="224"/>
      <c r="M280" s="224"/>
      <c r="N280" s="227"/>
      <c r="O280" s="210"/>
    </row>
    <row r="281">
      <c r="A281" s="212">
        <f t="shared" si="1"/>
        <v>279</v>
      </c>
      <c r="B281" s="212" t="s">
        <v>40</v>
      </c>
      <c r="C281" s="212" t="s">
        <v>158</v>
      </c>
      <c r="D281" s="220"/>
      <c r="E281" s="220"/>
      <c r="F281" s="220"/>
      <c r="G281" s="227" t="s">
        <v>1928</v>
      </c>
      <c r="H281" s="227" t="s">
        <v>1093</v>
      </c>
      <c r="I281" s="227" t="s">
        <v>1927</v>
      </c>
      <c r="J281" s="256" t="s">
        <v>158</v>
      </c>
      <c r="K281" s="215" t="s">
        <v>33</v>
      </c>
      <c r="L281" s="226"/>
      <c r="M281" s="227"/>
      <c r="N281" s="227"/>
      <c r="O281" s="210"/>
    </row>
    <row r="282">
      <c r="A282" s="212">
        <f t="shared" si="1"/>
        <v>280</v>
      </c>
      <c r="B282" s="212" t="s">
        <v>40</v>
      </c>
      <c r="C282" s="212" t="s">
        <v>158</v>
      </c>
      <c r="D282" s="220"/>
      <c r="E282" s="39"/>
      <c r="F282" s="39"/>
      <c r="G282" s="227" t="s">
        <v>1929</v>
      </c>
      <c r="H282" s="227" t="s">
        <v>1093</v>
      </c>
      <c r="I282" s="227" t="s">
        <v>1930</v>
      </c>
      <c r="J282" s="256" t="s">
        <v>158</v>
      </c>
      <c r="K282" s="215" t="s">
        <v>33</v>
      </c>
      <c r="L282" s="224"/>
      <c r="M282" s="224"/>
      <c r="N282" s="227"/>
      <c r="O282" s="210"/>
    </row>
    <row r="283">
      <c r="A283" s="212">
        <f t="shared" si="1"/>
        <v>281</v>
      </c>
      <c r="B283" s="212" t="s">
        <v>40</v>
      </c>
      <c r="C283" s="212" t="s">
        <v>158</v>
      </c>
      <c r="D283" s="220"/>
      <c r="E283" s="212" t="s">
        <v>92</v>
      </c>
      <c r="F283" s="212" t="s">
        <v>1931</v>
      </c>
      <c r="G283" s="227" t="s">
        <v>92</v>
      </c>
      <c r="H283" s="258" t="s">
        <v>1932</v>
      </c>
      <c r="I283" s="227" t="s">
        <v>1933</v>
      </c>
      <c r="J283" s="256" t="s">
        <v>158</v>
      </c>
      <c r="K283" s="215" t="s">
        <v>33</v>
      </c>
      <c r="L283" s="224"/>
      <c r="M283" s="224"/>
      <c r="N283" s="227"/>
      <c r="O283" s="210"/>
    </row>
    <row r="284">
      <c r="A284" s="212">
        <f t="shared" si="1"/>
        <v>282</v>
      </c>
      <c r="B284" s="212" t="s">
        <v>40</v>
      </c>
      <c r="C284" s="212" t="s">
        <v>158</v>
      </c>
      <c r="D284" s="220"/>
      <c r="E284" s="212" t="s">
        <v>92</v>
      </c>
      <c r="F284" s="212" t="s">
        <v>1898</v>
      </c>
      <c r="G284" s="227" t="s">
        <v>92</v>
      </c>
      <c r="H284" s="258" t="s">
        <v>1934</v>
      </c>
      <c r="I284" s="227" t="s">
        <v>1935</v>
      </c>
      <c r="J284" s="256" t="s">
        <v>158</v>
      </c>
      <c r="K284" s="215" t="s">
        <v>33</v>
      </c>
      <c r="L284" s="224"/>
      <c r="M284" s="224"/>
      <c r="N284" s="227"/>
      <c r="O284" s="210"/>
    </row>
    <row r="285">
      <c r="A285" s="212">
        <f t="shared" si="1"/>
        <v>283</v>
      </c>
      <c r="B285" s="212" t="s">
        <v>40</v>
      </c>
      <c r="C285" s="212" t="s">
        <v>158</v>
      </c>
      <c r="D285" s="220"/>
      <c r="E285" s="212" t="s">
        <v>92</v>
      </c>
      <c r="F285" s="225" t="s">
        <v>1694</v>
      </c>
      <c r="G285" s="227" t="s">
        <v>92</v>
      </c>
      <c r="H285" s="258" t="s">
        <v>878</v>
      </c>
      <c r="I285" s="227" t="s">
        <v>1936</v>
      </c>
      <c r="J285" s="256" t="s">
        <v>158</v>
      </c>
      <c r="K285" s="215" t="s">
        <v>33</v>
      </c>
      <c r="L285" s="224"/>
      <c r="M285" s="224"/>
      <c r="N285" s="227"/>
      <c r="O285" s="210"/>
    </row>
    <row r="286">
      <c r="A286" s="212">
        <f t="shared" si="1"/>
        <v>284</v>
      </c>
      <c r="B286" s="212" t="s">
        <v>40</v>
      </c>
      <c r="C286" s="212" t="s">
        <v>158</v>
      </c>
      <c r="D286" s="220"/>
      <c r="E286" s="212" t="s">
        <v>92</v>
      </c>
      <c r="F286" s="220"/>
      <c r="G286" s="227" t="s">
        <v>92</v>
      </c>
      <c r="H286" s="258" t="s">
        <v>1902</v>
      </c>
      <c r="I286" s="227" t="s">
        <v>1903</v>
      </c>
      <c r="J286" s="256" t="s">
        <v>158</v>
      </c>
      <c r="K286" s="215" t="s">
        <v>33</v>
      </c>
      <c r="L286" s="224"/>
      <c r="M286" s="224"/>
      <c r="N286" s="227"/>
      <c r="O286" s="210"/>
    </row>
    <row r="287">
      <c r="A287" s="212">
        <f t="shared" si="1"/>
        <v>285</v>
      </c>
      <c r="B287" s="212" t="s">
        <v>40</v>
      </c>
      <c r="C287" s="212" t="s">
        <v>158</v>
      </c>
      <c r="D287" s="39"/>
      <c r="E287" s="212" t="s">
        <v>92</v>
      </c>
      <c r="F287" s="39"/>
      <c r="G287" s="227" t="s">
        <v>92</v>
      </c>
      <c r="H287" s="258" t="s">
        <v>1904</v>
      </c>
      <c r="I287" s="227" t="s">
        <v>1937</v>
      </c>
      <c r="J287" s="256" t="s">
        <v>158</v>
      </c>
      <c r="K287" s="215" t="s">
        <v>33</v>
      </c>
      <c r="L287" s="226"/>
      <c r="M287" s="227" t="s">
        <v>1589</v>
      </c>
      <c r="N287" s="227"/>
      <c r="O287" s="210"/>
    </row>
    <row r="288">
      <c r="A288" s="212"/>
      <c r="B288" s="212"/>
      <c r="C288" s="212"/>
      <c r="D288" s="212"/>
      <c r="E288" s="212"/>
      <c r="F288" s="212"/>
      <c r="G288" s="224"/>
      <c r="H288" s="227"/>
      <c r="I288" s="213"/>
      <c r="J288" s="259"/>
      <c r="K288" s="215"/>
      <c r="L288" s="224"/>
      <c r="M288" s="224"/>
      <c r="N288" s="227"/>
      <c r="O288" s="210"/>
    </row>
  </sheetData>
  <mergeCells count="86">
    <mergeCell ref="D98:D105"/>
    <mergeCell ref="D106:D113"/>
    <mergeCell ref="D114:D123"/>
    <mergeCell ref="D124:D132"/>
    <mergeCell ref="D133:D142"/>
    <mergeCell ref="D143:D154"/>
    <mergeCell ref="D155:D166"/>
    <mergeCell ref="E191:E199"/>
    <mergeCell ref="E201:E204"/>
    <mergeCell ref="D214:D217"/>
    <mergeCell ref="D218:D227"/>
    <mergeCell ref="D228:D246"/>
    <mergeCell ref="D250:D270"/>
    <mergeCell ref="D271:D287"/>
    <mergeCell ref="D167:D178"/>
    <mergeCell ref="D179:D182"/>
    <mergeCell ref="D186:D199"/>
    <mergeCell ref="E187:E190"/>
    <mergeCell ref="F193:F194"/>
    <mergeCell ref="F198:F199"/>
    <mergeCell ref="D200:D213"/>
    <mergeCell ref="E229:E237"/>
    <mergeCell ref="E238:E246"/>
    <mergeCell ref="E256:E265"/>
    <mergeCell ref="E275:E282"/>
    <mergeCell ref="F240:F241"/>
    <mergeCell ref="F245:F246"/>
    <mergeCell ref="F252:F255"/>
    <mergeCell ref="F263:F265"/>
    <mergeCell ref="F268:F270"/>
    <mergeCell ref="F273:F274"/>
    <mergeCell ref="F280:F282"/>
    <mergeCell ref="F285:F287"/>
    <mergeCell ref="E205:E213"/>
    <mergeCell ref="F207:F208"/>
    <mergeCell ref="F212:F213"/>
    <mergeCell ref="F220:F221"/>
    <mergeCell ref="F226:F227"/>
    <mergeCell ref="F231:F232"/>
    <mergeCell ref="F236:F237"/>
    <mergeCell ref="K1:K2"/>
    <mergeCell ref="L1:L2"/>
    <mergeCell ref="M1:M2"/>
    <mergeCell ref="N1:N2"/>
    <mergeCell ref="A1:A2"/>
    <mergeCell ref="C1:E1"/>
    <mergeCell ref="G1:G2"/>
    <mergeCell ref="H1:H2"/>
    <mergeCell ref="I1:I2"/>
    <mergeCell ref="J1:J2"/>
    <mergeCell ref="D6:D19"/>
    <mergeCell ref="F1:F2"/>
    <mergeCell ref="F12:F19"/>
    <mergeCell ref="D20:D27"/>
    <mergeCell ref="F20:F27"/>
    <mergeCell ref="D28:D38"/>
    <mergeCell ref="G37:G38"/>
    <mergeCell ref="G48:G49"/>
    <mergeCell ref="F28:F38"/>
    <mergeCell ref="F39:F49"/>
    <mergeCell ref="F50:F57"/>
    <mergeCell ref="F58:F65"/>
    <mergeCell ref="F66:F73"/>
    <mergeCell ref="F74:F81"/>
    <mergeCell ref="F82:F89"/>
    <mergeCell ref="D39:D49"/>
    <mergeCell ref="D50:D57"/>
    <mergeCell ref="D58:D65"/>
    <mergeCell ref="D66:D73"/>
    <mergeCell ref="D74:D81"/>
    <mergeCell ref="D82:D89"/>
    <mergeCell ref="D90:D97"/>
    <mergeCell ref="F157:F158"/>
    <mergeCell ref="F162:F163"/>
    <mergeCell ref="F164:F166"/>
    <mergeCell ref="F167:F168"/>
    <mergeCell ref="F170:F178"/>
    <mergeCell ref="G170:G172"/>
    <mergeCell ref="F181:F182"/>
    <mergeCell ref="F90:F97"/>
    <mergeCell ref="F98:F105"/>
    <mergeCell ref="F106:F113"/>
    <mergeCell ref="F119:F123"/>
    <mergeCell ref="F129:F132"/>
    <mergeCell ref="F138:F142"/>
    <mergeCell ref="F148:F154"/>
  </mergeCells>
  <conditionalFormatting sqref="K3:K288">
    <cfRule type="cellIs" dxfId="4" priority="1" operator="equal">
      <formula>"PASS"</formula>
    </cfRule>
  </conditionalFormatting>
  <conditionalFormatting sqref="K3:K288">
    <cfRule type="cellIs" dxfId="5" priority="2" operator="equal">
      <formula>"FAIL"</formula>
    </cfRule>
  </conditionalFormatting>
  <conditionalFormatting sqref="K3:K288">
    <cfRule type="cellIs" dxfId="6" priority="3" operator="equal">
      <formula>"N/A"</formula>
    </cfRule>
  </conditionalFormatting>
  <conditionalFormatting sqref="K3:K288">
    <cfRule type="cellIs" dxfId="7" priority="4" operator="equal">
      <formula>"N/T"</formula>
    </cfRule>
  </conditionalFormatting>
  <dataValidations>
    <dataValidation type="list" allowBlank="1" sqref="K3:K288">
      <formula1>"PASS,FAIL,N/A,N/T"</formula1>
    </dataValidation>
  </dataValidations>
  <hyperlinks>
    <hyperlink r:id="rId1" ref="J3"/>
    <hyperlink r:id="rId2" ref="J4"/>
    <hyperlink r:id="rId3" ref="J5"/>
    <hyperlink r:id="rId4" ref="J6"/>
    <hyperlink r:id="rId5" ref="L6"/>
    <hyperlink r:id="rId6" ref="J7"/>
    <hyperlink r:id="rId7" ref="J8"/>
    <hyperlink r:id="rId8" ref="J9"/>
    <hyperlink r:id="rId9" ref="J10"/>
    <hyperlink r:id="rId10" ref="J11"/>
    <hyperlink r:id="rId11" ref="J12"/>
    <hyperlink r:id="rId12" ref="L12"/>
    <hyperlink r:id="rId13" ref="J13"/>
    <hyperlink r:id="rId14" ref="J14"/>
    <hyperlink r:id="rId15" ref="J15"/>
    <hyperlink r:id="rId16" ref="J16"/>
    <hyperlink r:id="rId17" ref="L16"/>
    <hyperlink r:id="rId18" ref="J17"/>
    <hyperlink r:id="rId19" ref="J18"/>
    <hyperlink r:id="rId20" ref="L18"/>
    <hyperlink r:id="rId21" ref="J19"/>
    <hyperlink r:id="rId22" ref="L19"/>
    <hyperlink r:id="rId23" ref="J20"/>
    <hyperlink r:id="rId24" ref="L20"/>
    <hyperlink r:id="rId25" ref="J21"/>
    <hyperlink r:id="rId26" ref="J22"/>
    <hyperlink r:id="rId27" ref="J23"/>
    <hyperlink r:id="rId28" ref="J24"/>
    <hyperlink r:id="rId29" ref="L24"/>
    <hyperlink r:id="rId30" ref="J25"/>
    <hyperlink r:id="rId31" ref="J26"/>
    <hyperlink r:id="rId32" ref="L26"/>
    <hyperlink r:id="rId33" ref="J27"/>
    <hyperlink r:id="rId34" ref="L27"/>
    <hyperlink r:id="rId35" ref="J28"/>
    <hyperlink r:id="rId36" ref="J29"/>
    <hyperlink r:id="rId37" ref="J30"/>
    <hyperlink r:id="rId38" ref="J31"/>
    <hyperlink r:id="rId39" ref="J32"/>
    <hyperlink r:id="rId40" ref="L32"/>
    <hyperlink r:id="rId41" ref="J33"/>
    <hyperlink r:id="rId42" ref="J34"/>
    <hyperlink r:id="rId43" ref="J35"/>
    <hyperlink r:id="rId44" ref="J36"/>
    <hyperlink r:id="rId45" ref="J37"/>
    <hyperlink r:id="rId46" ref="J38"/>
    <hyperlink r:id="rId47" ref="J39"/>
    <hyperlink r:id="rId48" ref="J40"/>
    <hyperlink r:id="rId49" ref="J41"/>
    <hyperlink r:id="rId50" ref="J42"/>
    <hyperlink r:id="rId51" ref="J43"/>
    <hyperlink r:id="rId52" ref="L43"/>
    <hyperlink r:id="rId53" ref="J44"/>
    <hyperlink r:id="rId54" ref="J45"/>
    <hyperlink r:id="rId55" ref="J46"/>
    <hyperlink r:id="rId56" ref="J47"/>
    <hyperlink r:id="rId57" ref="J48"/>
    <hyperlink r:id="rId58" ref="J49"/>
    <hyperlink r:id="rId59" ref="J50"/>
    <hyperlink r:id="rId60" ref="L50"/>
    <hyperlink r:id="rId61" ref="J51"/>
    <hyperlink r:id="rId62" ref="J52"/>
    <hyperlink r:id="rId63" ref="J53"/>
    <hyperlink r:id="rId64" ref="J54"/>
    <hyperlink r:id="rId65" ref="L54"/>
    <hyperlink r:id="rId66" ref="J55"/>
    <hyperlink r:id="rId67" ref="J56"/>
    <hyperlink r:id="rId68" ref="J57"/>
    <hyperlink r:id="rId69" ref="J58"/>
    <hyperlink r:id="rId70" ref="L58"/>
    <hyperlink r:id="rId71" ref="J59"/>
    <hyperlink r:id="rId72" ref="J60"/>
    <hyperlink r:id="rId73" ref="J61"/>
    <hyperlink r:id="rId74" ref="J62"/>
    <hyperlink r:id="rId75" ref="L62"/>
    <hyperlink r:id="rId76" ref="J63"/>
    <hyperlink r:id="rId77" ref="J64"/>
    <hyperlink r:id="rId78" ref="J65"/>
    <hyperlink r:id="rId79" ref="J66"/>
    <hyperlink r:id="rId80" ref="L66"/>
    <hyperlink r:id="rId81" ref="J67"/>
    <hyperlink r:id="rId82" ref="J68"/>
    <hyperlink r:id="rId83" ref="J69"/>
    <hyperlink r:id="rId84" ref="J70"/>
    <hyperlink r:id="rId85" ref="L70"/>
    <hyperlink r:id="rId86" ref="J71"/>
    <hyperlink r:id="rId87" ref="J72"/>
    <hyperlink r:id="rId88" ref="J73"/>
    <hyperlink r:id="rId89" ref="J74"/>
    <hyperlink r:id="rId90" ref="L74"/>
    <hyperlink r:id="rId91" ref="J75"/>
    <hyperlink r:id="rId92" ref="J76"/>
    <hyperlink r:id="rId93" ref="J77"/>
    <hyperlink r:id="rId94" ref="J78"/>
    <hyperlink r:id="rId95" ref="L78"/>
    <hyperlink r:id="rId96" ref="J79"/>
    <hyperlink r:id="rId97" ref="J80"/>
    <hyperlink r:id="rId98" ref="J81"/>
    <hyperlink r:id="rId99" ref="J82"/>
    <hyperlink r:id="rId100" ref="J83"/>
    <hyperlink r:id="rId101" ref="J84"/>
    <hyperlink r:id="rId102" ref="J85"/>
    <hyperlink r:id="rId103" ref="J86"/>
    <hyperlink r:id="rId104" ref="J87"/>
    <hyperlink r:id="rId105" ref="J88"/>
    <hyperlink r:id="rId106" ref="J89"/>
    <hyperlink r:id="rId107" ref="J90"/>
    <hyperlink r:id="rId108" ref="J91"/>
    <hyperlink r:id="rId109" ref="J92"/>
    <hyperlink r:id="rId110" ref="J93"/>
    <hyperlink r:id="rId111" ref="J94"/>
    <hyperlink r:id="rId112" ref="J95"/>
    <hyperlink r:id="rId113" ref="J96"/>
    <hyperlink r:id="rId114" ref="J97"/>
    <hyperlink r:id="rId115" ref="J98"/>
    <hyperlink r:id="rId116" ref="J99"/>
    <hyperlink r:id="rId117" ref="J100"/>
    <hyperlink r:id="rId118" ref="J101"/>
    <hyperlink r:id="rId119" ref="J102"/>
    <hyperlink r:id="rId120" ref="J103"/>
    <hyperlink r:id="rId121" ref="J104"/>
    <hyperlink r:id="rId122" ref="L104"/>
    <hyperlink r:id="rId123" ref="J105"/>
    <hyperlink r:id="rId124" ref="L105"/>
    <hyperlink r:id="rId125" ref="J106"/>
    <hyperlink r:id="rId126" ref="J107"/>
    <hyperlink r:id="rId127" ref="J108"/>
    <hyperlink r:id="rId128" ref="J109"/>
    <hyperlink r:id="rId129" ref="J110"/>
    <hyperlink r:id="rId130" ref="J111"/>
    <hyperlink r:id="rId131" ref="J112"/>
    <hyperlink r:id="rId132" ref="J113"/>
    <hyperlink r:id="rId133" ref="J114"/>
    <hyperlink r:id="rId134" ref="L114"/>
    <hyperlink r:id="rId135" ref="J115"/>
    <hyperlink r:id="rId136" ref="J116"/>
    <hyperlink r:id="rId137" ref="J117"/>
    <hyperlink r:id="rId138" ref="J118"/>
    <hyperlink r:id="rId139" ref="J119"/>
    <hyperlink r:id="rId140" ref="L119"/>
    <hyperlink r:id="rId141" ref="J120"/>
    <hyperlink r:id="rId142" ref="J121"/>
    <hyperlink r:id="rId143" ref="J122"/>
    <hyperlink r:id="rId144" ref="J123"/>
    <hyperlink r:id="rId145" ref="J124"/>
    <hyperlink r:id="rId146" ref="L124"/>
    <hyperlink r:id="rId147" ref="J125"/>
    <hyperlink r:id="rId148" ref="J126"/>
    <hyperlink r:id="rId149" ref="J127"/>
    <hyperlink r:id="rId150" ref="J128"/>
    <hyperlink r:id="rId151" ref="J129"/>
    <hyperlink r:id="rId152" ref="L129"/>
    <hyperlink r:id="rId153" ref="J130"/>
    <hyperlink r:id="rId154" ref="J131"/>
    <hyperlink r:id="rId155" ref="J132"/>
    <hyperlink r:id="rId156" ref="J133"/>
    <hyperlink r:id="rId157" ref="J134"/>
    <hyperlink r:id="rId158" ref="J135"/>
    <hyperlink r:id="rId159" ref="J136"/>
    <hyperlink r:id="rId160" ref="J137"/>
    <hyperlink r:id="rId161" ref="J138"/>
    <hyperlink r:id="rId162" ref="J139"/>
    <hyperlink r:id="rId163" ref="J140"/>
    <hyperlink r:id="rId164" ref="J141"/>
    <hyperlink r:id="rId165" ref="J142"/>
    <hyperlink r:id="rId166" ref="J143"/>
    <hyperlink r:id="rId167" ref="J144"/>
    <hyperlink r:id="rId168" ref="J145"/>
    <hyperlink r:id="rId169" ref="J146"/>
    <hyperlink r:id="rId170" ref="J147"/>
    <hyperlink r:id="rId171" ref="J148"/>
    <hyperlink r:id="rId172" ref="J149"/>
    <hyperlink r:id="rId173" ref="J150"/>
    <hyperlink r:id="rId174" ref="L150"/>
    <hyperlink r:id="rId175" ref="J151"/>
    <hyperlink r:id="rId176" ref="J152"/>
    <hyperlink r:id="rId177" ref="J153"/>
    <hyperlink r:id="rId178" ref="J154"/>
    <hyperlink r:id="rId179" ref="J155"/>
    <hyperlink r:id="rId180" ref="J156"/>
    <hyperlink r:id="rId181" ref="J157"/>
    <hyperlink r:id="rId182" ref="J158"/>
    <hyperlink r:id="rId183" ref="J159"/>
    <hyperlink r:id="rId184" ref="J160"/>
    <hyperlink r:id="rId185" ref="J161"/>
    <hyperlink r:id="rId186" ref="J162"/>
    <hyperlink r:id="rId187" ref="J163"/>
    <hyperlink r:id="rId188" ref="J164"/>
    <hyperlink r:id="rId189" ref="J165"/>
    <hyperlink r:id="rId190" ref="J166"/>
    <hyperlink r:id="rId191" ref="J167"/>
    <hyperlink r:id="rId192" ref="J168"/>
    <hyperlink r:id="rId193" ref="J169"/>
    <hyperlink r:id="rId194" ref="J170"/>
    <hyperlink r:id="rId195" ref="J171"/>
    <hyperlink r:id="rId196" ref="J172"/>
    <hyperlink r:id="rId197" ref="J173"/>
    <hyperlink r:id="rId198" ref="J174"/>
    <hyperlink r:id="rId199" ref="J175"/>
    <hyperlink r:id="rId200" ref="J176"/>
    <hyperlink r:id="rId201" ref="J177"/>
    <hyperlink r:id="rId202" ref="J178"/>
    <hyperlink r:id="rId203" ref="J179"/>
    <hyperlink r:id="rId204" ref="J180"/>
    <hyperlink r:id="rId205" ref="J181"/>
    <hyperlink r:id="rId206" ref="J182"/>
    <hyperlink r:id="rId207" ref="J183"/>
    <hyperlink r:id="rId208" ref="L183"/>
    <hyperlink r:id="rId209" ref="J184"/>
    <hyperlink r:id="rId210" ref="J185"/>
    <hyperlink r:id="rId211" ref="J186"/>
    <hyperlink r:id="rId212" ref="J187"/>
    <hyperlink r:id="rId213" ref="L187"/>
    <hyperlink r:id="rId214" ref="J188"/>
    <hyperlink r:id="rId215" ref="L188"/>
    <hyperlink r:id="rId216" ref="J189"/>
    <hyperlink r:id="rId217" ref="J190"/>
    <hyperlink r:id="rId218" ref="J191"/>
    <hyperlink r:id="rId219" ref="J192"/>
    <hyperlink r:id="rId220" ref="L192"/>
    <hyperlink r:id="rId221" ref="J193"/>
    <hyperlink r:id="rId222" ref="J194"/>
    <hyperlink r:id="rId223" ref="J195"/>
    <hyperlink r:id="rId224" ref="L195"/>
    <hyperlink r:id="rId225" ref="J196"/>
    <hyperlink r:id="rId226" ref="L196"/>
    <hyperlink r:id="rId227" ref="J197"/>
    <hyperlink r:id="rId228" ref="J198"/>
    <hyperlink r:id="rId229" ref="J199"/>
    <hyperlink r:id="rId230" ref="L199"/>
    <hyperlink r:id="rId231" ref="J200"/>
    <hyperlink r:id="rId232" ref="J201"/>
    <hyperlink r:id="rId233" ref="J202"/>
    <hyperlink r:id="rId234" ref="J203"/>
    <hyperlink r:id="rId235" ref="J204"/>
    <hyperlink r:id="rId236" ref="J205"/>
    <hyperlink r:id="rId237" ref="J206"/>
    <hyperlink r:id="rId238" ref="L206"/>
    <hyperlink r:id="rId239" ref="J207"/>
    <hyperlink r:id="rId240" ref="J208"/>
    <hyperlink r:id="rId241" ref="J209"/>
    <hyperlink r:id="rId242" ref="L209"/>
    <hyperlink r:id="rId243" ref="J210"/>
    <hyperlink r:id="rId244" ref="L210"/>
    <hyperlink r:id="rId245" ref="J211"/>
    <hyperlink r:id="rId246" ref="J212"/>
    <hyperlink r:id="rId247" ref="J213"/>
    <hyperlink r:id="rId248" ref="L213"/>
    <hyperlink r:id="rId249" ref="J214"/>
    <hyperlink r:id="rId250" ref="J215"/>
    <hyperlink r:id="rId251" ref="J216"/>
    <hyperlink r:id="rId252" ref="J217"/>
    <hyperlink r:id="rId253" ref="J218"/>
    <hyperlink r:id="rId254" ref="J219"/>
    <hyperlink r:id="rId255" ref="J220"/>
    <hyperlink r:id="rId256" ref="J221"/>
    <hyperlink r:id="rId257" ref="J222"/>
    <hyperlink r:id="rId258" ref="J223"/>
    <hyperlink r:id="rId259" ref="L223"/>
    <hyperlink r:id="rId260" ref="J224"/>
    <hyperlink r:id="rId261" ref="L224"/>
    <hyperlink r:id="rId262" ref="J225"/>
    <hyperlink r:id="rId263" ref="J226"/>
    <hyperlink r:id="rId264" ref="J227"/>
    <hyperlink r:id="rId265" ref="L227"/>
    <hyperlink r:id="rId266" ref="J228"/>
    <hyperlink r:id="rId267" ref="J229"/>
    <hyperlink r:id="rId268" ref="J230"/>
    <hyperlink r:id="rId269" ref="J231"/>
    <hyperlink r:id="rId270" ref="J232"/>
    <hyperlink r:id="rId271" ref="L232"/>
    <hyperlink r:id="rId272" ref="J233"/>
    <hyperlink r:id="rId273" ref="J234"/>
    <hyperlink r:id="rId274" ref="L234"/>
    <hyperlink r:id="rId275" ref="J235"/>
    <hyperlink r:id="rId276" ref="J236"/>
    <hyperlink r:id="rId277" ref="J237"/>
    <hyperlink r:id="rId278" ref="L237"/>
    <hyperlink r:id="rId279" ref="J238"/>
    <hyperlink r:id="rId280" ref="J239"/>
    <hyperlink r:id="rId281" ref="J240"/>
    <hyperlink r:id="rId282" ref="J241"/>
    <hyperlink r:id="rId283" ref="L241"/>
    <hyperlink r:id="rId284" ref="J242"/>
    <hyperlink r:id="rId285" ref="J243"/>
    <hyperlink r:id="rId286" ref="L243"/>
    <hyperlink r:id="rId287" ref="J244"/>
    <hyperlink r:id="rId288" ref="J245"/>
    <hyperlink r:id="rId289" ref="J246"/>
    <hyperlink r:id="rId290" ref="L246"/>
    <hyperlink r:id="rId291" ref="J247"/>
    <hyperlink r:id="rId292" ref="J248"/>
    <hyperlink r:id="rId293" ref="L248"/>
    <hyperlink r:id="rId294" ref="J249"/>
    <hyperlink r:id="rId295" ref="J250"/>
    <hyperlink r:id="rId296" ref="J251"/>
    <hyperlink r:id="rId297" ref="J252"/>
    <hyperlink r:id="rId298" ref="J253"/>
    <hyperlink r:id="rId299" ref="J254"/>
    <hyperlink r:id="rId300" ref="J255"/>
    <hyperlink r:id="rId301" ref="J256"/>
    <hyperlink r:id="rId302" ref="L256"/>
    <hyperlink r:id="rId303" ref="J257"/>
    <hyperlink r:id="rId304" ref="J258"/>
    <hyperlink r:id="rId305" ref="J259"/>
    <hyperlink r:id="rId306" ref="J260"/>
    <hyperlink r:id="rId307" ref="J261"/>
    <hyperlink r:id="rId308" ref="J262"/>
    <hyperlink r:id="rId309" ref="L262"/>
    <hyperlink r:id="rId310" ref="J263"/>
    <hyperlink r:id="rId311" ref="J264"/>
    <hyperlink r:id="rId312" ref="J265"/>
    <hyperlink r:id="rId313" ref="L265"/>
    <hyperlink r:id="rId314" ref="J266"/>
    <hyperlink r:id="rId315" ref="J267"/>
    <hyperlink r:id="rId316" ref="J268"/>
    <hyperlink r:id="rId317" ref="J269"/>
    <hyperlink r:id="rId318" ref="J270"/>
    <hyperlink r:id="rId319" ref="J271"/>
    <hyperlink r:id="rId320" ref="J272"/>
    <hyperlink r:id="rId321" ref="J273"/>
    <hyperlink r:id="rId322" ref="J274"/>
    <hyperlink r:id="rId323" ref="J275"/>
    <hyperlink r:id="rId324" ref="J276"/>
    <hyperlink r:id="rId325" ref="J277"/>
    <hyperlink r:id="rId326" ref="J278"/>
    <hyperlink r:id="rId327" ref="J279"/>
    <hyperlink r:id="rId328" ref="J280"/>
    <hyperlink r:id="rId329" ref="J281"/>
    <hyperlink r:id="rId330" ref="J282"/>
    <hyperlink r:id="rId331" ref="J283"/>
    <hyperlink r:id="rId332" ref="J284"/>
    <hyperlink r:id="rId333" ref="J285"/>
    <hyperlink r:id="rId334" ref="J286"/>
    <hyperlink r:id="rId335" ref="J287"/>
  </hyperlinks>
  <drawing r:id="rId33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152" t="s">
        <v>75</v>
      </c>
      <c r="D2" s="153" t="s">
        <v>76</v>
      </c>
      <c r="E2" s="153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185" si="1">COUNTA($I$3:$I3)</f>
        <v>1</v>
      </c>
      <c r="B3" s="212" t="s">
        <v>41</v>
      </c>
      <c r="C3" s="225" t="s">
        <v>164</v>
      </c>
      <c r="D3" s="212"/>
      <c r="E3" s="212"/>
      <c r="F3" s="212" t="s">
        <v>613</v>
      </c>
      <c r="G3" s="213"/>
      <c r="H3" s="213" t="s">
        <v>1938</v>
      </c>
      <c r="I3" s="213" t="s">
        <v>1939</v>
      </c>
      <c r="J3" s="214" t="s">
        <v>1940</v>
      </c>
      <c r="K3" s="215" t="s">
        <v>34</v>
      </c>
      <c r="L3" s="253" t="s">
        <v>1373</v>
      </c>
      <c r="M3" s="217" t="s">
        <v>1941</v>
      </c>
      <c r="N3" s="217"/>
      <c r="O3" s="210"/>
    </row>
    <row r="4">
      <c r="A4" s="212">
        <f t="shared" si="1"/>
        <v>2</v>
      </c>
      <c r="B4" s="212"/>
      <c r="C4" s="220"/>
      <c r="D4" s="225" t="s">
        <v>1942</v>
      </c>
      <c r="E4" s="212"/>
      <c r="F4" s="212" t="s">
        <v>613</v>
      </c>
      <c r="G4" s="217"/>
      <c r="H4" s="213" t="s">
        <v>1943</v>
      </c>
      <c r="I4" s="213" t="s">
        <v>1944</v>
      </c>
      <c r="J4" s="214" t="s">
        <v>1940</v>
      </c>
      <c r="K4" s="215" t="s">
        <v>33</v>
      </c>
      <c r="L4" s="216"/>
      <c r="M4" s="216"/>
      <c r="N4" s="217"/>
      <c r="O4" s="210"/>
    </row>
    <row r="5">
      <c r="A5" s="212">
        <f t="shared" si="1"/>
        <v>3</v>
      </c>
      <c r="B5" s="212"/>
      <c r="C5" s="220"/>
      <c r="D5" s="220"/>
      <c r="E5" s="212"/>
      <c r="F5" s="212" t="s">
        <v>1945</v>
      </c>
      <c r="G5" s="217" t="s">
        <v>1946</v>
      </c>
      <c r="H5" s="213" t="s">
        <v>1947</v>
      </c>
      <c r="I5" s="213" t="s">
        <v>1948</v>
      </c>
      <c r="J5" s="260" t="s">
        <v>92</v>
      </c>
      <c r="K5" s="215" t="s">
        <v>33</v>
      </c>
      <c r="L5" s="216"/>
      <c r="M5" s="217" t="s">
        <v>1949</v>
      </c>
      <c r="N5" s="217"/>
      <c r="O5" s="210"/>
    </row>
    <row r="6">
      <c r="A6" s="212">
        <f t="shared" si="1"/>
        <v>4</v>
      </c>
      <c r="B6" s="212"/>
      <c r="C6" s="220"/>
      <c r="D6" s="220"/>
      <c r="E6" s="212"/>
      <c r="F6" s="212" t="s">
        <v>1945</v>
      </c>
      <c r="G6" s="217" t="s">
        <v>1950</v>
      </c>
      <c r="H6" s="213" t="s">
        <v>1162</v>
      </c>
      <c r="I6" s="213" t="s">
        <v>1951</v>
      </c>
      <c r="J6" s="260" t="s">
        <v>92</v>
      </c>
      <c r="K6" s="215" t="s">
        <v>33</v>
      </c>
      <c r="L6" s="216"/>
      <c r="M6" s="217" t="s">
        <v>1949</v>
      </c>
      <c r="N6" s="217"/>
      <c r="O6" s="210"/>
    </row>
    <row r="7">
      <c r="A7" s="212">
        <f t="shared" si="1"/>
        <v>5</v>
      </c>
      <c r="B7" s="212"/>
      <c r="C7" s="220"/>
      <c r="D7" s="39"/>
      <c r="E7" s="212"/>
      <c r="F7" s="212" t="s">
        <v>1945</v>
      </c>
      <c r="G7" s="217" t="s">
        <v>1950</v>
      </c>
      <c r="H7" s="213" t="s">
        <v>1952</v>
      </c>
      <c r="I7" s="213" t="s">
        <v>1953</v>
      </c>
      <c r="J7" s="260" t="s">
        <v>92</v>
      </c>
      <c r="K7" s="215" t="s">
        <v>33</v>
      </c>
      <c r="L7" s="216"/>
      <c r="M7" s="217" t="s">
        <v>1949</v>
      </c>
      <c r="N7" s="217"/>
      <c r="O7" s="210"/>
    </row>
    <row r="8">
      <c r="A8" s="212">
        <f t="shared" si="1"/>
        <v>6</v>
      </c>
      <c r="B8" s="212"/>
      <c r="C8" s="220"/>
      <c r="D8" s="225" t="s">
        <v>1190</v>
      </c>
      <c r="E8" s="212"/>
      <c r="F8" s="212" t="s">
        <v>613</v>
      </c>
      <c r="G8" s="217"/>
      <c r="H8" s="213" t="s">
        <v>698</v>
      </c>
      <c r="I8" s="213" t="s">
        <v>1954</v>
      </c>
      <c r="J8" s="214" t="s">
        <v>1940</v>
      </c>
      <c r="K8" s="215" t="s">
        <v>33</v>
      </c>
      <c r="L8" s="216"/>
      <c r="M8" s="216"/>
      <c r="N8" s="217"/>
      <c r="O8" s="210"/>
    </row>
    <row r="9">
      <c r="A9" s="212">
        <f t="shared" si="1"/>
        <v>7</v>
      </c>
      <c r="B9" s="212"/>
      <c r="C9" s="220"/>
      <c r="D9" s="220"/>
      <c r="E9" s="212"/>
      <c r="F9" s="212" t="s">
        <v>1955</v>
      </c>
      <c r="G9" s="216"/>
      <c r="H9" s="213" t="s">
        <v>1956</v>
      </c>
      <c r="I9" s="217" t="s">
        <v>1957</v>
      </c>
      <c r="J9" s="214" t="s">
        <v>1940</v>
      </c>
      <c r="K9" s="215" t="s">
        <v>33</v>
      </c>
      <c r="L9" s="224"/>
      <c r="M9" s="224"/>
      <c r="N9" s="217"/>
      <c r="O9" s="210"/>
    </row>
    <row r="10">
      <c r="A10" s="212">
        <f t="shared" si="1"/>
        <v>8</v>
      </c>
      <c r="B10" s="212"/>
      <c r="C10" s="220"/>
      <c r="D10" s="220"/>
      <c r="E10" s="212"/>
      <c r="F10" s="212" t="s">
        <v>1955</v>
      </c>
      <c r="G10" s="217"/>
      <c r="H10" s="213" t="s">
        <v>1958</v>
      </c>
      <c r="I10" s="217" t="s">
        <v>1959</v>
      </c>
      <c r="J10" s="214" t="s">
        <v>1940</v>
      </c>
      <c r="K10" s="215" t="s">
        <v>33</v>
      </c>
      <c r="L10" s="226"/>
      <c r="M10" s="224"/>
      <c r="N10" s="217"/>
      <c r="O10" s="210"/>
    </row>
    <row r="11">
      <c r="A11" s="212">
        <f t="shared" si="1"/>
        <v>9</v>
      </c>
      <c r="B11" s="212"/>
      <c r="C11" s="220"/>
      <c r="D11" s="220"/>
      <c r="E11" s="212"/>
      <c r="F11" s="212" t="s">
        <v>1960</v>
      </c>
      <c r="G11" s="217"/>
      <c r="H11" s="213" t="s">
        <v>1961</v>
      </c>
      <c r="I11" s="217" t="s">
        <v>1962</v>
      </c>
      <c r="J11" s="214" t="s">
        <v>1940</v>
      </c>
      <c r="K11" s="215" t="s">
        <v>33</v>
      </c>
      <c r="L11" s="226"/>
      <c r="M11" s="224"/>
      <c r="N11" s="217"/>
      <c r="O11" s="210"/>
    </row>
    <row r="12">
      <c r="A12" s="212">
        <f t="shared" si="1"/>
        <v>10</v>
      </c>
      <c r="B12" s="228"/>
      <c r="C12" s="220"/>
      <c r="D12" s="220"/>
      <c r="E12" s="212"/>
      <c r="F12" s="212" t="s">
        <v>1960</v>
      </c>
      <c r="G12" s="227" t="s">
        <v>1963</v>
      </c>
      <c r="H12" s="213" t="s">
        <v>1964</v>
      </c>
      <c r="I12" s="217" t="s">
        <v>1965</v>
      </c>
      <c r="J12" s="214" t="s">
        <v>1940</v>
      </c>
      <c r="K12" s="215" t="s">
        <v>33</v>
      </c>
      <c r="L12" s="224"/>
      <c r="M12" s="224"/>
      <c r="N12" s="217"/>
      <c r="O12" s="210"/>
    </row>
    <row r="13">
      <c r="A13" s="212">
        <f t="shared" si="1"/>
        <v>11</v>
      </c>
      <c r="B13" s="228"/>
      <c r="C13" s="220"/>
      <c r="D13" s="220"/>
      <c r="E13" s="212"/>
      <c r="F13" s="212" t="s">
        <v>1966</v>
      </c>
      <c r="G13" s="217"/>
      <c r="H13" s="213" t="s">
        <v>1967</v>
      </c>
      <c r="I13" s="217" t="s">
        <v>1968</v>
      </c>
      <c r="J13" s="214" t="s">
        <v>1940</v>
      </c>
      <c r="K13" s="215" t="s">
        <v>33</v>
      </c>
      <c r="L13" s="224"/>
      <c r="M13" s="224"/>
      <c r="N13" s="217"/>
      <c r="O13" s="210"/>
    </row>
    <row r="14">
      <c r="A14" s="212">
        <f t="shared" si="1"/>
        <v>12</v>
      </c>
      <c r="B14" s="228"/>
      <c r="C14" s="220"/>
      <c r="D14" s="220"/>
      <c r="E14" s="212"/>
      <c r="F14" s="212" t="s">
        <v>1966</v>
      </c>
      <c r="G14" s="224"/>
      <c r="H14" s="213" t="s">
        <v>1969</v>
      </c>
      <c r="I14" s="217" t="s">
        <v>1970</v>
      </c>
      <c r="J14" s="214" t="s">
        <v>1940</v>
      </c>
      <c r="K14" s="215" t="s">
        <v>33</v>
      </c>
      <c r="L14" s="253" t="s">
        <v>1971</v>
      </c>
      <c r="M14" s="227" t="s">
        <v>1972</v>
      </c>
      <c r="N14" s="217"/>
      <c r="O14" s="210"/>
    </row>
    <row r="15">
      <c r="A15" s="212">
        <f t="shared" si="1"/>
        <v>13</v>
      </c>
      <c r="B15" s="228"/>
      <c r="C15" s="220"/>
      <c r="D15" s="220"/>
      <c r="E15" s="212"/>
      <c r="F15" s="212" t="s">
        <v>1973</v>
      </c>
      <c r="G15" s="227"/>
      <c r="H15" s="213" t="s">
        <v>1974</v>
      </c>
      <c r="I15" s="227" t="s">
        <v>1975</v>
      </c>
      <c r="J15" s="214" t="s">
        <v>1940</v>
      </c>
      <c r="K15" s="215" t="s">
        <v>33</v>
      </c>
      <c r="L15" s="224"/>
      <c r="M15" s="224"/>
      <c r="N15" s="217"/>
      <c r="O15" s="210"/>
    </row>
    <row r="16">
      <c r="A16" s="212">
        <f t="shared" si="1"/>
        <v>14</v>
      </c>
      <c r="B16" s="228"/>
      <c r="C16" s="220"/>
      <c r="D16" s="39"/>
      <c r="E16" s="212"/>
      <c r="F16" s="212" t="s">
        <v>1976</v>
      </c>
      <c r="G16" s="227"/>
      <c r="H16" s="213" t="s">
        <v>1977</v>
      </c>
      <c r="I16" s="227" t="s">
        <v>1978</v>
      </c>
      <c r="J16" s="214" t="s">
        <v>1940</v>
      </c>
      <c r="K16" s="215" t="s">
        <v>33</v>
      </c>
      <c r="L16" s="224"/>
      <c r="M16" s="224"/>
      <c r="N16" s="217"/>
      <c r="O16" s="210"/>
    </row>
    <row r="17">
      <c r="A17" s="212">
        <f t="shared" si="1"/>
        <v>15</v>
      </c>
      <c r="B17" s="228"/>
      <c r="C17" s="220"/>
      <c r="D17" s="225" t="s">
        <v>1979</v>
      </c>
      <c r="E17" s="212"/>
      <c r="F17" s="212" t="s">
        <v>613</v>
      </c>
      <c r="G17" s="227"/>
      <c r="H17" s="227" t="s">
        <v>1980</v>
      </c>
      <c r="I17" s="227" t="s">
        <v>1981</v>
      </c>
      <c r="J17" s="214" t="s">
        <v>1940</v>
      </c>
      <c r="K17" s="215" t="s">
        <v>33</v>
      </c>
      <c r="L17" s="224"/>
      <c r="M17" s="224"/>
      <c r="N17" s="217"/>
      <c r="O17" s="210"/>
    </row>
    <row r="18">
      <c r="A18" s="212">
        <f t="shared" si="1"/>
        <v>16</v>
      </c>
      <c r="B18" s="228"/>
      <c r="C18" s="220"/>
      <c r="D18" s="220"/>
      <c r="E18" s="212"/>
      <c r="F18" s="212" t="s">
        <v>613</v>
      </c>
      <c r="G18" s="227"/>
      <c r="H18" s="227" t="s">
        <v>1982</v>
      </c>
      <c r="I18" s="227" t="s">
        <v>1983</v>
      </c>
      <c r="J18" s="214" t="s">
        <v>1940</v>
      </c>
      <c r="K18" s="215" t="s">
        <v>33</v>
      </c>
      <c r="L18" s="224"/>
      <c r="M18" s="224"/>
      <c r="N18" s="217"/>
      <c r="O18" s="210"/>
    </row>
    <row r="19">
      <c r="A19" s="212">
        <f t="shared" si="1"/>
        <v>17</v>
      </c>
      <c r="B19" s="228"/>
      <c r="C19" s="220"/>
      <c r="D19" s="220"/>
      <c r="E19" s="212"/>
      <c r="F19" s="212" t="s">
        <v>613</v>
      </c>
      <c r="G19" s="227"/>
      <c r="H19" s="227" t="s">
        <v>1984</v>
      </c>
      <c r="I19" s="227" t="s">
        <v>1985</v>
      </c>
      <c r="J19" s="214" t="s">
        <v>1940</v>
      </c>
      <c r="K19" s="215" t="s">
        <v>33</v>
      </c>
      <c r="L19" s="224"/>
      <c r="M19" s="224"/>
      <c r="N19" s="217"/>
      <c r="O19" s="210"/>
    </row>
    <row r="20">
      <c r="A20" s="212">
        <f t="shared" si="1"/>
        <v>18</v>
      </c>
      <c r="B20" s="228"/>
      <c r="C20" s="220"/>
      <c r="D20" s="220"/>
      <c r="E20" s="225" t="s">
        <v>1986</v>
      </c>
      <c r="F20" s="212" t="s">
        <v>1945</v>
      </c>
      <c r="G20" s="227"/>
      <c r="H20" s="227" t="s">
        <v>1987</v>
      </c>
      <c r="I20" s="227" t="s">
        <v>1988</v>
      </c>
      <c r="J20" s="214" t="s">
        <v>1940</v>
      </c>
      <c r="K20" s="215" t="s">
        <v>33</v>
      </c>
      <c r="L20" s="224"/>
      <c r="M20" s="224"/>
      <c r="N20" s="217"/>
      <c r="O20" s="210"/>
    </row>
    <row r="21">
      <c r="A21" s="212">
        <f t="shared" si="1"/>
        <v>19</v>
      </c>
      <c r="B21" s="228"/>
      <c r="C21" s="220"/>
      <c r="D21" s="220"/>
      <c r="E21" s="220"/>
      <c r="F21" s="212" t="s">
        <v>613</v>
      </c>
      <c r="G21" s="227" t="s">
        <v>1989</v>
      </c>
      <c r="H21" s="227" t="s">
        <v>1990</v>
      </c>
      <c r="I21" s="227" t="s">
        <v>1991</v>
      </c>
      <c r="J21" s="214" t="s">
        <v>1940</v>
      </c>
      <c r="K21" s="215" t="s">
        <v>33</v>
      </c>
      <c r="L21" s="226"/>
      <c r="M21" s="224"/>
      <c r="N21" s="217"/>
      <c r="O21" s="210"/>
    </row>
    <row r="22">
      <c r="A22" s="212">
        <f t="shared" si="1"/>
        <v>20</v>
      </c>
      <c r="B22" s="228"/>
      <c r="C22" s="220"/>
      <c r="D22" s="220"/>
      <c r="E22" s="220"/>
      <c r="F22" s="212" t="s">
        <v>613</v>
      </c>
      <c r="G22" s="227"/>
      <c r="H22" s="227" t="s">
        <v>1992</v>
      </c>
      <c r="I22" s="227" t="s">
        <v>1993</v>
      </c>
      <c r="J22" s="214" t="s">
        <v>1940</v>
      </c>
      <c r="K22" s="215" t="s">
        <v>33</v>
      </c>
      <c r="L22" s="226"/>
      <c r="M22" s="224"/>
      <c r="N22" s="217"/>
      <c r="O22" s="210"/>
    </row>
    <row r="23">
      <c r="A23" s="212">
        <f t="shared" si="1"/>
        <v>21</v>
      </c>
      <c r="B23" s="228"/>
      <c r="C23" s="220"/>
      <c r="D23" s="220"/>
      <c r="E23" s="220"/>
      <c r="F23" s="212" t="s">
        <v>1945</v>
      </c>
      <c r="G23" s="227"/>
      <c r="H23" s="227" t="s">
        <v>1994</v>
      </c>
      <c r="I23" s="227" t="s">
        <v>1995</v>
      </c>
      <c r="J23" s="214" t="s">
        <v>1940</v>
      </c>
      <c r="K23" s="215" t="s">
        <v>33</v>
      </c>
      <c r="L23" s="226"/>
      <c r="M23" s="224"/>
      <c r="N23" s="217"/>
      <c r="O23" s="210"/>
    </row>
    <row r="24">
      <c r="A24" s="212">
        <f t="shared" si="1"/>
        <v>22</v>
      </c>
      <c r="B24" s="228"/>
      <c r="C24" s="220"/>
      <c r="D24" s="220"/>
      <c r="E24" s="220"/>
      <c r="F24" s="212" t="s">
        <v>1945</v>
      </c>
      <c r="G24" s="227"/>
      <c r="H24" s="227" t="s">
        <v>1996</v>
      </c>
      <c r="I24" s="227" t="s">
        <v>1997</v>
      </c>
      <c r="J24" s="214" t="s">
        <v>1940</v>
      </c>
      <c r="K24" s="215" t="s">
        <v>33</v>
      </c>
      <c r="L24" s="226"/>
      <c r="M24" s="224"/>
      <c r="N24" s="217"/>
      <c r="O24" s="210"/>
    </row>
    <row r="25">
      <c r="A25" s="212">
        <f t="shared" si="1"/>
        <v>23</v>
      </c>
      <c r="B25" s="228"/>
      <c r="C25" s="220"/>
      <c r="D25" s="220"/>
      <c r="E25" s="39"/>
      <c r="F25" s="212" t="s">
        <v>1945</v>
      </c>
      <c r="G25" s="227" t="s">
        <v>1989</v>
      </c>
      <c r="H25" s="227" t="s">
        <v>1998</v>
      </c>
      <c r="I25" s="227" t="s">
        <v>1951</v>
      </c>
      <c r="J25" s="214" t="s">
        <v>1940</v>
      </c>
      <c r="K25" s="215" t="s">
        <v>33</v>
      </c>
      <c r="L25" s="226"/>
      <c r="M25" s="224"/>
      <c r="N25" s="217"/>
      <c r="O25" s="210"/>
    </row>
    <row r="26">
      <c r="A26" s="212">
        <f t="shared" si="1"/>
        <v>24</v>
      </c>
      <c r="B26" s="228"/>
      <c r="C26" s="220"/>
      <c r="D26" s="220"/>
      <c r="E26" s="225" t="s">
        <v>1999</v>
      </c>
      <c r="F26" s="212" t="s">
        <v>613</v>
      </c>
      <c r="G26" s="227" t="s">
        <v>1989</v>
      </c>
      <c r="H26" s="227" t="s">
        <v>2000</v>
      </c>
      <c r="I26" s="227" t="s">
        <v>2001</v>
      </c>
      <c r="J26" s="214" t="s">
        <v>1940</v>
      </c>
      <c r="K26" s="215" t="s">
        <v>34</v>
      </c>
      <c r="L26" s="253" t="s">
        <v>1373</v>
      </c>
      <c r="M26" s="227" t="s">
        <v>2002</v>
      </c>
      <c r="N26" s="217"/>
      <c r="O26" s="210"/>
    </row>
    <row r="27">
      <c r="A27" s="212">
        <f t="shared" si="1"/>
        <v>25</v>
      </c>
      <c r="B27" s="228"/>
      <c r="C27" s="220"/>
      <c r="D27" s="220"/>
      <c r="E27" s="220"/>
      <c r="F27" s="212" t="s">
        <v>2003</v>
      </c>
      <c r="G27" s="227" t="s">
        <v>1989</v>
      </c>
      <c r="H27" s="227" t="s">
        <v>2004</v>
      </c>
      <c r="I27" s="227" t="s">
        <v>2005</v>
      </c>
      <c r="J27" s="214" t="s">
        <v>1940</v>
      </c>
      <c r="K27" s="215" t="s">
        <v>33</v>
      </c>
      <c r="L27" s="240" t="s">
        <v>2006</v>
      </c>
      <c r="M27" s="227" t="s">
        <v>2007</v>
      </c>
      <c r="N27" s="217"/>
      <c r="O27" s="210"/>
    </row>
    <row r="28">
      <c r="A28" s="212">
        <f t="shared" si="1"/>
        <v>26</v>
      </c>
      <c r="B28" s="228"/>
      <c r="C28" s="220"/>
      <c r="D28" s="220"/>
      <c r="E28" s="220"/>
      <c r="F28" s="212" t="s">
        <v>2008</v>
      </c>
      <c r="G28" s="227" t="s">
        <v>1989</v>
      </c>
      <c r="H28" s="227" t="s">
        <v>2009</v>
      </c>
      <c r="I28" s="227" t="s">
        <v>2010</v>
      </c>
      <c r="J28" s="214" t="s">
        <v>1940</v>
      </c>
      <c r="K28" s="215" t="s">
        <v>33</v>
      </c>
      <c r="L28" s="240" t="s">
        <v>2006</v>
      </c>
      <c r="M28" s="227" t="s">
        <v>2007</v>
      </c>
      <c r="N28" s="217"/>
      <c r="O28" s="210"/>
    </row>
    <row r="29">
      <c r="A29" s="212">
        <f t="shared" si="1"/>
        <v>27</v>
      </c>
      <c r="B29" s="228"/>
      <c r="C29" s="220"/>
      <c r="D29" s="220"/>
      <c r="E29" s="220"/>
      <c r="F29" s="212" t="s">
        <v>2011</v>
      </c>
      <c r="G29" s="227" t="s">
        <v>1989</v>
      </c>
      <c r="H29" s="227" t="s">
        <v>2012</v>
      </c>
      <c r="I29" s="227" t="s">
        <v>2013</v>
      </c>
      <c r="J29" s="214" t="s">
        <v>1940</v>
      </c>
      <c r="K29" s="215" t="s">
        <v>33</v>
      </c>
      <c r="L29" s="224"/>
      <c r="M29" s="224"/>
      <c r="N29" s="217"/>
      <c r="O29" s="210"/>
    </row>
    <row r="30">
      <c r="A30" s="212">
        <f t="shared" si="1"/>
        <v>28</v>
      </c>
      <c r="B30" s="228"/>
      <c r="C30" s="220"/>
      <c r="D30" s="220"/>
      <c r="E30" s="220"/>
      <c r="F30" s="212" t="s">
        <v>2011</v>
      </c>
      <c r="G30" s="227" t="s">
        <v>2014</v>
      </c>
      <c r="H30" s="227" t="s">
        <v>2015</v>
      </c>
      <c r="I30" s="227" t="s">
        <v>2016</v>
      </c>
      <c r="J30" s="214" t="s">
        <v>1940</v>
      </c>
      <c r="K30" s="215" t="s">
        <v>33</v>
      </c>
      <c r="L30" s="240" t="s">
        <v>2017</v>
      </c>
      <c r="M30" s="227" t="s">
        <v>2018</v>
      </c>
      <c r="N30" s="217"/>
      <c r="O30" s="210"/>
    </row>
    <row r="31">
      <c r="A31" s="212">
        <f t="shared" si="1"/>
        <v>29</v>
      </c>
      <c r="B31" s="228"/>
      <c r="C31" s="220"/>
      <c r="D31" s="220"/>
      <c r="E31" s="39"/>
      <c r="F31" s="212" t="s">
        <v>2019</v>
      </c>
      <c r="G31" s="227" t="s">
        <v>1989</v>
      </c>
      <c r="H31" s="227" t="s">
        <v>2020</v>
      </c>
      <c r="I31" s="227" t="s">
        <v>2021</v>
      </c>
      <c r="J31" s="214" t="s">
        <v>1940</v>
      </c>
      <c r="K31" s="215" t="s">
        <v>33</v>
      </c>
      <c r="L31" s="224"/>
      <c r="M31" s="224"/>
      <c r="N31" s="217"/>
      <c r="O31" s="210"/>
    </row>
    <row r="32">
      <c r="A32" s="212">
        <f t="shared" si="1"/>
        <v>30</v>
      </c>
      <c r="B32" s="261"/>
      <c r="C32" s="220"/>
      <c r="D32" s="220"/>
      <c r="E32" s="225" t="s">
        <v>2022</v>
      </c>
      <c r="F32" s="212" t="s">
        <v>2023</v>
      </c>
      <c r="G32" s="224"/>
      <c r="H32" s="227" t="s">
        <v>2024</v>
      </c>
      <c r="I32" s="213" t="s">
        <v>2025</v>
      </c>
      <c r="J32" s="260" t="s">
        <v>92</v>
      </c>
      <c r="K32" s="215" t="s">
        <v>33</v>
      </c>
      <c r="L32" s="224"/>
      <c r="M32" s="227" t="s">
        <v>1949</v>
      </c>
      <c r="N32" s="217"/>
      <c r="O32" s="210"/>
    </row>
    <row r="33">
      <c r="A33" s="212">
        <f t="shared" si="1"/>
        <v>31</v>
      </c>
      <c r="B33" s="261"/>
      <c r="C33" s="220"/>
      <c r="D33" s="220"/>
      <c r="E33" s="262"/>
      <c r="F33" s="212" t="s">
        <v>2023</v>
      </c>
      <c r="G33" s="227" t="s">
        <v>2026</v>
      </c>
      <c r="H33" s="227" t="s">
        <v>1998</v>
      </c>
      <c r="I33" s="213" t="s">
        <v>2027</v>
      </c>
      <c r="J33" s="242"/>
      <c r="K33" s="215" t="s">
        <v>33</v>
      </c>
      <c r="L33" s="224"/>
      <c r="M33" s="224"/>
      <c r="N33" s="217"/>
      <c r="O33" s="210"/>
    </row>
    <row r="34">
      <c r="A34" s="212">
        <f t="shared" si="1"/>
        <v>32</v>
      </c>
      <c r="B34" s="261"/>
      <c r="C34" s="220"/>
      <c r="D34" s="220"/>
      <c r="E34" s="262"/>
      <c r="F34" s="212" t="s">
        <v>2023</v>
      </c>
      <c r="G34" s="227"/>
      <c r="H34" s="227" t="s">
        <v>2028</v>
      </c>
      <c r="I34" s="213" t="s">
        <v>2029</v>
      </c>
      <c r="J34" s="214" t="s">
        <v>1940</v>
      </c>
      <c r="K34" s="215" t="s">
        <v>33</v>
      </c>
      <c r="L34" s="224"/>
      <c r="M34" s="224"/>
      <c r="N34" s="217"/>
      <c r="O34" s="210"/>
    </row>
    <row r="35">
      <c r="A35" s="212">
        <f t="shared" si="1"/>
        <v>33</v>
      </c>
      <c r="B35" s="261"/>
      <c r="C35" s="220"/>
      <c r="D35" s="220"/>
      <c r="E35" s="262"/>
      <c r="F35" s="212" t="s">
        <v>2023</v>
      </c>
      <c r="G35" s="227" t="s">
        <v>2030</v>
      </c>
      <c r="H35" s="227" t="s">
        <v>1162</v>
      </c>
      <c r="I35" s="227" t="s">
        <v>2027</v>
      </c>
      <c r="J35" s="214" t="s">
        <v>1940</v>
      </c>
      <c r="K35" s="215" t="s">
        <v>33</v>
      </c>
      <c r="L35" s="224"/>
      <c r="M35" s="224"/>
      <c r="N35" s="217"/>
      <c r="O35" s="210"/>
    </row>
    <row r="36">
      <c r="A36" s="212">
        <f t="shared" si="1"/>
        <v>34</v>
      </c>
      <c r="B36" s="261"/>
      <c r="C36" s="220"/>
      <c r="D36" s="220"/>
      <c r="E36" s="262"/>
      <c r="F36" s="212" t="s">
        <v>2023</v>
      </c>
      <c r="G36" s="227" t="s">
        <v>2030</v>
      </c>
      <c r="H36" s="227" t="s">
        <v>2031</v>
      </c>
      <c r="I36" s="213" t="s">
        <v>2032</v>
      </c>
      <c r="J36" s="214" t="s">
        <v>1940</v>
      </c>
      <c r="K36" s="215" t="s">
        <v>33</v>
      </c>
      <c r="L36" s="224"/>
      <c r="M36" s="224"/>
      <c r="N36" s="217"/>
      <c r="O36" s="210"/>
    </row>
    <row r="37">
      <c r="A37" s="212">
        <f t="shared" si="1"/>
        <v>35</v>
      </c>
      <c r="B37" s="261"/>
      <c r="C37" s="220"/>
      <c r="D37" s="220"/>
      <c r="E37" s="262"/>
      <c r="F37" s="212" t="s">
        <v>2033</v>
      </c>
      <c r="G37" s="217"/>
      <c r="H37" s="213" t="s">
        <v>2034</v>
      </c>
      <c r="I37" s="217" t="s">
        <v>2035</v>
      </c>
      <c r="J37" s="214" t="s">
        <v>1940</v>
      </c>
      <c r="K37" s="215" t="s">
        <v>33</v>
      </c>
      <c r="L37" s="240" t="s">
        <v>2036</v>
      </c>
      <c r="M37" s="227" t="s">
        <v>2037</v>
      </c>
      <c r="N37" s="217"/>
      <c r="O37" s="210"/>
    </row>
    <row r="38">
      <c r="A38" s="212">
        <f t="shared" si="1"/>
        <v>36</v>
      </c>
      <c r="B38" s="261"/>
      <c r="C38" s="220"/>
      <c r="D38" s="220"/>
      <c r="E38" s="262"/>
      <c r="F38" s="212" t="s">
        <v>2033</v>
      </c>
      <c r="G38" s="227" t="s">
        <v>2030</v>
      </c>
      <c r="H38" s="227" t="s">
        <v>1162</v>
      </c>
      <c r="I38" s="227" t="s">
        <v>2027</v>
      </c>
      <c r="J38" s="214" t="s">
        <v>1940</v>
      </c>
      <c r="K38" s="215" t="s">
        <v>33</v>
      </c>
      <c r="L38" s="224"/>
      <c r="M38" s="224"/>
      <c r="N38" s="217"/>
      <c r="O38" s="210"/>
    </row>
    <row r="39">
      <c r="A39" s="212">
        <f t="shared" si="1"/>
        <v>37</v>
      </c>
      <c r="B39" s="261"/>
      <c r="C39" s="220"/>
      <c r="D39" s="220"/>
      <c r="E39" s="262"/>
      <c r="F39" s="212" t="s">
        <v>2033</v>
      </c>
      <c r="G39" s="227" t="s">
        <v>2030</v>
      </c>
      <c r="H39" s="227" t="s">
        <v>2038</v>
      </c>
      <c r="I39" s="213" t="s">
        <v>2032</v>
      </c>
      <c r="J39" s="214" t="s">
        <v>1940</v>
      </c>
      <c r="K39" s="215" t="s">
        <v>33</v>
      </c>
      <c r="L39" s="224"/>
      <c r="M39" s="224"/>
      <c r="N39" s="217"/>
      <c r="O39" s="210"/>
    </row>
    <row r="40">
      <c r="A40" s="212">
        <f t="shared" si="1"/>
        <v>38</v>
      </c>
      <c r="B40" s="261"/>
      <c r="C40" s="220"/>
      <c r="D40" s="220"/>
      <c r="E40" s="262"/>
      <c r="F40" s="212" t="s">
        <v>2033</v>
      </c>
      <c r="G40" s="217" t="s">
        <v>2039</v>
      </c>
      <c r="H40" s="213" t="s">
        <v>2040</v>
      </c>
      <c r="I40" s="217" t="s">
        <v>2041</v>
      </c>
      <c r="J40" s="214" t="s">
        <v>1940</v>
      </c>
      <c r="K40" s="215" t="s">
        <v>33</v>
      </c>
      <c r="L40" s="224"/>
      <c r="M40" s="224"/>
      <c r="N40" s="217"/>
      <c r="O40" s="210"/>
    </row>
    <row r="41">
      <c r="A41" s="212">
        <f t="shared" si="1"/>
        <v>39</v>
      </c>
      <c r="B41" s="261"/>
      <c r="C41" s="220"/>
      <c r="D41" s="220"/>
      <c r="E41" s="262"/>
      <c r="F41" s="212" t="s">
        <v>2033</v>
      </c>
      <c r="G41" s="217" t="s">
        <v>2039</v>
      </c>
      <c r="H41" s="213" t="s">
        <v>2042</v>
      </c>
      <c r="I41" s="217" t="s">
        <v>2043</v>
      </c>
      <c r="J41" s="214" t="s">
        <v>1940</v>
      </c>
      <c r="K41" s="215" t="s">
        <v>33</v>
      </c>
      <c r="L41" s="224"/>
      <c r="M41" s="224"/>
      <c r="N41" s="217"/>
      <c r="O41" s="210"/>
    </row>
    <row r="42">
      <c r="A42" s="212">
        <f t="shared" si="1"/>
        <v>40</v>
      </c>
      <c r="B42" s="261"/>
      <c r="C42" s="220"/>
      <c r="D42" s="220"/>
      <c r="E42" s="262"/>
      <c r="F42" s="212" t="s">
        <v>2033</v>
      </c>
      <c r="G42" s="217" t="s">
        <v>2039</v>
      </c>
      <c r="H42" s="213" t="s">
        <v>2044</v>
      </c>
      <c r="I42" s="217" t="s">
        <v>2045</v>
      </c>
      <c r="J42" s="214" t="s">
        <v>1940</v>
      </c>
      <c r="K42" s="215" t="s">
        <v>33</v>
      </c>
      <c r="L42" s="240" t="s">
        <v>2046</v>
      </c>
      <c r="M42" s="227" t="s">
        <v>2047</v>
      </c>
      <c r="N42" s="217"/>
      <c r="O42" s="210"/>
    </row>
    <row r="43">
      <c r="A43" s="212">
        <f t="shared" si="1"/>
        <v>41</v>
      </c>
      <c r="B43" s="261"/>
      <c r="C43" s="220"/>
      <c r="D43" s="220"/>
      <c r="E43" s="262"/>
      <c r="F43" s="212" t="s">
        <v>2033</v>
      </c>
      <c r="G43" s="217" t="s">
        <v>2048</v>
      </c>
      <c r="H43" s="213" t="s">
        <v>2049</v>
      </c>
      <c r="I43" s="217" t="s">
        <v>2050</v>
      </c>
      <c r="J43" s="214" t="s">
        <v>1940</v>
      </c>
      <c r="K43" s="215" t="s">
        <v>33</v>
      </c>
      <c r="L43" s="240" t="s">
        <v>2046</v>
      </c>
      <c r="M43" s="227" t="s">
        <v>2047</v>
      </c>
      <c r="N43" s="217"/>
      <c r="O43" s="210"/>
    </row>
    <row r="44">
      <c r="A44" s="212">
        <f t="shared" si="1"/>
        <v>42</v>
      </c>
      <c r="B44" s="261"/>
      <c r="C44" s="220"/>
      <c r="D44" s="220"/>
      <c r="E44" s="262"/>
      <c r="F44" s="212" t="s">
        <v>2033</v>
      </c>
      <c r="G44" s="217" t="s">
        <v>2048</v>
      </c>
      <c r="H44" s="213" t="s">
        <v>2051</v>
      </c>
      <c r="I44" s="217" t="s">
        <v>2052</v>
      </c>
      <c r="J44" s="214" t="s">
        <v>1940</v>
      </c>
      <c r="K44" s="215" t="s">
        <v>33</v>
      </c>
      <c r="L44" s="240" t="s">
        <v>2046</v>
      </c>
      <c r="M44" s="227" t="s">
        <v>2047</v>
      </c>
      <c r="N44" s="217"/>
      <c r="O44" s="210"/>
    </row>
    <row r="45">
      <c r="A45" s="212">
        <f t="shared" si="1"/>
        <v>43</v>
      </c>
      <c r="B45" s="261"/>
      <c r="C45" s="220"/>
      <c r="D45" s="220"/>
      <c r="E45" s="262"/>
      <c r="F45" s="212" t="s">
        <v>2033</v>
      </c>
      <c r="G45" s="217"/>
      <c r="H45" s="213" t="s">
        <v>2053</v>
      </c>
      <c r="I45" s="217" t="s">
        <v>2054</v>
      </c>
      <c r="J45" s="214" t="s">
        <v>1940</v>
      </c>
      <c r="K45" s="215" t="s">
        <v>33</v>
      </c>
      <c r="L45" s="224"/>
      <c r="M45" s="224"/>
      <c r="N45" s="217"/>
      <c r="O45" s="210"/>
    </row>
    <row r="46">
      <c r="A46" s="212">
        <f t="shared" si="1"/>
        <v>44</v>
      </c>
      <c r="B46" s="261"/>
      <c r="C46" s="220"/>
      <c r="D46" s="220"/>
      <c r="E46" s="262"/>
      <c r="F46" s="212" t="s">
        <v>2033</v>
      </c>
      <c r="G46" s="227" t="s">
        <v>2030</v>
      </c>
      <c r="H46" s="227" t="s">
        <v>1162</v>
      </c>
      <c r="I46" s="227" t="s">
        <v>2027</v>
      </c>
      <c r="J46" s="214" t="s">
        <v>1940</v>
      </c>
      <c r="K46" s="215" t="s">
        <v>33</v>
      </c>
      <c r="L46" s="224"/>
      <c r="M46" s="224"/>
      <c r="N46" s="217"/>
      <c r="O46" s="210"/>
    </row>
    <row r="47">
      <c r="A47" s="212">
        <f t="shared" si="1"/>
        <v>45</v>
      </c>
      <c r="B47" s="261"/>
      <c r="C47" s="220"/>
      <c r="D47" s="220"/>
      <c r="E47" s="262"/>
      <c r="F47" s="212" t="s">
        <v>2033</v>
      </c>
      <c r="G47" s="227" t="s">
        <v>2030</v>
      </c>
      <c r="H47" s="227" t="s">
        <v>2031</v>
      </c>
      <c r="I47" s="213" t="s">
        <v>2032</v>
      </c>
      <c r="J47" s="214" t="s">
        <v>1940</v>
      </c>
      <c r="K47" s="215" t="s">
        <v>33</v>
      </c>
      <c r="L47" s="224"/>
      <c r="M47" s="224"/>
      <c r="N47" s="217"/>
      <c r="O47" s="210"/>
    </row>
    <row r="48">
      <c r="A48" s="212">
        <f t="shared" si="1"/>
        <v>46</v>
      </c>
      <c r="B48" s="261"/>
      <c r="C48" s="220"/>
      <c r="D48" s="220"/>
      <c r="E48" s="262"/>
      <c r="F48" s="212" t="s">
        <v>2033</v>
      </c>
      <c r="G48" s="217" t="s">
        <v>2055</v>
      </c>
      <c r="H48" s="213" t="s">
        <v>2040</v>
      </c>
      <c r="I48" s="217" t="s">
        <v>2041</v>
      </c>
      <c r="J48" s="214" t="s">
        <v>1940</v>
      </c>
      <c r="K48" s="215" t="s">
        <v>33</v>
      </c>
      <c r="L48" s="224"/>
      <c r="M48" s="224"/>
      <c r="N48" s="217"/>
      <c r="O48" s="210"/>
    </row>
    <row r="49">
      <c r="A49" s="212">
        <f t="shared" si="1"/>
        <v>47</v>
      </c>
      <c r="B49" s="261"/>
      <c r="C49" s="220"/>
      <c r="D49" s="220"/>
      <c r="E49" s="262"/>
      <c r="F49" s="212" t="s">
        <v>2033</v>
      </c>
      <c r="G49" s="217" t="s">
        <v>2055</v>
      </c>
      <c r="H49" s="213" t="s">
        <v>2042</v>
      </c>
      <c r="I49" s="217" t="s">
        <v>2043</v>
      </c>
      <c r="J49" s="214" t="s">
        <v>1940</v>
      </c>
      <c r="K49" s="215" t="s">
        <v>33</v>
      </c>
      <c r="L49" s="224"/>
      <c r="M49" s="224"/>
      <c r="N49" s="217"/>
      <c r="O49" s="210"/>
    </row>
    <row r="50">
      <c r="A50" s="212">
        <f t="shared" si="1"/>
        <v>48</v>
      </c>
      <c r="B50" s="261"/>
      <c r="C50" s="220"/>
      <c r="D50" s="220"/>
      <c r="E50" s="262"/>
      <c r="F50" s="212" t="s">
        <v>2033</v>
      </c>
      <c r="G50" s="217" t="s">
        <v>2055</v>
      </c>
      <c r="H50" s="213" t="s">
        <v>2044</v>
      </c>
      <c r="I50" s="217" t="s">
        <v>2045</v>
      </c>
      <c r="J50" s="214" t="s">
        <v>1940</v>
      </c>
      <c r="K50" s="215" t="s">
        <v>33</v>
      </c>
      <c r="L50" s="240" t="s">
        <v>2046</v>
      </c>
      <c r="M50" s="227" t="s">
        <v>2056</v>
      </c>
      <c r="N50" s="217"/>
      <c r="O50" s="210"/>
    </row>
    <row r="51">
      <c r="A51" s="212">
        <f t="shared" si="1"/>
        <v>49</v>
      </c>
      <c r="B51" s="261"/>
      <c r="C51" s="220"/>
      <c r="D51" s="220"/>
      <c r="E51" s="262"/>
      <c r="F51" s="212" t="s">
        <v>2033</v>
      </c>
      <c r="G51" s="217" t="s">
        <v>2057</v>
      </c>
      <c r="H51" s="213" t="s">
        <v>2049</v>
      </c>
      <c r="I51" s="217" t="s">
        <v>2050</v>
      </c>
      <c r="J51" s="214" t="s">
        <v>1940</v>
      </c>
      <c r="K51" s="215" t="s">
        <v>33</v>
      </c>
      <c r="L51" s="240" t="s">
        <v>2046</v>
      </c>
      <c r="M51" s="227" t="s">
        <v>2056</v>
      </c>
      <c r="N51" s="217"/>
      <c r="O51" s="210"/>
    </row>
    <row r="52">
      <c r="A52" s="212">
        <f t="shared" si="1"/>
        <v>50</v>
      </c>
      <c r="B52" s="261"/>
      <c r="C52" s="220"/>
      <c r="D52" s="220"/>
      <c r="E52" s="262"/>
      <c r="F52" s="212" t="s">
        <v>2033</v>
      </c>
      <c r="G52" s="217" t="s">
        <v>2057</v>
      </c>
      <c r="H52" s="213" t="s">
        <v>2051</v>
      </c>
      <c r="I52" s="217" t="s">
        <v>2052</v>
      </c>
      <c r="J52" s="214" t="s">
        <v>1940</v>
      </c>
      <c r="K52" s="215" t="s">
        <v>33</v>
      </c>
      <c r="L52" s="240" t="s">
        <v>2046</v>
      </c>
      <c r="M52" s="227" t="s">
        <v>2056</v>
      </c>
      <c r="N52" s="217"/>
      <c r="O52" s="210"/>
    </row>
    <row r="53">
      <c r="A53" s="212">
        <f t="shared" si="1"/>
        <v>51</v>
      </c>
      <c r="B53" s="261"/>
      <c r="C53" s="220"/>
      <c r="D53" s="220"/>
      <c r="E53" s="262"/>
      <c r="F53" s="212" t="s">
        <v>2058</v>
      </c>
      <c r="G53" s="217"/>
      <c r="H53" s="213" t="s">
        <v>2059</v>
      </c>
      <c r="I53" s="217" t="s">
        <v>2060</v>
      </c>
      <c r="J53" s="214" t="s">
        <v>1940</v>
      </c>
      <c r="K53" s="215" t="s">
        <v>33</v>
      </c>
      <c r="L53" s="224"/>
      <c r="M53" s="224"/>
      <c r="N53" s="217"/>
      <c r="O53" s="210"/>
    </row>
    <row r="54">
      <c r="A54" s="212">
        <f t="shared" si="1"/>
        <v>52</v>
      </c>
      <c r="B54" s="261"/>
      <c r="C54" s="220"/>
      <c r="D54" s="220"/>
      <c r="E54" s="262"/>
      <c r="F54" s="212" t="s">
        <v>2058</v>
      </c>
      <c r="G54" s="217" t="s">
        <v>2061</v>
      </c>
      <c r="H54" s="227" t="s">
        <v>1162</v>
      </c>
      <c r="I54" s="227" t="s">
        <v>2062</v>
      </c>
      <c r="J54" s="214" t="s">
        <v>1940</v>
      </c>
      <c r="K54" s="215" t="s">
        <v>33</v>
      </c>
      <c r="L54" s="224"/>
      <c r="M54" s="224"/>
      <c r="N54" s="217"/>
      <c r="O54" s="210"/>
    </row>
    <row r="55">
      <c r="A55" s="212">
        <f t="shared" si="1"/>
        <v>53</v>
      </c>
      <c r="B55" s="261"/>
      <c r="C55" s="220"/>
      <c r="D55" s="220"/>
      <c r="E55" s="262"/>
      <c r="F55" s="212" t="s">
        <v>2058</v>
      </c>
      <c r="G55" s="217" t="s">
        <v>2061</v>
      </c>
      <c r="H55" s="227" t="s">
        <v>2038</v>
      </c>
      <c r="I55" s="213" t="s">
        <v>2063</v>
      </c>
      <c r="J55" s="214" t="s">
        <v>1940</v>
      </c>
      <c r="K55" s="215" t="s">
        <v>33</v>
      </c>
      <c r="L55" s="224"/>
      <c r="M55" s="224"/>
      <c r="N55" s="217"/>
      <c r="O55" s="210"/>
    </row>
    <row r="56">
      <c r="A56" s="212">
        <f t="shared" si="1"/>
        <v>54</v>
      </c>
      <c r="B56" s="261"/>
      <c r="C56" s="220"/>
      <c r="D56" s="220"/>
      <c r="E56" s="262"/>
      <c r="F56" s="212" t="s">
        <v>2058</v>
      </c>
      <c r="G56" s="217"/>
      <c r="H56" s="213" t="s">
        <v>2064</v>
      </c>
      <c r="I56" s="217" t="s">
        <v>2065</v>
      </c>
      <c r="J56" s="214" t="s">
        <v>1940</v>
      </c>
      <c r="K56" s="215" t="s">
        <v>33</v>
      </c>
      <c r="L56" s="224"/>
      <c r="M56" s="224"/>
      <c r="N56" s="217"/>
      <c r="O56" s="210"/>
    </row>
    <row r="57">
      <c r="A57" s="212">
        <f t="shared" si="1"/>
        <v>55</v>
      </c>
      <c r="B57" s="261"/>
      <c r="C57" s="220"/>
      <c r="D57" s="220"/>
      <c r="E57" s="262"/>
      <c r="F57" s="212" t="s">
        <v>2058</v>
      </c>
      <c r="G57" s="217"/>
      <c r="H57" s="213" t="s">
        <v>2066</v>
      </c>
      <c r="I57" s="217" t="s">
        <v>2067</v>
      </c>
      <c r="J57" s="214" t="s">
        <v>1940</v>
      </c>
      <c r="K57" s="215" t="s">
        <v>33</v>
      </c>
      <c r="L57" s="224"/>
      <c r="M57" s="224"/>
      <c r="N57" s="217"/>
      <c r="O57" s="210"/>
    </row>
    <row r="58">
      <c r="A58" s="212">
        <f t="shared" si="1"/>
        <v>56</v>
      </c>
      <c r="B58" s="261"/>
      <c r="C58" s="220"/>
      <c r="D58" s="220"/>
      <c r="E58" s="262"/>
      <c r="F58" s="212" t="s">
        <v>2058</v>
      </c>
      <c r="G58" s="217" t="s">
        <v>2068</v>
      </c>
      <c r="H58" s="227" t="s">
        <v>2069</v>
      </c>
      <c r="I58" s="227" t="s">
        <v>2070</v>
      </c>
      <c r="J58" s="214" t="s">
        <v>1940</v>
      </c>
      <c r="K58" s="215" t="s">
        <v>33</v>
      </c>
      <c r="L58" s="224"/>
      <c r="M58" s="224"/>
      <c r="N58" s="217"/>
      <c r="O58" s="210"/>
    </row>
    <row r="59">
      <c r="A59" s="212">
        <f t="shared" si="1"/>
        <v>57</v>
      </c>
      <c r="B59" s="261"/>
      <c r="C59" s="220"/>
      <c r="D59" s="220"/>
      <c r="E59" s="262"/>
      <c r="F59" s="212" t="s">
        <v>2058</v>
      </c>
      <c r="G59" s="217" t="s">
        <v>2068</v>
      </c>
      <c r="H59" s="227" t="s">
        <v>1162</v>
      </c>
      <c r="I59" s="227" t="s">
        <v>2071</v>
      </c>
      <c r="J59" s="214" t="s">
        <v>1940</v>
      </c>
      <c r="K59" s="215" t="s">
        <v>33</v>
      </c>
      <c r="L59" s="224"/>
      <c r="M59" s="224"/>
      <c r="N59" s="217"/>
      <c r="O59" s="210"/>
    </row>
    <row r="60">
      <c r="A60" s="212">
        <f t="shared" si="1"/>
        <v>58</v>
      </c>
      <c r="B60" s="261"/>
      <c r="C60" s="220"/>
      <c r="D60" s="220"/>
      <c r="E60" s="262"/>
      <c r="F60" s="212" t="s">
        <v>2058</v>
      </c>
      <c r="G60" s="217" t="s">
        <v>2068</v>
      </c>
      <c r="H60" s="227" t="s">
        <v>2038</v>
      </c>
      <c r="I60" s="213" t="s">
        <v>2063</v>
      </c>
      <c r="J60" s="214" t="s">
        <v>1940</v>
      </c>
      <c r="K60" s="215" t="s">
        <v>33</v>
      </c>
      <c r="L60" s="224"/>
      <c r="M60" s="224"/>
      <c r="N60" s="217"/>
      <c r="O60" s="210"/>
    </row>
    <row r="61">
      <c r="A61" s="212">
        <f t="shared" si="1"/>
        <v>59</v>
      </c>
      <c r="B61" s="261"/>
      <c r="C61" s="220"/>
      <c r="D61" s="220"/>
      <c r="E61" s="262"/>
      <c r="F61" s="212" t="s">
        <v>2072</v>
      </c>
      <c r="G61" s="217"/>
      <c r="H61" s="213" t="s">
        <v>2073</v>
      </c>
      <c r="I61" s="217" t="s">
        <v>2074</v>
      </c>
      <c r="J61" s="214" t="s">
        <v>1940</v>
      </c>
      <c r="K61" s="215" t="s">
        <v>33</v>
      </c>
      <c r="L61" s="224"/>
      <c r="M61" s="224"/>
      <c r="N61" s="217"/>
      <c r="O61" s="210"/>
    </row>
    <row r="62">
      <c r="A62" s="212">
        <f t="shared" si="1"/>
        <v>60</v>
      </c>
      <c r="B62" s="261"/>
      <c r="C62" s="220"/>
      <c r="D62" s="220"/>
      <c r="E62" s="262"/>
      <c r="F62" s="212" t="s">
        <v>2072</v>
      </c>
      <c r="G62" s="217"/>
      <c r="H62" s="213" t="s">
        <v>2075</v>
      </c>
      <c r="I62" s="217" t="s">
        <v>2076</v>
      </c>
      <c r="J62" s="214" t="s">
        <v>1940</v>
      </c>
      <c r="K62" s="215" t="s">
        <v>33</v>
      </c>
      <c r="L62" s="224"/>
      <c r="M62" s="224"/>
      <c r="N62" s="217"/>
      <c r="O62" s="210"/>
    </row>
    <row r="63">
      <c r="A63" s="212">
        <f t="shared" si="1"/>
        <v>61</v>
      </c>
      <c r="B63" s="261"/>
      <c r="C63" s="220"/>
      <c r="D63" s="220"/>
      <c r="E63" s="262"/>
      <c r="F63" s="212" t="s">
        <v>2072</v>
      </c>
      <c r="G63" s="217" t="s">
        <v>2077</v>
      </c>
      <c r="H63" s="213" t="s">
        <v>2078</v>
      </c>
      <c r="I63" s="217" t="s">
        <v>2079</v>
      </c>
      <c r="J63" s="214" t="s">
        <v>1940</v>
      </c>
      <c r="K63" s="215" t="s">
        <v>33</v>
      </c>
      <c r="L63" s="224"/>
      <c r="M63" s="224"/>
      <c r="N63" s="217"/>
      <c r="O63" s="210"/>
    </row>
    <row r="64">
      <c r="A64" s="212">
        <f t="shared" si="1"/>
        <v>62</v>
      </c>
      <c r="B64" s="261"/>
      <c r="C64" s="220"/>
      <c r="D64" s="220"/>
      <c r="E64" s="262"/>
      <c r="F64" s="212" t="s">
        <v>2072</v>
      </c>
      <c r="G64" s="217" t="s">
        <v>2080</v>
      </c>
      <c r="H64" s="213" t="s">
        <v>2081</v>
      </c>
      <c r="I64" s="217" t="s">
        <v>2082</v>
      </c>
      <c r="J64" s="214" t="s">
        <v>1940</v>
      </c>
      <c r="K64" s="215" t="s">
        <v>33</v>
      </c>
      <c r="L64" s="224"/>
      <c r="M64" s="224"/>
      <c r="N64" s="217"/>
      <c r="O64" s="210"/>
    </row>
    <row r="65">
      <c r="A65" s="212">
        <f t="shared" si="1"/>
        <v>63</v>
      </c>
      <c r="B65" s="261"/>
      <c r="C65" s="220"/>
      <c r="D65" s="220"/>
      <c r="E65" s="262"/>
      <c r="F65" s="212" t="s">
        <v>2072</v>
      </c>
      <c r="G65" s="217" t="s">
        <v>2083</v>
      </c>
      <c r="H65" s="213" t="s">
        <v>2084</v>
      </c>
      <c r="I65" s="217" t="s">
        <v>2085</v>
      </c>
      <c r="J65" s="214" t="s">
        <v>1940</v>
      </c>
      <c r="K65" s="215" t="s">
        <v>33</v>
      </c>
      <c r="L65" s="224"/>
      <c r="M65" s="224"/>
      <c r="N65" s="217"/>
      <c r="O65" s="210"/>
    </row>
    <row r="66">
      <c r="A66" s="212">
        <f t="shared" si="1"/>
        <v>64</v>
      </c>
      <c r="B66" s="261"/>
      <c r="C66" s="220"/>
      <c r="D66" s="220"/>
      <c r="E66" s="262"/>
      <c r="F66" s="212" t="s">
        <v>2072</v>
      </c>
      <c r="G66" s="217" t="s">
        <v>2083</v>
      </c>
      <c r="H66" s="213" t="s">
        <v>2086</v>
      </c>
      <c r="I66" s="217" t="s">
        <v>2087</v>
      </c>
      <c r="J66" s="214" t="s">
        <v>1940</v>
      </c>
      <c r="K66" s="215" t="s">
        <v>33</v>
      </c>
      <c r="L66" s="224"/>
      <c r="M66" s="224"/>
      <c r="N66" s="217"/>
      <c r="O66" s="210"/>
    </row>
    <row r="67">
      <c r="A67" s="212">
        <f t="shared" si="1"/>
        <v>65</v>
      </c>
      <c r="B67" s="261"/>
      <c r="C67" s="220"/>
      <c r="D67" s="220"/>
      <c r="E67" s="262"/>
      <c r="F67" s="212" t="s">
        <v>2072</v>
      </c>
      <c r="G67" s="217" t="s">
        <v>2083</v>
      </c>
      <c r="H67" s="213" t="s">
        <v>2088</v>
      </c>
      <c r="I67" s="217" t="s">
        <v>2089</v>
      </c>
      <c r="J67" s="214" t="s">
        <v>1940</v>
      </c>
      <c r="K67" s="215" t="s">
        <v>33</v>
      </c>
      <c r="L67" s="224"/>
      <c r="M67" s="224"/>
      <c r="N67" s="217"/>
      <c r="O67" s="210"/>
    </row>
    <row r="68">
      <c r="A68" s="212">
        <f t="shared" si="1"/>
        <v>66</v>
      </c>
      <c r="B68" s="261"/>
      <c r="C68" s="220"/>
      <c r="D68" s="220"/>
      <c r="E68" s="262"/>
      <c r="F68" s="212" t="s">
        <v>2072</v>
      </c>
      <c r="G68" s="217" t="s">
        <v>2080</v>
      </c>
      <c r="H68" s="213" t="s">
        <v>2090</v>
      </c>
      <c r="I68" s="217" t="s">
        <v>2082</v>
      </c>
      <c r="J68" s="214" t="s">
        <v>1940</v>
      </c>
      <c r="K68" s="215" t="s">
        <v>33</v>
      </c>
      <c r="L68" s="224"/>
      <c r="M68" s="224"/>
      <c r="N68" s="217"/>
      <c r="O68" s="210"/>
    </row>
    <row r="69">
      <c r="A69" s="212">
        <f t="shared" si="1"/>
        <v>67</v>
      </c>
      <c r="B69" s="261"/>
      <c r="C69" s="220"/>
      <c r="D69" s="220"/>
      <c r="E69" s="262"/>
      <c r="F69" s="212" t="s">
        <v>2072</v>
      </c>
      <c r="G69" s="217" t="s">
        <v>2091</v>
      </c>
      <c r="H69" s="213" t="s">
        <v>2084</v>
      </c>
      <c r="I69" s="217" t="s">
        <v>2085</v>
      </c>
      <c r="J69" s="214" t="s">
        <v>1940</v>
      </c>
      <c r="K69" s="215" t="s">
        <v>33</v>
      </c>
      <c r="L69" s="224"/>
      <c r="M69" s="224"/>
      <c r="N69" s="217"/>
      <c r="O69" s="210"/>
    </row>
    <row r="70">
      <c r="A70" s="212">
        <f t="shared" si="1"/>
        <v>68</v>
      </c>
      <c r="B70" s="261"/>
      <c r="C70" s="220"/>
      <c r="D70" s="220"/>
      <c r="E70" s="262"/>
      <c r="F70" s="212" t="s">
        <v>2072</v>
      </c>
      <c r="G70" s="217" t="s">
        <v>2091</v>
      </c>
      <c r="H70" s="213" t="s">
        <v>2086</v>
      </c>
      <c r="I70" s="217" t="s">
        <v>2087</v>
      </c>
      <c r="J70" s="214" t="s">
        <v>1940</v>
      </c>
      <c r="K70" s="215" t="s">
        <v>33</v>
      </c>
      <c r="L70" s="224"/>
      <c r="M70" s="224"/>
      <c r="N70" s="217"/>
      <c r="O70" s="210"/>
    </row>
    <row r="71">
      <c r="A71" s="212">
        <f t="shared" si="1"/>
        <v>69</v>
      </c>
      <c r="B71" s="261"/>
      <c r="C71" s="220"/>
      <c r="D71" s="220"/>
      <c r="E71" s="262"/>
      <c r="F71" s="212" t="s">
        <v>2072</v>
      </c>
      <c r="G71" s="217" t="s">
        <v>2091</v>
      </c>
      <c r="H71" s="213" t="s">
        <v>2088</v>
      </c>
      <c r="I71" s="217" t="s">
        <v>2089</v>
      </c>
      <c r="J71" s="214" t="s">
        <v>1940</v>
      </c>
      <c r="K71" s="215" t="s">
        <v>33</v>
      </c>
      <c r="L71" s="224"/>
      <c r="M71" s="224"/>
      <c r="N71" s="217"/>
      <c r="O71" s="210"/>
    </row>
    <row r="72">
      <c r="A72" s="212">
        <f t="shared" si="1"/>
        <v>70</v>
      </c>
      <c r="B72" s="261"/>
      <c r="C72" s="220"/>
      <c r="D72" s="220"/>
      <c r="E72" s="262"/>
      <c r="F72" s="212" t="s">
        <v>2072</v>
      </c>
      <c r="G72" s="217" t="s">
        <v>2080</v>
      </c>
      <c r="H72" s="213" t="s">
        <v>2092</v>
      </c>
      <c r="I72" s="217" t="s">
        <v>2082</v>
      </c>
      <c r="J72" s="214" t="s">
        <v>1940</v>
      </c>
      <c r="K72" s="215" t="s">
        <v>33</v>
      </c>
      <c r="L72" s="224"/>
      <c r="M72" s="224"/>
      <c r="N72" s="217"/>
      <c r="O72" s="210"/>
    </row>
    <row r="73">
      <c r="A73" s="212">
        <f t="shared" si="1"/>
        <v>71</v>
      </c>
      <c r="B73" s="261"/>
      <c r="C73" s="220"/>
      <c r="D73" s="220"/>
      <c r="E73" s="262"/>
      <c r="F73" s="212" t="s">
        <v>2072</v>
      </c>
      <c r="G73" s="217" t="s">
        <v>2093</v>
      </c>
      <c r="H73" s="213" t="s">
        <v>2084</v>
      </c>
      <c r="I73" s="217" t="s">
        <v>2085</v>
      </c>
      <c r="J73" s="214" t="s">
        <v>1940</v>
      </c>
      <c r="K73" s="215" t="s">
        <v>33</v>
      </c>
      <c r="L73" s="224"/>
      <c r="M73" s="224"/>
      <c r="N73" s="217"/>
      <c r="O73" s="210"/>
    </row>
    <row r="74">
      <c r="A74" s="212">
        <f t="shared" si="1"/>
        <v>72</v>
      </c>
      <c r="B74" s="261"/>
      <c r="C74" s="220"/>
      <c r="D74" s="220"/>
      <c r="E74" s="262"/>
      <c r="F74" s="212" t="s">
        <v>2072</v>
      </c>
      <c r="G74" s="217" t="s">
        <v>2093</v>
      </c>
      <c r="H74" s="213" t="s">
        <v>2086</v>
      </c>
      <c r="I74" s="217" t="s">
        <v>2087</v>
      </c>
      <c r="J74" s="214" t="s">
        <v>1940</v>
      </c>
      <c r="K74" s="215" t="s">
        <v>33</v>
      </c>
      <c r="L74" s="224"/>
      <c r="M74" s="224"/>
      <c r="N74" s="217"/>
      <c r="O74" s="210"/>
    </row>
    <row r="75">
      <c r="A75" s="212">
        <f t="shared" si="1"/>
        <v>73</v>
      </c>
      <c r="B75" s="261"/>
      <c r="C75" s="220"/>
      <c r="D75" s="220"/>
      <c r="E75" s="262"/>
      <c r="F75" s="212" t="s">
        <v>2072</v>
      </c>
      <c r="G75" s="217" t="s">
        <v>2093</v>
      </c>
      <c r="H75" s="213" t="s">
        <v>2088</v>
      </c>
      <c r="I75" s="217" t="s">
        <v>2089</v>
      </c>
      <c r="J75" s="214" t="s">
        <v>1940</v>
      </c>
      <c r="K75" s="215" t="s">
        <v>33</v>
      </c>
      <c r="L75" s="224"/>
      <c r="M75" s="224"/>
      <c r="N75" s="217"/>
      <c r="O75" s="210"/>
    </row>
    <row r="76">
      <c r="A76" s="212">
        <f t="shared" si="1"/>
        <v>74</v>
      </c>
      <c r="B76" s="261"/>
      <c r="C76" s="220"/>
      <c r="D76" s="220"/>
      <c r="E76" s="262"/>
      <c r="F76" s="212" t="s">
        <v>2094</v>
      </c>
      <c r="G76" s="217"/>
      <c r="H76" s="213" t="s">
        <v>2095</v>
      </c>
      <c r="I76" s="217" t="s">
        <v>2096</v>
      </c>
      <c r="J76" s="214" t="s">
        <v>1940</v>
      </c>
      <c r="K76" s="215" t="s">
        <v>33</v>
      </c>
      <c r="L76" s="224"/>
      <c r="M76" s="224"/>
      <c r="N76" s="217"/>
      <c r="O76" s="210"/>
    </row>
    <row r="77">
      <c r="A77" s="212">
        <f t="shared" si="1"/>
        <v>75</v>
      </c>
      <c r="B77" s="261"/>
      <c r="C77" s="220"/>
      <c r="D77" s="220"/>
      <c r="E77" s="262"/>
      <c r="F77" s="212" t="s">
        <v>2094</v>
      </c>
      <c r="G77" s="217"/>
      <c r="H77" s="213" t="s">
        <v>2097</v>
      </c>
      <c r="I77" s="217" t="s">
        <v>2098</v>
      </c>
      <c r="J77" s="214" t="s">
        <v>1940</v>
      </c>
      <c r="K77" s="215" t="s">
        <v>33</v>
      </c>
      <c r="L77" s="240" t="s">
        <v>2099</v>
      </c>
      <c r="M77" s="227" t="s">
        <v>2100</v>
      </c>
      <c r="N77" s="217"/>
      <c r="O77" s="210"/>
    </row>
    <row r="78">
      <c r="A78" s="212">
        <f t="shared" si="1"/>
        <v>76</v>
      </c>
      <c r="B78" s="261"/>
      <c r="C78" s="220"/>
      <c r="D78" s="220"/>
      <c r="E78" s="262"/>
      <c r="F78" s="212" t="s">
        <v>2094</v>
      </c>
      <c r="G78" s="217" t="s">
        <v>2101</v>
      </c>
      <c r="H78" s="213" t="s">
        <v>1162</v>
      </c>
      <c r="I78" s="217" t="s">
        <v>2102</v>
      </c>
      <c r="J78" s="214" t="s">
        <v>1940</v>
      </c>
      <c r="K78" s="215" t="s">
        <v>33</v>
      </c>
      <c r="L78" s="224"/>
      <c r="M78" s="224"/>
      <c r="N78" s="217"/>
      <c r="O78" s="210"/>
    </row>
    <row r="79">
      <c r="A79" s="212">
        <f t="shared" si="1"/>
        <v>77</v>
      </c>
      <c r="B79" s="261"/>
      <c r="C79" s="220"/>
      <c r="D79" s="220"/>
      <c r="E79" s="262"/>
      <c r="F79" s="212" t="s">
        <v>2094</v>
      </c>
      <c r="G79" s="217" t="s">
        <v>2091</v>
      </c>
      <c r="H79" s="213" t="s">
        <v>2031</v>
      </c>
      <c r="I79" s="217" t="s">
        <v>2103</v>
      </c>
      <c r="J79" s="214" t="s">
        <v>1940</v>
      </c>
      <c r="K79" s="215" t="s">
        <v>33</v>
      </c>
      <c r="L79" s="224"/>
      <c r="M79" s="224"/>
      <c r="N79" s="217"/>
      <c r="O79" s="210"/>
    </row>
    <row r="80">
      <c r="A80" s="212">
        <f t="shared" si="1"/>
        <v>78</v>
      </c>
      <c r="B80" s="261"/>
      <c r="C80" s="220"/>
      <c r="D80" s="220"/>
      <c r="E80" s="262"/>
      <c r="F80" s="212" t="s">
        <v>2094</v>
      </c>
      <c r="G80" s="217" t="s">
        <v>2104</v>
      </c>
      <c r="H80" s="213" t="s">
        <v>2105</v>
      </c>
      <c r="I80" s="217" t="s">
        <v>2098</v>
      </c>
      <c r="J80" s="214" t="s">
        <v>1940</v>
      </c>
      <c r="K80" s="215" t="s">
        <v>33</v>
      </c>
      <c r="L80" s="240" t="s">
        <v>2099</v>
      </c>
      <c r="M80" s="227" t="s">
        <v>2100</v>
      </c>
      <c r="N80" s="217"/>
      <c r="O80" s="210"/>
    </row>
    <row r="81">
      <c r="A81" s="212">
        <f t="shared" si="1"/>
        <v>79</v>
      </c>
      <c r="B81" s="261"/>
      <c r="C81" s="220"/>
      <c r="D81" s="220"/>
      <c r="E81" s="262"/>
      <c r="F81" s="212" t="s">
        <v>2094</v>
      </c>
      <c r="G81" s="217" t="s">
        <v>2106</v>
      </c>
      <c r="H81" s="213" t="s">
        <v>2038</v>
      </c>
      <c r="I81" s="217" t="s">
        <v>2107</v>
      </c>
      <c r="J81" s="214" t="s">
        <v>1940</v>
      </c>
      <c r="K81" s="215" t="s">
        <v>33</v>
      </c>
      <c r="L81" s="224"/>
      <c r="M81" s="224"/>
      <c r="N81" s="217"/>
      <c r="O81" s="210"/>
    </row>
    <row r="82">
      <c r="A82" s="212">
        <f t="shared" si="1"/>
        <v>80</v>
      </c>
      <c r="B82" s="261"/>
      <c r="C82" s="220"/>
      <c r="D82" s="220"/>
      <c r="E82" s="262"/>
      <c r="F82" s="212" t="s">
        <v>2108</v>
      </c>
      <c r="G82" s="217"/>
      <c r="H82" s="213" t="s">
        <v>2109</v>
      </c>
      <c r="I82" s="217" t="s">
        <v>2110</v>
      </c>
      <c r="J82" s="214" t="s">
        <v>1940</v>
      </c>
      <c r="K82" s="215" t="s">
        <v>33</v>
      </c>
      <c r="L82" s="224"/>
      <c r="M82" s="227" t="s">
        <v>2111</v>
      </c>
      <c r="N82" s="217"/>
      <c r="O82" s="210"/>
    </row>
    <row r="83">
      <c r="A83" s="212">
        <f t="shared" si="1"/>
        <v>81</v>
      </c>
      <c r="B83" s="261"/>
      <c r="C83" s="220"/>
      <c r="D83" s="220"/>
      <c r="E83" s="262"/>
      <c r="F83" s="212" t="s">
        <v>2108</v>
      </c>
      <c r="G83" s="217" t="s">
        <v>2112</v>
      </c>
      <c r="H83" s="213" t="s">
        <v>1162</v>
      </c>
      <c r="I83" s="217" t="s">
        <v>2027</v>
      </c>
      <c r="J83" s="214" t="s">
        <v>1940</v>
      </c>
      <c r="K83" s="215" t="s">
        <v>33</v>
      </c>
      <c r="L83" s="224"/>
      <c r="M83" s="224"/>
      <c r="N83" s="217"/>
      <c r="O83" s="210"/>
    </row>
    <row r="84">
      <c r="A84" s="212">
        <f t="shared" si="1"/>
        <v>82</v>
      </c>
      <c r="B84" s="261"/>
      <c r="C84" s="220"/>
      <c r="D84" s="220"/>
      <c r="E84" s="262"/>
      <c r="F84" s="212" t="s">
        <v>2108</v>
      </c>
      <c r="G84" s="217" t="s">
        <v>2112</v>
      </c>
      <c r="H84" s="213" t="s">
        <v>2113</v>
      </c>
      <c r="I84" s="217" t="s">
        <v>2114</v>
      </c>
      <c r="J84" s="214" t="s">
        <v>1940</v>
      </c>
      <c r="K84" s="215" t="s">
        <v>33</v>
      </c>
      <c r="L84" s="224"/>
      <c r="M84" s="224"/>
      <c r="N84" s="217"/>
      <c r="O84" s="210"/>
    </row>
    <row r="85">
      <c r="A85" s="212">
        <f t="shared" si="1"/>
        <v>83</v>
      </c>
      <c r="B85" s="261"/>
      <c r="C85" s="220"/>
      <c r="D85" s="220"/>
      <c r="E85" s="262"/>
      <c r="F85" s="212" t="s">
        <v>2108</v>
      </c>
      <c r="G85" s="217" t="s">
        <v>2115</v>
      </c>
      <c r="H85" s="213" t="s">
        <v>2116</v>
      </c>
      <c r="I85" s="217" t="s">
        <v>2117</v>
      </c>
      <c r="J85" s="214" t="s">
        <v>1940</v>
      </c>
      <c r="K85" s="215" t="s">
        <v>33</v>
      </c>
      <c r="L85" s="224"/>
      <c r="M85" s="224"/>
      <c r="N85" s="217"/>
      <c r="O85" s="210"/>
    </row>
    <row r="86">
      <c r="A86" s="212">
        <f t="shared" si="1"/>
        <v>84</v>
      </c>
      <c r="B86" s="261"/>
      <c r="C86" s="220"/>
      <c r="D86" s="220"/>
      <c r="E86" s="262"/>
      <c r="F86" s="212" t="s">
        <v>2108</v>
      </c>
      <c r="G86" s="217" t="s">
        <v>2115</v>
      </c>
      <c r="H86" s="213" t="s">
        <v>1162</v>
      </c>
      <c r="I86" s="217" t="s">
        <v>2027</v>
      </c>
      <c r="J86" s="214" t="s">
        <v>1940</v>
      </c>
      <c r="K86" s="215" t="s">
        <v>33</v>
      </c>
      <c r="L86" s="224"/>
      <c r="M86" s="224"/>
      <c r="N86" s="217"/>
      <c r="O86" s="210"/>
    </row>
    <row r="87">
      <c r="A87" s="212">
        <f t="shared" si="1"/>
        <v>85</v>
      </c>
      <c r="B87" s="261"/>
      <c r="C87" s="220"/>
      <c r="D87" s="220"/>
      <c r="E87" s="262"/>
      <c r="F87" s="212" t="s">
        <v>2108</v>
      </c>
      <c r="G87" s="217" t="s">
        <v>2115</v>
      </c>
      <c r="H87" s="213" t="s">
        <v>2038</v>
      </c>
      <c r="I87" s="217" t="s">
        <v>2118</v>
      </c>
      <c r="J87" s="214" t="s">
        <v>1940</v>
      </c>
      <c r="K87" s="215" t="s">
        <v>33</v>
      </c>
      <c r="L87" s="224"/>
      <c r="M87" s="224"/>
      <c r="N87" s="217"/>
      <c r="O87" s="210"/>
    </row>
    <row r="88">
      <c r="A88" s="212">
        <f t="shared" si="1"/>
        <v>86</v>
      </c>
      <c r="B88" s="261"/>
      <c r="C88" s="220"/>
      <c r="D88" s="220"/>
      <c r="E88" s="225" t="s">
        <v>2119</v>
      </c>
      <c r="F88" s="212" t="s">
        <v>2120</v>
      </c>
      <c r="G88" s="217" t="s">
        <v>2121</v>
      </c>
      <c r="H88" s="213" t="s">
        <v>2122</v>
      </c>
      <c r="I88" s="217" t="s">
        <v>2123</v>
      </c>
      <c r="J88" s="214" t="s">
        <v>1940</v>
      </c>
      <c r="K88" s="215" t="s">
        <v>33</v>
      </c>
      <c r="L88" s="224"/>
      <c r="M88" s="224"/>
      <c r="N88" s="217"/>
      <c r="O88" s="210"/>
    </row>
    <row r="89">
      <c r="A89" s="212">
        <f t="shared" si="1"/>
        <v>87</v>
      </c>
      <c r="B89" s="261"/>
      <c r="C89" s="220"/>
      <c r="D89" s="220"/>
      <c r="E89" s="220"/>
      <c r="F89" s="212" t="s">
        <v>2120</v>
      </c>
      <c r="G89" s="227" t="s">
        <v>2124</v>
      </c>
      <c r="H89" s="227" t="s">
        <v>1162</v>
      </c>
      <c r="I89" s="227" t="s">
        <v>2027</v>
      </c>
      <c r="J89" s="214" t="s">
        <v>1940</v>
      </c>
      <c r="K89" s="215" t="s">
        <v>33</v>
      </c>
      <c r="L89" s="224"/>
      <c r="M89" s="224"/>
      <c r="N89" s="217"/>
      <c r="O89" s="210"/>
    </row>
    <row r="90">
      <c r="A90" s="212">
        <f t="shared" si="1"/>
        <v>88</v>
      </c>
      <c r="B90" s="261"/>
      <c r="C90" s="220"/>
      <c r="D90" s="220"/>
      <c r="E90" s="220"/>
      <c r="F90" s="212" t="s">
        <v>2120</v>
      </c>
      <c r="G90" s="227" t="s">
        <v>2124</v>
      </c>
      <c r="H90" s="227" t="s">
        <v>878</v>
      </c>
      <c r="I90" s="227" t="s">
        <v>2125</v>
      </c>
      <c r="J90" s="214" t="s">
        <v>1940</v>
      </c>
      <c r="K90" s="215" t="s">
        <v>33</v>
      </c>
      <c r="L90" s="224"/>
      <c r="M90" s="224"/>
      <c r="N90" s="217"/>
      <c r="O90" s="210"/>
    </row>
    <row r="91">
      <c r="A91" s="212">
        <f t="shared" si="1"/>
        <v>89</v>
      </c>
      <c r="B91" s="261"/>
      <c r="C91" s="220"/>
      <c r="D91" s="220"/>
      <c r="E91" s="220"/>
      <c r="F91" s="212" t="s">
        <v>2126</v>
      </c>
      <c r="G91" s="217" t="s">
        <v>2127</v>
      </c>
      <c r="H91" s="213" t="s">
        <v>2128</v>
      </c>
      <c r="I91" s="217" t="s">
        <v>2129</v>
      </c>
      <c r="J91" s="214" t="s">
        <v>1940</v>
      </c>
      <c r="K91" s="215" t="s">
        <v>33</v>
      </c>
      <c r="L91" s="226"/>
      <c r="M91" s="224"/>
      <c r="N91" s="217"/>
      <c r="O91" s="210"/>
    </row>
    <row r="92">
      <c r="A92" s="212">
        <f t="shared" si="1"/>
        <v>90</v>
      </c>
      <c r="B92" s="261"/>
      <c r="C92" s="220"/>
      <c r="D92" s="220"/>
      <c r="E92" s="220"/>
      <c r="F92" s="212" t="s">
        <v>2126</v>
      </c>
      <c r="G92" s="227" t="s">
        <v>2130</v>
      </c>
      <c r="H92" s="227" t="s">
        <v>1162</v>
      </c>
      <c r="I92" s="227" t="s">
        <v>2027</v>
      </c>
      <c r="J92" s="214" t="s">
        <v>1940</v>
      </c>
      <c r="K92" s="215" t="s">
        <v>33</v>
      </c>
      <c r="L92" s="226"/>
      <c r="M92" s="224"/>
      <c r="N92" s="217"/>
      <c r="O92" s="210"/>
    </row>
    <row r="93">
      <c r="A93" s="212">
        <f t="shared" si="1"/>
        <v>91</v>
      </c>
      <c r="B93" s="261"/>
      <c r="C93" s="220"/>
      <c r="D93" s="220"/>
      <c r="E93" s="220"/>
      <c r="F93" s="212" t="s">
        <v>2126</v>
      </c>
      <c r="G93" s="227" t="s">
        <v>2130</v>
      </c>
      <c r="H93" s="227" t="s">
        <v>878</v>
      </c>
      <c r="I93" s="227" t="s">
        <v>2125</v>
      </c>
      <c r="J93" s="214" t="s">
        <v>1940</v>
      </c>
      <c r="K93" s="215" t="s">
        <v>33</v>
      </c>
      <c r="L93" s="226"/>
      <c r="M93" s="224"/>
      <c r="N93" s="217"/>
      <c r="O93" s="210"/>
    </row>
    <row r="94">
      <c r="A94" s="212">
        <f t="shared" si="1"/>
        <v>92</v>
      </c>
      <c r="B94" s="261"/>
      <c r="C94" s="220"/>
      <c r="D94" s="220"/>
      <c r="E94" s="220"/>
      <c r="F94" s="212" t="s">
        <v>2131</v>
      </c>
      <c r="G94" s="217" t="s">
        <v>2132</v>
      </c>
      <c r="H94" s="213" t="s">
        <v>2133</v>
      </c>
      <c r="I94" s="217" t="s">
        <v>2134</v>
      </c>
      <c r="J94" s="214" t="s">
        <v>1940</v>
      </c>
      <c r="K94" s="215" t="s">
        <v>33</v>
      </c>
      <c r="L94" s="226"/>
      <c r="M94" s="224"/>
      <c r="N94" s="217"/>
      <c r="O94" s="210"/>
    </row>
    <row r="95">
      <c r="A95" s="212">
        <f t="shared" si="1"/>
        <v>93</v>
      </c>
      <c r="B95" s="261"/>
      <c r="C95" s="220"/>
      <c r="D95" s="220"/>
      <c r="E95" s="220"/>
      <c r="F95" s="212" t="s">
        <v>2131</v>
      </c>
      <c r="G95" s="227" t="s">
        <v>2135</v>
      </c>
      <c r="H95" s="227" t="s">
        <v>1162</v>
      </c>
      <c r="I95" s="227" t="s">
        <v>2027</v>
      </c>
      <c r="J95" s="214" t="s">
        <v>1940</v>
      </c>
      <c r="K95" s="215" t="s">
        <v>33</v>
      </c>
      <c r="L95" s="226"/>
      <c r="M95" s="224"/>
      <c r="N95" s="217"/>
      <c r="O95" s="210"/>
    </row>
    <row r="96">
      <c r="A96" s="212">
        <f t="shared" si="1"/>
        <v>94</v>
      </c>
      <c r="B96" s="261"/>
      <c r="C96" s="220"/>
      <c r="D96" s="220"/>
      <c r="E96" s="220"/>
      <c r="F96" s="212" t="s">
        <v>2131</v>
      </c>
      <c r="G96" s="227" t="s">
        <v>2135</v>
      </c>
      <c r="H96" s="227" t="s">
        <v>878</v>
      </c>
      <c r="I96" s="227" t="s">
        <v>2125</v>
      </c>
      <c r="J96" s="214" t="s">
        <v>1940</v>
      </c>
      <c r="K96" s="215" t="s">
        <v>33</v>
      </c>
      <c r="L96" s="226"/>
      <c r="M96" s="224"/>
      <c r="N96" s="217"/>
      <c r="O96" s="210"/>
    </row>
    <row r="97">
      <c r="A97" s="212">
        <f t="shared" si="1"/>
        <v>95</v>
      </c>
      <c r="B97" s="261"/>
      <c r="C97" s="220"/>
      <c r="D97" s="220"/>
      <c r="E97" s="220"/>
      <c r="F97" s="212" t="s">
        <v>2136</v>
      </c>
      <c r="G97" s="217" t="s">
        <v>2137</v>
      </c>
      <c r="H97" s="213" t="s">
        <v>2138</v>
      </c>
      <c r="I97" s="217" t="s">
        <v>2139</v>
      </c>
      <c r="J97" s="214" t="s">
        <v>1940</v>
      </c>
      <c r="K97" s="215" t="s">
        <v>33</v>
      </c>
      <c r="L97" s="226"/>
      <c r="M97" s="224"/>
      <c r="N97" s="217"/>
      <c r="O97" s="210"/>
    </row>
    <row r="98">
      <c r="A98" s="212">
        <f t="shared" si="1"/>
        <v>96</v>
      </c>
      <c r="B98" s="261"/>
      <c r="C98" s="220"/>
      <c r="D98" s="220"/>
      <c r="E98" s="220"/>
      <c r="F98" s="212" t="s">
        <v>2136</v>
      </c>
      <c r="G98" s="227" t="s">
        <v>2140</v>
      </c>
      <c r="H98" s="227" t="s">
        <v>1162</v>
      </c>
      <c r="I98" s="227" t="s">
        <v>2027</v>
      </c>
      <c r="J98" s="214" t="s">
        <v>1940</v>
      </c>
      <c r="K98" s="215" t="s">
        <v>33</v>
      </c>
      <c r="L98" s="224"/>
      <c r="M98" s="224"/>
      <c r="N98" s="217"/>
      <c r="O98" s="210"/>
    </row>
    <row r="99">
      <c r="A99" s="212">
        <f t="shared" si="1"/>
        <v>97</v>
      </c>
      <c r="B99" s="261"/>
      <c r="C99" s="220"/>
      <c r="D99" s="220"/>
      <c r="E99" s="220"/>
      <c r="F99" s="212" t="s">
        <v>2136</v>
      </c>
      <c r="G99" s="227" t="s">
        <v>2140</v>
      </c>
      <c r="H99" s="227" t="s">
        <v>878</v>
      </c>
      <c r="I99" s="227" t="s">
        <v>2125</v>
      </c>
      <c r="J99" s="214" t="s">
        <v>1940</v>
      </c>
      <c r="K99" s="215" t="s">
        <v>33</v>
      </c>
      <c r="L99" s="224"/>
      <c r="M99" s="224"/>
      <c r="N99" s="217"/>
      <c r="O99" s="210"/>
    </row>
    <row r="100">
      <c r="A100" s="212">
        <f t="shared" si="1"/>
        <v>98</v>
      </c>
      <c r="B100" s="261"/>
      <c r="C100" s="220"/>
      <c r="D100" s="220"/>
      <c r="E100" s="220"/>
      <c r="F100" s="212" t="s">
        <v>2141</v>
      </c>
      <c r="G100" s="217" t="s">
        <v>2142</v>
      </c>
      <c r="H100" s="213" t="s">
        <v>2143</v>
      </c>
      <c r="I100" s="263" t="s">
        <v>2144</v>
      </c>
      <c r="J100" s="214" t="s">
        <v>1940</v>
      </c>
      <c r="K100" s="215" t="s">
        <v>33</v>
      </c>
      <c r="L100" s="224"/>
      <c r="M100" s="227" t="s">
        <v>2145</v>
      </c>
      <c r="N100" s="217"/>
      <c r="O100" s="210"/>
    </row>
    <row r="101">
      <c r="A101" s="212">
        <f t="shared" si="1"/>
        <v>99</v>
      </c>
      <c r="B101" s="261"/>
      <c r="C101" s="220"/>
      <c r="D101" s="220"/>
      <c r="E101" s="220"/>
      <c r="F101" s="212" t="s">
        <v>2141</v>
      </c>
      <c r="G101" s="227" t="s">
        <v>2146</v>
      </c>
      <c r="H101" s="227" t="s">
        <v>1162</v>
      </c>
      <c r="I101" s="227" t="s">
        <v>2027</v>
      </c>
      <c r="J101" s="214" t="s">
        <v>1940</v>
      </c>
      <c r="K101" s="215" t="s">
        <v>33</v>
      </c>
      <c r="L101" s="226"/>
      <c r="M101" s="224"/>
      <c r="N101" s="217"/>
      <c r="O101" s="210"/>
    </row>
    <row r="102">
      <c r="A102" s="212">
        <f t="shared" si="1"/>
        <v>100</v>
      </c>
      <c r="B102" s="261"/>
      <c r="C102" s="220"/>
      <c r="D102" s="220"/>
      <c r="E102" s="220"/>
      <c r="F102" s="212" t="s">
        <v>2141</v>
      </c>
      <c r="G102" s="227" t="s">
        <v>2146</v>
      </c>
      <c r="H102" s="227" t="s">
        <v>878</v>
      </c>
      <c r="I102" s="227" t="s">
        <v>2125</v>
      </c>
      <c r="J102" s="214" t="s">
        <v>1940</v>
      </c>
      <c r="K102" s="215" t="s">
        <v>33</v>
      </c>
      <c r="L102" s="224"/>
      <c r="M102" s="227"/>
      <c r="N102" s="217"/>
      <c r="O102" s="210"/>
    </row>
    <row r="103">
      <c r="A103" s="212">
        <f t="shared" si="1"/>
        <v>101</v>
      </c>
      <c r="B103" s="228"/>
      <c r="C103" s="220"/>
      <c r="D103" s="220"/>
      <c r="E103" s="220"/>
      <c r="F103" s="212" t="s">
        <v>2147</v>
      </c>
      <c r="G103" s="217" t="s">
        <v>2148</v>
      </c>
      <c r="H103" s="213" t="s">
        <v>2149</v>
      </c>
      <c r="I103" s="263" t="s">
        <v>2150</v>
      </c>
      <c r="J103" s="214" t="s">
        <v>1940</v>
      </c>
      <c r="K103" s="215" t="s">
        <v>33</v>
      </c>
      <c r="L103" s="224"/>
      <c r="M103" s="224"/>
      <c r="N103" s="217"/>
      <c r="O103" s="210"/>
    </row>
    <row r="104">
      <c r="A104" s="212">
        <f t="shared" si="1"/>
        <v>102</v>
      </c>
      <c r="B104" s="228"/>
      <c r="C104" s="220"/>
      <c r="D104" s="220"/>
      <c r="E104" s="220"/>
      <c r="F104" s="212" t="s">
        <v>2147</v>
      </c>
      <c r="G104" s="227" t="s">
        <v>2151</v>
      </c>
      <c r="H104" s="227" t="s">
        <v>1162</v>
      </c>
      <c r="I104" s="227" t="s">
        <v>2027</v>
      </c>
      <c r="J104" s="214" t="s">
        <v>1940</v>
      </c>
      <c r="K104" s="215" t="s">
        <v>33</v>
      </c>
      <c r="L104" s="224"/>
      <c r="M104" s="224"/>
      <c r="N104" s="217"/>
      <c r="O104" s="210"/>
    </row>
    <row r="105">
      <c r="A105" s="212">
        <f t="shared" si="1"/>
        <v>103</v>
      </c>
      <c r="B105" s="228"/>
      <c r="C105" s="220"/>
      <c r="D105" s="220"/>
      <c r="E105" s="220"/>
      <c r="F105" s="212" t="s">
        <v>2147</v>
      </c>
      <c r="G105" s="227" t="s">
        <v>2151</v>
      </c>
      <c r="H105" s="227" t="s">
        <v>878</v>
      </c>
      <c r="I105" s="227" t="s">
        <v>2125</v>
      </c>
      <c r="J105" s="214" t="s">
        <v>1940</v>
      </c>
      <c r="K105" s="215" t="s">
        <v>33</v>
      </c>
      <c r="L105" s="224"/>
      <c r="M105" s="224"/>
      <c r="N105" s="217"/>
      <c r="O105" s="210"/>
    </row>
    <row r="106">
      <c r="A106" s="212">
        <f t="shared" si="1"/>
        <v>104</v>
      </c>
      <c r="B106" s="228"/>
      <c r="C106" s="220"/>
      <c r="D106" s="220"/>
      <c r="E106" s="220"/>
      <c r="F106" s="212" t="s">
        <v>2152</v>
      </c>
      <c r="G106" s="217" t="s">
        <v>2153</v>
      </c>
      <c r="H106" s="213" t="s">
        <v>2154</v>
      </c>
      <c r="I106" s="263" t="s">
        <v>2155</v>
      </c>
      <c r="J106" s="214" t="s">
        <v>1940</v>
      </c>
      <c r="K106" s="215" t="s">
        <v>33</v>
      </c>
      <c r="L106" s="224"/>
      <c r="M106" s="224"/>
      <c r="N106" s="217"/>
      <c r="O106" s="210"/>
    </row>
    <row r="107">
      <c r="A107" s="212">
        <f t="shared" si="1"/>
        <v>105</v>
      </c>
      <c r="B107" s="228"/>
      <c r="C107" s="220"/>
      <c r="D107" s="220"/>
      <c r="E107" s="220"/>
      <c r="F107" s="212" t="s">
        <v>2152</v>
      </c>
      <c r="G107" s="227" t="s">
        <v>2156</v>
      </c>
      <c r="H107" s="227" t="s">
        <v>1162</v>
      </c>
      <c r="I107" s="227" t="s">
        <v>2027</v>
      </c>
      <c r="J107" s="214" t="s">
        <v>1940</v>
      </c>
      <c r="K107" s="215" t="s">
        <v>33</v>
      </c>
      <c r="L107" s="224"/>
      <c r="M107" s="224"/>
      <c r="N107" s="217"/>
      <c r="O107" s="210"/>
    </row>
    <row r="108">
      <c r="A108" s="212">
        <f t="shared" si="1"/>
        <v>106</v>
      </c>
      <c r="B108" s="228"/>
      <c r="C108" s="39"/>
      <c r="D108" s="39"/>
      <c r="E108" s="39"/>
      <c r="F108" s="212" t="s">
        <v>2152</v>
      </c>
      <c r="G108" s="227" t="s">
        <v>2156</v>
      </c>
      <c r="H108" s="227" t="s">
        <v>878</v>
      </c>
      <c r="I108" s="227" t="s">
        <v>2125</v>
      </c>
      <c r="J108" s="214" t="s">
        <v>1940</v>
      </c>
      <c r="K108" s="215" t="s">
        <v>33</v>
      </c>
      <c r="L108" s="226"/>
      <c r="M108" s="224"/>
      <c r="N108" s="217"/>
      <c r="O108" s="210"/>
    </row>
    <row r="109">
      <c r="A109" s="212">
        <f t="shared" si="1"/>
        <v>107</v>
      </c>
      <c r="B109" s="228"/>
      <c r="C109" s="225" t="s">
        <v>166</v>
      </c>
      <c r="D109" s="225"/>
      <c r="E109" s="212"/>
      <c r="F109" s="212" t="s">
        <v>483</v>
      </c>
      <c r="G109" s="227"/>
      <c r="H109" s="213" t="s">
        <v>2157</v>
      </c>
      <c r="I109" s="227" t="s">
        <v>2158</v>
      </c>
      <c r="J109" s="256" t="s">
        <v>166</v>
      </c>
      <c r="K109" s="215" t="s">
        <v>33</v>
      </c>
      <c r="L109" s="226"/>
      <c r="M109" s="224"/>
      <c r="N109" s="217"/>
      <c r="O109" s="210"/>
    </row>
    <row r="110">
      <c r="A110" s="212">
        <f t="shared" si="1"/>
        <v>108</v>
      </c>
      <c r="B110" s="228"/>
      <c r="C110" s="220"/>
      <c r="D110" s="212" t="s">
        <v>1942</v>
      </c>
      <c r="E110" s="212"/>
      <c r="F110" s="212" t="s">
        <v>483</v>
      </c>
      <c r="G110" s="227"/>
      <c r="H110" s="227" t="s">
        <v>1943</v>
      </c>
      <c r="I110" s="227" t="s">
        <v>2159</v>
      </c>
      <c r="J110" s="256" t="s">
        <v>166</v>
      </c>
      <c r="K110" s="215" t="s">
        <v>33</v>
      </c>
      <c r="L110" s="224"/>
      <c r="M110" s="224"/>
      <c r="N110" s="217"/>
      <c r="O110" s="210"/>
    </row>
    <row r="111">
      <c r="A111" s="212">
        <f t="shared" si="1"/>
        <v>109</v>
      </c>
      <c r="B111" s="228"/>
      <c r="C111" s="220"/>
      <c r="D111" s="225" t="s">
        <v>2160</v>
      </c>
      <c r="E111" s="212"/>
      <c r="F111" s="212" t="s">
        <v>483</v>
      </c>
      <c r="G111" s="224"/>
      <c r="H111" s="213" t="s">
        <v>2161</v>
      </c>
      <c r="I111" s="227" t="s">
        <v>2162</v>
      </c>
      <c r="J111" s="256" t="s">
        <v>166</v>
      </c>
      <c r="K111" s="215" t="s">
        <v>33</v>
      </c>
      <c r="L111" s="224"/>
      <c r="M111" s="224"/>
      <c r="N111" s="217"/>
      <c r="O111" s="210"/>
    </row>
    <row r="112">
      <c r="A112" s="212">
        <f t="shared" si="1"/>
        <v>110</v>
      </c>
      <c r="B112" s="228"/>
      <c r="C112" s="220"/>
      <c r="D112" s="220"/>
      <c r="E112" s="212" t="s">
        <v>2163</v>
      </c>
      <c r="F112" s="212" t="s">
        <v>2164</v>
      </c>
      <c r="G112" s="227"/>
      <c r="H112" s="227" t="s">
        <v>2165</v>
      </c>
      <c r="I112" s="227" t="s">
        <v>2166</v>
      </c>
      <c r="J112" s="256" t="s">
        <v>166</v>
      </c>
      <c r="K112" s="215" t="s">
        <v>33</v>
      </c>
      <c r="L112" s="224"/>
      <c r="M112" s="227" t="s">
        <v>2167</v>
      </c>
      <c r="N112" s="217"/>
      <c r="O112" s="210"/>
    </row>
    <row r="113">
      <c r="A113" s="212">
        <f t="shared" si="1"/>
        <v>111</v>
      </c>
      <c r="B113" s="228"/>
      <c r="C113" s="220"/>
      <c r="D113" s="39"/>
      <c r="E113" s="212" t="s">
        <v>2168</v>
      </c>
      <c r="F113" s="212" t="s">
        <v>2169</v>
      </c>
      <c r="G113" s="227"/>
      <c r="H113" s="227" t="s">
        <v>2170</v>
      </c>
      <c r="I113" s="227" t="s">
        <v>2171</v>
      </c>
      <c r="J113" s="256" t="s">
        <v>166</v>
      </c>
      <c r="K113" s="215" t="s">
        <v>33</v>
      </c>
      <c r="L113" s="224"/>
      <c r="M113" s="227" t="s">
        <v>2167</v>
      </c>
      <c r="N113" s="217"/>
      <c r="O113" s="210"/>
    </row>
    <row r="114">
      <c r="A114" s="212">
        <f t="shared" si="1"/>
        <v>112</v>
      </c>
      <c r="B114" s="228"/>
      <c r="C114" s="220"/>
      <c r="D114" s="225" t="s">
        <v>2172</v>
      </c>
      <c r="E114" s="225"/>
      <c r="F114" s="212" t="s">
        <v>483</v>
      </c>
      <c r="G114" s="224"/>
      <c r="H114" s="213" t="s">
        <v>2173</v>
      </c>
      <c r="I114" s="227" t="s">
        <v>2174</v>
      </c>
      <c r="J114" s="256" t="s">
        <v>166</v>
      </c>
      <c r="K114" s="215" t="s">
        <v>33</v>
      </c>
      <c r="L114" s="226"/>
      <c r="M114" s="227"/>
      <c r="N114" s="217"/>
      <c r="O114" s="210"/>
    </row>
    <row r="115">
      <c r="A115" s="212">
        <f t="shared" si="1"/>
        <v>113</v>
      </c>
      <c r="B115" s="228"/>
      <c r="C115" s="220"/>
      <c r="D115" s="220"/>
      <c r="E115" s="212" t="s">
        <v>1874</v>
      </c>
      <c r="F115" s="212" t="s">
        <v>483</v>
      </c>
      <c r="G115" s="224"/>
      <c r="H115" s="227" t="s">
        <v>2175</v>
      </c>
      <c r="I115" s="227" t="s">
        <v>2176</v>
      </c>
      <c r="J115" s="256" t="s">
        <v>166</v>
      </c>
      <c r="K115" s="215" t="s">
        <v>33</v>
      </c>
      <c r="L115" s="224"/>
      <c r="M115" s="227"/>
      <c r="N115" s="217"/>
      <c r="O115" s="210"/>
    </row>
    <row r="116">
      <c r="A116" s="212">
        <f t="shared" si="1"/>
        <v>114</v>
      </c>
      <c r="B116" s="228"/>
      <c r="C116" s="220"/>
      <c r="D116" s="220"/>
      <c r="E116" s="212" t="s">
        <v>2177</v>
      </c>
      <c r="F116" s="212" t="s">
        <v>2164</v>
      </c>
      <c r="G116" s="227" t="s">
        <v>2178</v>
      </c>
      <c r="H116" s="227" t="s">
        <v>2179</v>
      </c>
      <c r="I116" s="213" t="s">
        <v>2180</v>
      </c>
      <c r="J116" s="256" t="s">
        <v>166</v>
      </c>
      <c r="K116" s="215" t="s">
        <v>33</v>
      </c>
      <c r="L116" s="224"/>
      <c r="M116" s="224"/>
      <c r="N116" s="217"/>
      <c r="O116" s="210"/>
    </row>
    <row r="117">
      <c r="A117" s="212">
        <f t="shared" si="1"/>
        <v>115</v>
      </c>
      <c r="B117" s="228"/>
      <c r="C117" s="220"/>
      <c r="D117" s="220"/>
      <c r="E117" s="212" t="s">
        <v>2181</v>
      </c>
      <c r="F117" s="212" t="s">
        <v>2169</v>
      </c>
      <c r="G117" s="227" t="s">
        <v>2178</v>
      </c>
      <c r="H117" s="227" t="s">
        <v>2182</v>
      </c>
      <c r="I117" s="213" t="s">
        <v>2183</v>
      </c>
      <c r="J117" s="256" t="s">
        <v>166</v>
      </c>
      <c r="K117" s="215" t="s">
        <v>33</v>
      </c>
      <c r="L117" s="224"/>
      <c r="M117" s="224"/>
      <c r="N117" s="217"/>
      <c r="O117" s="210"/>
    </row>
    <row r="118">
      <c r="A118" s="212">
        <f t="shared" si="1"/>
        <v>116</v>
      </c>
      <c r="B118" s="228"/>
      <c r="C118" s="220"/>
      <c r="D118" s="220"/>
      <c r="E118" s="212" t="s">
        <v>2184</v>
      </c>
      <c r="F118" s="212" t="s">
        <v>2185</v>
      </c>
      <c r="G118" s="227" t="s">
        <v>2178</v>
      </c>
      <c r="H118" s="213" t="s">
        <v>2186</v>
      </c>
      <c r="I118" s="227" t="s">
        <v>2187</v>
      </c>
      <c r="J118" s="256" t="s">
        <v>166</v>
      </c>
      <c r="K118" s="215" t="s">
        <v>33</v>
      </c>
      <c r="L118" s="224"/>
      <c r="M118" s="224"/>
      <c r="N118" s="217"/>
      <c r="O118" s="210"/>
    </row>
    <row r="119">
      <c r="A119" s="212">
        <f t="shared" si="1"/>
        <v>117</v>
      </c>
      <c r="B119" s="228"/>
      <c r="C119" s="220"/>
      <c r="D119" s="220"/>
      <c r="E119" s="212" t="s">
        <v>2184</v>
      </c>
      <c r="F119" s="212" t="s">
        <v>2185</v>
      </c>
      <c r="G119" s="227" t="s">
        <v>2178</v>
      </c>
      <c r="H119" s="213" t="s">
        <v>2188</v>
      </c>
      <c r="I119" s="227" t="s">
        <v>2189</v>
      </c>
      <c r="J119" s="256" t="s">
        <v>166</v>
      </c>
      <c r="K119" s="215" t="s">
        <v>33</v>
      </c>
      <c r="L119" s="224"/>
      <c r="M119" s="224"/>
      <c r="N119" s="217"/>
      <c r="O119" s="210"/>
    </row>
    <row r="120">
      <c r="A120" s="212">
        <f t="shared" si="1"/>
        <v>118</v>
      </c>
      <c r="B120" s="228"/>
      <c r="C120" s="220"/>
      <c r="D120" s="220"/>
      <c r="E120" s="212" t="s">
        <v>608</v>
      </c>
      <c r="F120" s="212" t="s">
        <v>608</v>
      </c>
      <c r="G120" s="227" t="s">
        <v>2178</v>
      </c>
      <c r="H120" s="213" t="s">
        <v>2190</v>
      </c>
      <c r="I120" s="227" t="s">
        <v>2191</v>
      </c>
      <c r="J120" s="256" t="s">
        <v>166</v>
      </c>
      <c r="K120" s="215" t="s">
        <v>33</v>
      </c>
      <c r="L120" s="224"/>
      <c r="M120" s="224"/>
      <c r="N120" s="217"/>
      <c r="O120" s="210"/>
    </row>
    <row r="121">
      <c r="A121" s="212">
        <f t="shared" si="1"/>
        <v>119</v>
      </c>
      <c r="B121" s="228"/>
      <c r="C121" s="220"/>
      <c r="D121" s="220"/>
      <c r="E121" s="212" t="s">
        <v>2192</v>
      </c>
      <c r="F121" s="212" t="s">
        <v>1040</v>
      </c>
      <c r="G121" s="227" t="s">
        <v>2178</v>
      </c>
      <c r="H121" s="213" t="s">
        <v>2193</v>
      </c>
      <c r="I121" s="217" t="s">
        <v>2194</v>
      </c>
      <c r="J121" s="256" t="s">
        <v>166</v>
      </c>
      <c r="K121" s="215" t="s">
        <v>33</v>
      </c>
      <c r="L121" s="224"/>
      <c r="M121" s="224"/>
      <c r="N121" s="217"/>
      <c r="O121" s="210"/>
    </row>
    <row r="122">
      <c r="A122" s="212">
        <f t="shared" si="1"/>
        <v>120</v>
      </c>
      <c r="B122" s="228"/>
      <c r="C122" s="220"/>
      <c r="D122" s="220"/>
      <c r="E122" s="212" t="s">
        <v>1874</v>
      </c>
      <c r="F122" s="212" t="s">
        <v>613</v>
      </c>
      <c r="G122" s="224"/>
      <c r="H122" s="227" t="s">
        <v>2195</v>
      </c>
      <c r="I122" s="227" t="s">
        <v>2196</v>
      </c>
      <c r="J122" s="256" t="s">
        <v>166</v>
      </c>
      <c r="K122" s="215" t="s">
        <v>33</v>
      </c>
      <c r="L122" s="224"/>
      <c r="M122" s="224"/>
      <c r="N122" s="217"/>
      <c r="O122" s="210"/>
    </row>
    <row r="123">
      <c r="A123" s="212">
        <f t="shared" si="1"/>
        <v>121</v>
      </c>
      <c r="B123" s="228"/>
      <c r="C123" s="220"/>
      <c r="D123" s="220"/>
      <c r="E123" s="212" t="s">
        <v>2177</v>
      </c>
      <c r="F123" s="212" t="s">
        <v>2164</v>
      </c>
      <c r="G123" s="227" t="s">
        <v>2178</v>
      </c>
      <c r="H123" s="227" t="s">
        <v>2179</v>
      </c>
      <c r="I123" s="213" t="s">
        <v>2180</v>
      </c>
      <c r="J123" s="256" t="s">
        <v>166</v>
      </c>
      <c r="K123" s="215" t="s">
        <v>33</v>
      </c>
      <c r="L123" s="224"/>
      <c r="M123" s="224"/>
      <c r="N123" s="217"/>
      <c r="O123" s="210"/>
    </row>
    <row r="124">
      <c r="A124" s="212">
        <f t="shared" si="1"/>
        <v>122</v>
      </c>
      <c r="B124" s="228"/>
      <c r="C124" s="220"/>
      <c r="D124" s="220"/>
      <c r="E124" s="212" t="s">
        <v>2177</v>
      </c>
      <c r="F124" s="212" t="s">
        <v>2169</v>
      </c>
      <c r="G124" s="227" t="s">
        <v>2178</v>
      </c>
      <c r="H124" s="227" t="s">
        <v>2182</v>
      </c>
      <c r="I124" s="213" t="s">
        <v>2183</v>
      </c>
      <c r="J124" s="256" t="s">
        <v>166</v>
      </c>
      <c r="K124" s="215" t="s">
        <v>33</v>
      </c>
      <c r="L124" s="226"/>
      <c r="M124" s="224"/>
      <c r="N124" s="217"/>
      <c r="O124" s="210"/>
    </row>
    <row r="125">
      <c r="A125" s="212">
        <f t="shared" si="1"/>
        <v>123</v>
      </c>
      <c r="B125" s="228"/>
      <c r="C125" s="220"/>
      <c r="D125" s="220"/>
      <c r="E125" s="212" t="s">
        <v>2185</v>
      </c>
      <c r="F125" s="212" t="s">
        <v>2164</v>
      </c>
      <c r="G125" s="227" t="s">
        <v>2178</v>
      </c>
      <c r="H125" s="213" t="s">
        <v>2186</v>
      </c>
      <c r="I125" s="227" t="s">
        <v>2187</v>
      </c>
      <c r="J125" s="256" t="s">
        <v>166</v>
      </c>
      <c r="K125" s="215" t="s">
        <v>33</v>
      </c>
      <c r="L125" s="226"/>
      <c r="M125" s="224"/>
      <c r="N125" s="217"/>
      <c r="O125" s="210"/>
    </row>
    <row r="126">
      <c r="A126" s="212">
        <f t="shared" si="1"/>
        <v>124</v>
      </c>
      <c r="B126" s="228"/>
      <c r="C126" s="220"/>
      <c r="D126" s="220"/>
      <c r="E126" s="212" t="s">
        <v>2185</v>
      </c>
      <c r="F126" s="212" t="s">
        <v>2169</v>
      </c>
      <c r="G126" s="227" t="s">
        <v>2178</v>
      </c>
      <c r="H126" s="213" t="s">
        <v>2188</v>
      </c>
      <c r="I126" s="227" t="s">
        <v>2189</v>
      </c>
      <c r="J126" s="256" t="s">
        <v>166</v>
      </c>
      <c r="K126" s="215" t="s">
        <v>33</v>
      </c>
      <c r="L126" s="226"/>
      <c r="M126" s="224"/>
      <c r="N126" s="217"/>
      <c r="O126" s="210"/>
    </row>
    <row r="127">
      <c r="A127" s="212">
        <f t="shared" si="1"/>
        <v>125</v>
      </c>
      <c r="B127" s="228"/>
      <c r="C127" s="220"/>
      <c r="D127" s="220"/>
      <c r="E127" s="212" t="s">
        <v>608</v>
      </c>
      <c r="F127" s="212" t="s">
        <v>2185</v>
      </c>
      <c r="G127" s="227" t="s">
        <v>2178</v>
      </c>
      <c r="H127" s="213" t="s">
        <v>2190</v>
      </c>
      <c r="I127" s="227" t="s">
        <v>2191</v>
      </c>
      <c r="J127" s="256" t="s">
        <v>166</v>
      </c>
      <c r="K127" s="215" t="s">
        <v>33</v>
      </c>
      <c r="L127" s="224"/>
      <c r="M127" s="224"/>
      <c r="N127" s="217"/>
      <c r="O127" s="210"/>
    </row>
    <row r="128">
      <c r="A128" s="212">
        <f t="shared" si="1"/>
        <v>126</v>
      </c>
      <c r="B128" s="228"/>
      <c r="C128" s="220"/>
      <c r="D128" s="220"/>
      <c r="E128" s="212" t="s">
        <v>2192</v>
      </c>
      <c r="F128" s="212" t="s">
        <v>1040</v>
      </c>
      <c r="G128" s="227" t="s">
        <v>2178</v>
      </c>
      <c r="H128" s="213" t="s">
        <v>2193</v>
      </c>
      <c r="I128" s="217" t="s">
        <v>2194</v>
      </c>
      <c r="J128" s="256" t="s">
        <v>166</v>
      </c>
      <c r="K128" s="215" t="s">
        <v>33</v>
      </c>
      <c r="L128" s="224"/>
      <c r="M128" s="224"/>
      <c r="N128" s="217"/>
      <c r="O128" s="210"/>
    </row>
    <row r="129">
      <c r="A129" s="212">
        <f t="shared" si="1"/>
        <v>127</v>
      </c>
      <c r="B129" s="228"/>
      <c r="C129" s="220"/>
      <c r="D129" s="220"/>
      <c r="E129" s="212" t="s">
        <v>1874</v>
      </c>
      <c r="F129" s="212" t="s">
        <v>483</v>
      </c>
      <c r="G129" s="224"/>
      <c r="H129" s="227" t="s">
        <v>2197</v>
      </c>
      <c r="I129" s="227" t="s">
        <v>2198</v>
      </c>
      <c r="J129" s="256" t="s">
        <v>166</v>
      </c>
      <c r="K129" s="215" t="s">
        <v>33</v>
      </c>
      <c r="L129" s="226"/>
      <c r="M129" s="224"/>
      <c r="N129" s="217"/>
      <c r="O129" s="210"/>
    </row>
    <row r="130">
      <c r="A130" s="212">
        <f t="shared" si="1"/>
        <v>128</v>
      </c>
      <c r="B130" s="228"/>
      <c r="C130" s="220"/>
      <c r="D130" s="220"/>
      <c r="E130" s="212" t="s">
        <v>2177</v>
      </c>
      <c r="F130" s="212" t="s">
        <v>2164</v>
      </c>
      <c r="G130" s="227" t="s">
        <v>2178</v>
      </c>
      <c r="H130" s="227" t="s">
        <v>2179</v>
      </c>
      <c r="I130" s="213" t="s">
        <v>2180</v>
      </c>
      <c r="J130" s="256" t="s">
        <v>166</v>
      </c>
      <c r="K130" s="215" t="s">
        <v>33</v>
      </c>
      <c r="L130" s="224"/>
      <c r="M130" s="224"/>
      <c r="N130" s="217"/>
      <c r="O130" s="210"/>
    </row>
    <row r="131">
      <c r="A131" s="212">
        <f t="shared" si="1"/>
        <v>129</v>
      </c>
      <c r="B131" s="228"/>
      <c r="C131" s="220"/>
      <c r="D131" s="220"/>
      <c r="E131" s="212" t="s">
        <v>2177</v>
      </c>
      <c r="F131" s="212" t="s">
        <v>2169</v>
      </c>
      <c r="G131" s="227" t="s">
        <v>2178</v>
      </c>
      <c r="H131" s="227" t="s">
        <v>2182</v>
      </c>
      <c r="I131" s="213" t="s">
        <v>2183</v>
      </c>
      <c r="J131" s="256" t="s">
        <v>166</v>
      </c>
      <c r="K131" s="215" t="s">
        <v>33</v>
      </c>
      <c r="L131" s="224"/>
      <c r="M131" s="224"/>
      <c r="N131" s="217"/>
      <c r="O131" s="210"/>
    </row>
    <row r="132">
      <c r="A132" s="212">
        <f t="shared" si="1"/>
        <v>130</v>
      </c>
      <c r="B132" s="228"/>
      <c r="C132" s="220"/>
      <c r="D132" s="220"/>
      <c r="E132" s="212" t="s">
        <v>2185</v>
      </c>
      <c r="F132" s="212" t="s">
        <v>2164</v>
      </c>
      <c r="G132" s="227" t="s">
        <v>2178</v>
      </c>
      <c r="H132" s="213" t="s">
        <v>2186</v>
      </c>
      <c r="I132" s="227" t="s">
        <v>2187</v>
      </c>
      <c r="J132" s="256" t="s">
        <v>166</v>
      </c>
      <c r="K132" s="215" t="s">
        <v>33</v>
      </c>
      <c r="L132" s="224"/>
      <c r="M132" s="224"/>
      <c r="N132" s="217"/>
      <c r="O132" s="210"/>
    </row>
    <row r="133">
      <c r="A133" s="212">
        <f t="shared" si="1"/>
        <v>131</v>
      </c>
      <c r="B133" s="228"/>
      <c r="C133" s="220"/>
      <c r="D133" s="220"/>
      <c r="E133" s="212" t="s">
        <v>2185</v>
      </c>
      <c r="F133" s="212" t="s">
        <v>2169</v>
      </c>
      <c r="G133" s="227" t="s">
        <v>2178</v>
      </c>
      <c r="H133" s="213" t="s">
        <v>2188</v>
      </c>
      <c r="I133" s="227" t="s">
        <v>2189</v>
      </c>
      <c r="J133" s="256" t="s">
        <v>166</v>
      </c>
      <c r="K133" s="215" t="s">
        <v>33</v>
      </c>
      <c r="L133" s="224"/>
      <c r="M133" s="224"/>
      <c r="N133" s="217"/>
      <c r="O133" s="210"/>
    </row>
    <row r="134">
      <c r="A134" s="212">
        <f t="shared" si="1"/>
        <v>132</v>
      </c>
      <c r="B134" s="228"/>
      <c r="C134" s="220"/>
      <c r="D134" s="220"/>
      <c r="E134" s="212" t="s">
        <v>608</v>
      </c>
      <c r="F134" s="212" t="s">
        <v>608</v>
      </c>
      <c r="G134" s="227" t="s">
        <v>2199</v>
      </c>
      <c r="H134" s="213" t="s">
        <v>2190</v>
      </c>
      <c r="I134" s="227" t="s">
        <v>2191</v>
      </c>
      <c r="J134" s="256" t="s">
        <v>166</v>
      </c>
      <c r="K134" s="215" t="s">
        <v>33</v>
      </c>
      <c r="L134" s="226"/>
      <c r="M134" s="224"/>
      <c r="N134" s="217"/>
      <c r="O134" s="210"/>
    </row>
    <row r="135">
      <c r="A135" s="212">
        <f t="shared" si="1"/>
        <v>133</v>
      </c>
      <c r="B135" s="228"/>
      <c r="C135" s="39"/>
      <c r="D135" s="39"/>
      <c r="E135" s="212" t="s">
        <v>2192</v>
      </c>
      <c r="F135" s="212" t="s">
        <v>1040</v>
      </c>
      <c r="G135" s="227" t="s">
        <v>2199</v>
      </c>
      <c r="H135" s="213" t="s">
        <v>2193</v>
      </c>
      <c r="I135" s="217" t="s">
        <v>2194</v>
      </c>
      <c r="J135" s="256" t="s">
        <v>166</v>
      </c>
      <c r="K135" s="215" t="s">
        <v>33</v>
      </c>
      <c r="L135" s="224"/>
      <c r="M135" s="224"/>
      <c r="N135" s="217"/>
      <c r="O135" s="210"/>
    </row>
    <row r="136">
      <c r="A136" s="212">
        <f t="shared" si="1"/>
        <v>134</v>
      </c>
      <c r="B136" s="228"/>
      <c r="C136" s="225" t="s">
        <v>168</v>
      </c>
      <c r="D136" s="212"/>
      <c r="E136" s="225"/>
      <c r="F136" s="212" t="s">
        <v>483</v>
      </c>
      <c r="G136" s="227"/>
      <c r="H136" s="213" t="s">
        <v>2200</v>
      </c>
      <c r="I136" s="227" t="s">
        <v>2201</v>
      </c>
      <c r="J136" s="264" t="s">
        <v>2202</v>
      </c>
      <c r="K136" s="215" t="s">
        <v>33</v>
      </c>
      <c r="L136" s="224"/>
      <c r="M136" s="224"/>
      <c r="N136" s="224"/>
      <c r="O136" s="210"/>
    </row>
    <row r="137">
      <c r="A137" s="212">
        <f t="shared" si="1"/>
        <v>135</v>
      </c>
      <c r="B137" s="228"/>
      <c r="C137" s="220"/>
      <c r="D137" s="212" t="s">
        <v>1942</v>
      </c>
      <c r="E137" s="262"/>
      <c r="F137" s="212" t="s">
        <v>483</v>
      </c>
      <c r="G137" s="227"/>
      <c r="H137" s="227" t="s">
        <v>1943</v>
      </c>
      <c r="I137" s="227" t="s">
        <v>2203</v>
      </c>
      <c r="J137" s="264" t="s">
        <v>2202</v>
      </c>
      <c r="K137" s="215" t="s">
        <v>33</v>
      </c>
      <c r="L137" s="224"/>
      <c r="M137" s="224"/>
      <c r="N137" s="224"/>
      <c r="O137" s="210"/>
    </row>
    <row r="138">
      <c r="A138" s="212">
        <f t="shared" si="1"/>
        <v>136</v>
      </c>
      <c r="B138" s="228"/>
      <c r="C138" s="220"/>
      <c r="D138" s="225" t="s">
        <v>2204</v>
      </c>
      <c r="E138" s="262"/>
      <c r="F138" s="212" t="s">
        <v>483</v>
      </c>
      <c r="G138" s="224"/>
      <c r="H138" s="227" t="s">
        <v>2205</v>
      </c>
      <c r="I138" s="227" t="s">
        <v>2206</v>
      </c>
      <c r="J138" s="264" t="s">
        <v>2202</v>
      </c>
      <c r="K138" s="215" t="s">
        <v>33</v>
      </c>
      <c r="L138" s="224"/>
      <c r="M138" s="224"/>
      <c r="N138" s="224"/>
      <c r="O138" s="210"/>
    </row>
    <row r="139">
      <c r="A139" s="212">
        <f t="shared" si="1"/>
        <v>137</v>
      </c>
      <c r="B139" s="228"/>
      <c r="C139" s="220"/>
      <c r="D139" s="220"/>
      <c r="E139" s="212" t="s">
        <v>1874</v>
      </c>
      <c r="F139" s="212" t="s">
        <v>483</v>
      </c>
      <c r="G139" s="224"/>
      <c r="H139" s="227" t="s">
        <v>2175</v>
      </c>
      <c r="I139" s="227" t="s">
        <v>2176</v>
      </c>
      <c r="J139" s="264" t="s">
        <v>2202</v>
      </c>
      <c r="K139" s="215" t="s">
        <v>33</v>
      </c>
      <c r="L139" s="224"/>
      <c r="M139" s="224"/>
      <c r="N139" s="224"/>
      <c r="O139" s="210"/>
    </row>
    <row r="140">
      <c r="A140" s="212">
        <f t="shared" si="1"/>
        <v>138</v>
      </c>
      <c r="B140" s="228"/>
      <c r="C140" s="220"/>
      <c r="D140" s="220"/>
      <c r="E140" s="212" t="s">
        <v>2207</v>
      </c>
      <c r="F140" s="212" t="s">
        <v>2164</v>
      </c>
      <c r="G140" s="227" t="s">
        <v>2208</v>
      </c>
      <c r="H140" s="227" t="s">
        <v>2209</v>
      </c>
      <c r="I140" s="227" t="s">
        <v>2210</v>
      </c>
      <c r="J140" s="264" t="s">
        <v>2202</v>
      </c>
      <c r="K140" s="215" t="s">
        <v>33</v>
      </c>
      <c r="L140" s="224"/>
      <c r="M140" s="224"/>
      <c r="N140" s="224"/>
      <c r="O140" s="210"/>
    </row>
    <row r="141">
      <c r="A141" s="212">
        <f t="shared" si="1"/>
        <v>139</v>
      </c>
      <c r="B141" s="228"/>
      <c r="C141" s="220"/>
      <c r="D141" s="220"/>
      <c r="E141" s="212" t="s">
        <v>2211</v>
      </c>
      <c r="F141" s="212" t="s">
        <v>2169</v>
      </c>
      <c r="G141" s="227" t="s">
        <v>2208</v>
      </c>
      <c r="H141" s="227" t="s">
        <v>2212</v>
      </c>
      <c r="I141" s="227" t="s">
        <v>2213</v>
      </c>
      <c r="J141" s="264" t="s">
        <v>2202</v>
      </c>
      <c r="K141" s="215" t="s">
        <v>33</v>
      </c>
      <c r="L141" s="224"/>
      <c r="M141" s="224"/>
      <c r="N141" s="224"/>
      <c r="O141" s="210"/>
    </row>
    <row r="142">
      <c r="A142" s="212">
        <f t="shared" si="1"/>
        <v>140</v>
      </c>
      <c r="B142" s="228"/>
      <c r="C142" s="220"/>
      <c r="D142" s="220"/>
      <c r="E142" s="212" t="s">
        <v>2214</v>
      </c>
      <c r="F142" s="212" t="s">
        <v>2215</v>
      </c>
      <c r="G142" s="227" t="s">
        <v>2208</v>
      </c>
      <c r="H142" s="227" t="s">
        <v>2216</v>
      </c>
      <c r="I142" s="227" t="s">
        <v>2217</v>
      </c>
      <c r="J142" s="264" t="s">
        <v>2202</v>
      </c>
      <c r="K142" s="215" t="s">
        <v>33</v>
      </c>
      <c r="L142" s="240" t="s">
        <v>2218</v>
      </c>
      <c r="M142" s="227" t="s">
        <v>2219</v>
      </c>
      <c r="N142" s="224"/>
      <c r="O142" s="210"/>
    </row>
    <row r="143">
      <c r="A143" s="212">
        <f t="shared" si="1"/>
        <v>141</v>
      </c>
      <c r="B143" s="228"/>
      <c r="C143" s="220"/>
      <c r="D143" s="220"/>
      <c r="E143" s="212" t="s">
        <v>2185</v>
      </c>
      <c r="F143" s="212" t="s">
        <v>2164</v>
      </c>
      <c r="G143" s="227" t="s">
        <v>2208</v>
      </c>
      <c r="H143" s="213" t="s">
        <v>2186</v>
      </c>
      <c r="I143" s="227" t="s">
        <v>2220</v>
      </c>
      <c r="J143" s="264" t="s">
        <v>2202</v>
      </c>
      <c r="K143" s="215" t="s">
        <v>33</v>
      </c>
      <c r="L143" s="224"/>
      <c r="M143" s="224"/>
      <c r="N143" s="224"/>
      <c r="O143" s="210"/>
    </row>
    <row r="144">
      <c r="A144" s="212">
        <f t="shared" si="1"/>
        <v>142</v>
      </c>
      <c r="B144" s="228"/>
      <c r="C144" s="220"/>
      <c r="D144" s="220"/>
      <c r="E144" s="212" t="s">
        <v>2185</v>
      </c>
      <c r="F144" s="212" t="s">
        <v>2169</v>
      </c>
      <c r="G144" s="227" t="s">
        <v>2208</v>
      </c>
      <c r="H144" s="213" t="s">
        <v>2188</v>
      </c>
      <c r="I144" s="227" t="s">
        <v>2221</v>
      </c>
      <c r="J144" s="264" t="s">
        <v>2202</v>
      </c>
      <c r="K144" s="215" t="s">
        <v>33</v>
      </c>
      <c r="L144" s="224"/>
      <c r="M144" s="224"/>
      <c r="N144" s="224"/>
      <c r="O144" s="210"/>
    </row>
    <row r="145">
      <c r="A145" s="212">
        <f t="shared" si="1"/>
        <v>143</v>
      </c>
      <c r="B145" s="228"/>
      <c r="C145" s="220"/>
      <c r="D145" s="220"/>
      <c r="E145" s="212" t="s">
        <v>1874</v>
      </c>
      <c r="F145" s="212" t="s">
        <v>483</v>
      </c>
      <c r="G145" s="224"/>
      <c r="H145" s="227" t="s">
        <v>2195</v>
      </c>
      <c r="I145" s="227" t="s">
        <v>2176</v>
      </c>
      <c r="J145" s="264" t="s">
        <v>2202</v>
      </c>
      <c r="K145" s="215" t="s">
        <v>33</v>
      </c>
      <c r="L145" s="224"/>
      <c r="M145" s="224"/>
      <c r="N145" s="224"/>
      <c r="O145" s="210"/>
    </row>
    <row r="146">
      <c r="A146" s="212">
        <f t="shared" si="1"/>
        <v>144</v>
      </c>
      <c r="B146" s="228"/>
      <c r="C146" s="220"/>
      <c r="D146" s="220"/>
      <c r="E146" s="212" t="s">
        <v>2207</v>
      </c>
      <c r="F146" s="212" t="s">
        <v>483</v>
      </c>
      <c r="G146" s="227" t="s">
        <v>2208</v>
      </c>
      <c r="H146" s="227" t="s">
        <v>2209</v>
      </c>
      <c r="I146" s="227" t="s">
        <v>2210</v>
      </c>
      <c r="J146" s="264" t="s">
        <v>2202</v>
      </c>
      <c r="K146" s="215" t="s">
        <v>33</v>
      </c>
      <c r="L146" s="224"/>
      <c r="M146" s="224"/>
      <c r="N146" s="224"/>
      <c r="O146" s="210"/>
    </row>
    <row r="147">
      <c r="A147" s="212">
        <f t="shared" si="1"/>
        <v>145</v>
      </c>
      <c r="B147" s="228"/>
      <c r="C147" s="220"/>
      <c r="D147" s="220"/>
      <c r="E147" s="212" t="s">
        <v>2211</v>
      </c>
      <c r="F147" s="212" t="s">
        <v>483</v>
      </c>
      <c r="G147" s="227" t="s">
        <v>2208</v>
      </c>
      <c r="H147" s="227" t="s">
        <v>2212</v>
      </c>
      <c r="I147" s="227" t="s">
        <v>2213</v>
      </c>
      <c r="J147" s="264" t="s">
        <v>2202</v>
      </c>
      <c r="K147" s="215" t="s">
        <v>33</v>
      </c>
      <c r="L147" s="224"/>
      <c r="M147" s="224"/>
      <c r="N147" s="224"/>
      <c r="O147" s="210"/>
    </row>
    <row r="148">
      <c r="A148" s="212">
        <f t="shared" si="1"/>
        <v>146</v>
      </c>
      <c r="B148" s="228"/>
      <c r="C148" s="220"/>
      <c r="D148" s="220"/>
      <c r="E148" s="212" t="s">
        <v>2214</v>
      </c>
      <c r="F148" s="212" t="s">
        <v>2215</v>
      </c>
      <c r="G148" s="227" t="s">
        <v>2208</v>
      </c>
      <c r="H148" s="227" t="s">
        <v>2216</v>
      </c>
      <c r="I148" s="227" t="s">
        <v>2217</v>
      </c>
      <c r="J148" s="264" t="s">
        <v>2202</v>
      </c>
      <c r="K148" s="215" t="s">
        <v>33</v>
      </c>
      <c r="L148" s="240" t="s">
        <v>2218</v>
      </c>
      <c r="M148" s="227" t="s">
        <v>2219</v>
      </c>
      <c r="N148" s="224"/>
      <c r="O148" s="210"/>
    </row>
    <row r="149">
      <c r="A149" s="212">
        <f t="shared" si="1"/>
        <v>147</v>
      </c>
      <c r="B149" s="228"/>
      <c r="C149" s="220"/>
      <c r="D149" s="220"/>
      <c r="E149" s="212" t="s">
        <v>2185</v>
      </c>
      <c r="F149" s="212" t="s">
        <v>2164</v>
      </c>
      <c r="G149" s="227" t="s">
        <v>2208</v>
      </c>
      <c r="H149" s="213" t="s">
        <v>2186</v>
      </c>
      <c r="I149" s="227" t="s">
        <v>2220</v>
      </c>
      <c r="J149" s="264" t="s">
        <v>2202</v>
      </c>
      <c r="K149" s="215" t="s">
        <v>33</v>
      </c>
      <c r="L149" s="224"/>
      <c r="M149" s="224"/>
      <c r="N149" s="224"/>
      <c r="O149" s="210"/>
    </row>
    <row r="150">
      <c r="A150" s="212">
        <f t="shared" si="1"/>
        <v>148</v>
      </c>
      <c r="B150" s="228"/>
      <c r="C150" s="220"/>
      <c r="D150" s="220"/>
      <c r="E150" s="212" t="s">
        <v>2185</v>
      </c>
      <c r="F150" s="212" t="s">
        <v>2169</v>
      </c>
      <c r="G150" s="227" t="s">
        <v>2208</v>
      </c>
      <c r="H150" s="213" t="s">
        <v>2188</v>
      </c>
      <c r="I150" s="227" t="s">
        <v>2221</v>
      </c>
      <c r="J150" s="264" t="s">
        <v>2202</v>
      </c>
      <c r="K150" s="215" t="s">
        <v>33</v>
      </c>
      <c r="L150" s="224"/>
      <c r="M150" s="224"/>
      <c r="N150" s="224"/>
      <c r="O150" s="210"/>
    </row>
    <row r="151">
      <c r="A151" s="212">
        <f t="shared" si="1"/>
        <v>149</v>
      </c>
      <c r="B151" s="228"/>
      <c r="C151" s="220"/>
      <c r="D151" s="220"/>
      <c r="E151" s="212" t="s">
        <v>1874</v>
      </c>
      <c r="F151" s="212" t="s">
        <v>483</v>
      </c>
      <c r="G151" s="224"/>
      <c r="H151" s="227" t="s">
        <v>2197</v>
      </c>
      <c r="I151" s="227" t="s">
        <v>2176</v>
      </c>
      <c r="J151" s="264" t="s">
        <v>2202</v>
      </c>
      <c r="K151" s="215" t="s">
        <v>33</v>
      </c>
      <c r="L151" s="224"/>
      <c r="M151" s="224"/>
      <c r="N151" s="224"/>
      <c r="O151" s="210"/>
    </row>
    <row r="152">
      <c r="A152" s="212">
        <f t="shared" si="1"/>
        <v>150</v>
      </c>
      <c r="B152" s="228"/>
      <c r="C152" s="220"/>
      <c r="D152" s="220"/>
      <c r="E152" s="212" t="s">
        <v>2207</v>
      </c>
      <c r="F152" s="212" t="s">
        <v>483</v>
      </c>
      <c r="G152" s="227" t="s">
        <v>2208</v>
      </c>
      <c r="H152" s="227" t="s">
        <v>2209</v>
      </c>
      <c r="I152" s="227" t="s">
        <v>2210</v>
      </c>
      <c r="J152" s="264" t="s">
        <v>2202</v>
      </c>
      <c r="K152" s="215" t="s">
        <v>33</v>
      </c>
      <c r="L152" s="224"/>
      <c r="M152" s="224"/>
      <c r="N152" s="224"/>
      <c r="O152" s="210"/>
    </row>
    <row r="153">
      <c r="A153" s="212">
        <f t="shared" si="1"/>
        <v>151</v>
      </c>
      <c r="B153" s="228"/>
      <c r="C153" s="220"/>
      <c r="D153" s="220"/>
      <c r="E153" s="212" t="s">
        <v>2211</v>
      </c>
      <c r="F153" s="212" t="s">
        <v>483</v>
      </c>
      <c r="G153" s="227" t="s">
        <v>2208</v>
      </c>
      <c r="H153" s="227" t="s">
        <v>2212</v>
      </c>
      <c r="I153" s="227" t="s">
        <v>2213</v>
      </c>
      <c r="J153" s="264" t="s">
        <v>2202</v>
      </c>
      <c r="K153" s="215" t="s">
        <v>33</v>
      </c>
      <c r="L153" s="224"/>
      <c r="M153" s="224"/>
      <c r="N153" s="224"/>
      <c r="O153" s="210"/>
    </row>
    <row r="154">
      <c r="A154" s="212">
        <f t="shared" si="1"/>
        <v>152</v>
      </c>
      <c r="B154" s="228"/>
      <c r="C154" s="220"/>
      <c r="D154" s="220"/>
      <c r="E154" s="212" t="s">
        <v>2214</v>
      </c>
      <c r="F154" s="212" t="s">
        <v>2215</v>
      </c>
      <c r="G154" s="227" t="s">
        <v>2208</v>
      </c>
      <c r="H154" s="227" t="s">
        <v>2216</v>
      </c>
      <c r="I154" s="227" t="s">
        <v>2217</v>
      </c>
      <c r="J154" s="264" t="s">
        <v>2202</v>
      </c>
      <c r="K154" s="215" t="s">
        <v>33</v>
      </c>
      <c r="L154" s="224"/>
      <c r="M154" s="224"/>
      <c r="N154" s="224"/>
      <c r="O154" s="210"/>
    </row>
    <row r="155">
      <c r="A155" s="212">
        <f t="shared" si="1"/>
        <v>153</v>
      </c>
      <c r="B155" s="228"/>
      <c r="C155" s="220"/>
      <c r="D155" s="220"/>
      <c r="E155" s="212" t="s">
        <v>2185</v>
      </c>
      <c r="F155" s="212" t="s">
        <v>2164</v>
      </c>
      <c r="G155" s="227" t="s">
        <v>2208</v>
      </c>
      <c r="H155" s="213" t="s">
        <v>2186</v>
      </c>
      <c r="I155" s="227" t="s">
        <v>2220</v>
      </c>
      <c r="J155" s="264" t="s">
        <v>2202</v>
      </c>
      <c r="K155" s="215" t="s">
        <v>33</v>
      </c>
      <c r="L155" s="224"/>
      <c r="M155" s="224"/>
      <c r="N155" s="224"/>
      <c r="O155" s="210"/>
    </row>
    <row r="156">
      <c r="A156" s="212">
        <f t="shared" si="1"/>
        <v>154</v>
      </c>
      <c r="B156" s="228"/>
      <c r="C156" s="220"/>
      <c r="D156" s="220"/>
      <c r="E156" s="212" t="s">
        <v>2185</v>
      </c>
      <c r="F156" s="212" t="s">
        <v>2169</v>
      </c>
      <c r="G156" s="227" t="s">
        <v>2208</v>
      </c>
      <c r="H156" s="213" t="s">
        <v>2188</v>
      </c>
      <c r="I156" s="227" t="s">
        <v>2221</v>
      </c>
      <c r="J156" s="264" t="s">
        <v>2202</v>
      </c>
      <c r="K156" s="215" t="s">
        <v>33</v>
      </c>
      <c r="L156" s="224"/>
      <c r="M156" s="224"/>
      <c r="N156" s="224"/>
      <c r="O156" s="210"/>
    </row>
    <row r="157">
      <c r="A157" s="212">
        <f t="shared" si="1"/>
        <v>155</v>
      </c>
      <c r="B157" s="228"/>
      <c r="C157" s="220"/>
      <c r="D157" s="220"/>
      <c r="E157" s="212" t="s">
        <v>608</v>
      </c>
      <c r="F157" s="212" t="s">
        <v>608</v>
      </c>
      <c r="G157" s="227" t="s">
        <v>2199</v>
      </c>
      <c r="H157" s="227" t="s">
        <v>1479</v>
      </c>
      <c r="I157" s="227" t="s">
        <v>2222</v>
      </c>
      <c r="J157" s="264" t="s">
        <v>2202</v>
      </c>
      <c r="K157" s="215" t="s">
        <v>33</v>
      </c>
      <c r="L157" s="224"/>
      <c r="M157" s="224"/>
      <c r="N157" s="224"/>
      <c r="O157" s="210"/>
    </row>
    <row r="158">
      <c r="A158" s="212">
        <f t="shared" si="1"/>
        <v>156</v>
      </c>
      <c r="B158" s="228"/>
      <c r="C158" s="39"/>
      <c r="D158" s="39"/>
      <c r="E158" s="212" t="s">
        <v>1040</v>
      </c>
      <c r="F158" s="212" t="s">
        <v>1040</v>
      </c>
      <c r="G158" s="227" t="s">
        <v>2199</v>
      </c>
      <c r="H158" s="227" t="s">
        <v>1093</v>
      </c>
      <c r="I158" s="227" t="s">
        <v>2223</v>
      </c>
      <c r="J158" s="264" t="s">
        <v>2202</v>
      </c>
      <c r="K158" s="215" t="s">
        <v>33</v>
      </c>
      <c r="L158" s="224"/>
      <c r="M158" s="224"/>
      <c r="N158" s="224"/>
      <c r="O158" s="210"/>
    </row>
    <row r="159">
      <c r="A159" s="212">
        <f t="shared" si="1"/>
        <v>157</v>
      </c>
      <c r="B159" s="228"/>
      <c r="C159" s="225" t="s">
        <v>170</v>
      </c>
      <c r="D159" s="212"/>
      <c r="E159" s="212"/>
      <c r="F159" s="212" t="s">
        <v>483</v>
      </c>
      <c r="G159" s="227"/>
      <c r="H159" s="213" t="s">
        <v>2224</v>
      </c>
      <c r="I159" s="227" t="s">
        <v>2225</v>
      </c>
      <c r="J159" s="264" t="s">
        <v>170</v>
      </c>
      <c r="K159" s="215" t="s">
        <v>33</v>
      </c>
      <c r="L159" s="224"/>
      <c r="M159" s="224"/>
      <c r="N159" s="224"/>
      <c r="O159" s="210"/>
    </row>
    <row r="160">
      <c r="A160" s="212">
        <f t="shared" si="1"/>
        <v>158</v>
      </c>
      <c r="B160" s="228"/>
      <c r="C160" s="220"/>
      <c r="D160" s="212" t="s">
        <v>1942</v>
      </c>
      <c r="E160" s="212"/>
      <c r="F160" s="212" t="s">
        <v>483</v>
      </c>
      <c r="G160" s="227"/>
      <c r="H160" s="227" t="s">
        <v>1943</v>
      </c>
      <c r="I160" s="227" t="s">
        <v>2226</v>
      </c>
      <c r="J160" s="264" t="s">
        <v>170</v>
      </c>
      <c r="K160" s="215" t="s">
        <v>33</v>
      </c>
      <c r="L160" s="224"/>
      <c r="M160" s="224"/>
      <c r="N160" s="224"/>
      <c r="O160" s="210"/>
    </row>
    <row r="161">
      <c r="A161" s="212">
        <f t="shared" si="1"/>
        <v>159</v>
      </c>
      <c r="B161" s="228"/>
      <c r="C161" s="220"/>
      <c r="D161" s="225" t="s">
        <v>2227</v>
      </c>
      <c r="E161" s="212"/>
      <c r="F161" s="212" t="s">
        <v>483</v>
      </c>
      <c r="G161" s="224"/>
      <c r="H161" s="227" t="s">
        <v>2228</v>
      </c>
      <c r="I161" s="255" t="s">
        <v>2229</v>
      </c>
      <c r="J161" s="264" t="s">
        <v>170</v>
      </c>
      <c r="K161" s="215" t="s">
        <v>33</v>
      </c>
      <c r="L161" s="224"/>
      <c r="M161" s="224"/>
      <c r="N161" s="224"/>
      <c r="O161" s="210"/>
    </row>
    <row r="162">
      <c r="A162" s="212">
        <f t="shared" si="1"/>
        <v>160</v>
      </c>
      <c r="B162" s="228"/>
      <c r="C162" s="220"/>
      <c r="D162" s="220"/>
      <c r="E162" s="212" t="s">
        <v>1874</v>
      </c>
      <c r="F162" s="212" t="s">
        <v>1874</v>
      </c>
      <c r="G162" s="224"/>
      <c r="H162" s="227" t="s">
        <v>2230</v>
      </c>
      <c r="I162" s="227" t="s">
        <v>2231</v>
      </c>
      <c r="J162" s="264" t="s">
        <v>170</v>
      </c>
      <c r="K162" s="215" t="s">
        <v>33</v>
      </c>
      <c r="L162" s="224"/>
      <c r="M162" s="224"/>
      <c r="N162" s="224"/>
      <c r="O162" s="210"/>
    </row>
    <row r="163">
      <c r="A163" s="212">
        <f t="shared" si="1"/>
        <v>161</v>
      </c>
      <c r="B163" s="228"/>
      <c r="C163" s="220"/>
      <c r="D163" s="220"/>
      <c r="E163" s="212" t="s">
        <v>2232</v>
      </c>
      <c r="F163" s="212" t="s">
        <v>2232</v>
      </c>
      <c r="G163" s="224"/>
      <c r="H163" s="227" t="s">
        <v>2233</v>
      </c>
      <c r="I163" s="227" t="s">
        <v>2234</v>
      </c>
      <c r="J163" s="264" t="s">
        <v>170</v>
      </c>
      <c r="K163" s="215" t="s">
        <v>33</v>
      </c>
      <c r="L163" s="224"/>
      <c r="M163" s="224"/>
      <c r="N163" s="224"/>
      <c r="O163" s="210"/>
    </row>
    <row r="164">
      <c r="A164" s="212">
        <f t="shared" si="1"/>
        <v>162</v>
      </c>
      <c r="B164" s="228"/>
      <c r="C164" s="220"/>
      <c r="D164" s="220"/>
      <c r="E164" s="212" t="s">
        <v>2235</v>
      </c>
      <c r="F164" s="212" t="s">
        <v>613</v>
      </c>
      <c r="G164" s="227" t="s">
        <v>2236</v>
      </c>
      <c r="H164" s="227" t="s">
        <v>2237</v>
      </c>
      <c r="I164" s="255" t="s">
        <v>2238</v>
      </c>
      <c r="J164" s="264" t="s">
        <v>170</v>
      </c>
      <c r="K164" s="215" t="s">
        <v>33</v>
      </c>
      <c r="L164" s="224"/>
      <c r="M164" s="224"/>
      <c r="N164" s="224"/>
      <c r="O164" s="210"/>
    </row>
    <row r="165">
      <c r="A165" s="212">
        <f t="shared" si="1"/>
        <v>163</v>
      </c>
      <c r="B165" s="228"/>
      <c r="C165" s="220"/>
      <c r="D165" s="220"/>
      <c r="E165" s="212" t="s">
        <v>2239</v>
      </c>
      <c r="F165" s="212" t="s">
        <v>613</v>
      </c>
      <c r="G165" s="227" t="s">
        <v>2240</v>
      </c>
      <c r="H165" s="227" t="s">
        <v>2237</v>
      </c>
      <c r="I165" s="227" t="s">
        <v>2241</v>
      </c>
      <c r="J165" s="264" t="s">
        <v>170</v>
      </c>
      <c r="K165" s="215" t="s">
        <v>33</v>
      </c>
      <c r="L165" s="224"/>
      <c r="M165" s="224"/>
      <c r="N165" s="224"/>
      <c r="O165" s="210"/>
    </row>
    <row r="166">
      <c r="A166" s="212">
        <f t="shared" si="1"/>
        <v>164</v>
      </c>
      <c r="B166" s="228"/>
      <c r="C166" s="220"/>
      <c r="D166" s="220"/>
      <c r="E166" s="212" t="s">
        <v>2242</v>
      </c>
      <c r="F166" s="212" t="s">
        <v>613</v>
      </c>
      <c r="G166" s="227" t="s">
        <v>2236</v>
      </c>
      <c r="H166" s="227" t="s">
        <v>2243</v>
      </c>
      <c r="I166" s="255" t="s">
        <v>2244</v>
      </c>
      <c r="J166" s="264" t="s">
        <v>170</v>
      </c>
      <c r="K166" s="215" t="s">
        <v>33</v>
      </c>
      <c r="L166" s="224"/>
      <c r="M166" s="224"/>
      <c r="N166" s="224"/>
      <c r="O166" s="210"/>
    </row>
    <row r="167">
      <c r="A167" s="212">
        <f t="shared" si="1"/>
        <v>165</v>
      </c>
      <c r="B167" s="228"/>
      <c r="C167" s="220"/>
      <c r="D167" s="220"/>
      <c r="E167" s="212" t="s">
        <v>2245</v>
      </c>
      <c r="F167" s="212" t="s">
        <v>613</v>
      </c>
      <c r="G167" s="227" t="s">
        <v>2240</v>
      </c>
      <c r="H167" s="227" t="s">
        <v>2243</v>
      </c>
      <c r="I167" s="255" t="s">
        <v>2246</v>
      </c>
      <c r="J167" s="264" t="s">
        <v>170</v>
      </c>
      <c r="K167" s="215" t="s">
        <v>33</v>
      </c>
      <c r="L167" s="224"/>
      <c r="M167" s="224"/>
      <c r="N167" s="224"/>
      <c r="O167" s="210"/>
    </row>
    <row r="168">
      <c r="A168" s="212">
        <f t="shared" si="1"/>
        <v>166</v>
      </c>
      <c r="B168" s="228"/>
      <c r="C168" s="220"/>
      <c r="D168" s="220"/>
      <c r="E168" s="212" t="s">
        <v>2247</v>
      </c>
      <c r="F168" s="212" t="s">
        <v>2164</v>
      </c>
      <c r="G168" s="224"/>
      <c r="H168" s="227" t="s">
        <v>2248</v>
      </c>
      <c r="I168" s="227" t="s">
        <v>2249</v>
      </c>
      <c r="J168" s="264" t="s">
        <v>170</v>
      </c>
      <c r="K168" s="215" t="s">
        <v>33</v>
      </c>
      <c r="L168" s="224"/>
      <c r="M168" s="224"/>
      <c r="N168" s="224"/>
      <c r="O168" s="210"/>
    </row>
    <row r="169">
      <c r="A169" s="212">
        <f t="shared" si="1"/>
        <v>167</v>
      </c>
      <c r="B169" s="228"/>
      <c r="C169" s="220"/>
      <c r="D169" s="220"/>
      <c r="E169" s="212" t="s">
        <v>2250</v>
      </c>
      <c r="F169" s="212" t="s">
        <v>2169</v>
      </c>
      <c r="G169" s="224"/>
      <c r="H169" s="227" t="s">
        <v>2251</v>
      </c>
      <c r="I169" s="227" t="s">
        <v>2252</v>
      </c>
      <c r="J169" s="264" t="s">
        <v>170</v>
      </c>
      <c r="K169" s="215" t="s">
        <v>33</v>
      </c>
      <c r="L169" s="224"/>
      <c r="M169" s="224"/>
      <c r="N169" s="224"/>
      <c r="O169" s="210"/>
    </row>
    <row r="170">
      <c r="A170" s="212">
        <f t="shared" si="1"/>
        <v>168</v>
      </c>
      <c r="B170" s="228"/>
      <c r="C170" s="220"/>
      <c r="D170" s="220"/>
      <c r="E170" s="212" t="s">
        <v>2253</v>
      </c>
      <c r="F170" s="212" t="s">
        <v>2164</v>
      </c>
      <c r="G170" s="224"/>
      <c r="H170" s="227" t="s">
        <v>2254</v>
      </c>
      <c r="I170" s="227" t="s">
        <v>2255</v>
      </c>
      <c r="J170" s="264" t="s">
        <v>170</v>
      </c>
      <c r="K170" s="215" t="s">
        <v>33</v>
      </c>
      <c r="L170" s="224"/>
      <c r="M170" s="224"/>
      <c r="N170" s="224"/>
      <c r="O170" s="210"/>
    </row>
    <row r="171">
      <c r="A171" s="212">
        <f t="shared" si="1"/>
        <v>169</v>
      </c>
      <c r="B171" s="228"/>
      <c r="C171" s="220"/>
      <c r="D171" s="220"/>
      <c r="E171" s="212" t="s">
        <v>2256</v>
      </c>
      <c r="F171" s="212" t="s">
        <v>2169</v>
      </c>
      <c r="G171" s="224"/>
      <c r="H171" s="227" t="s">
        <v>2257</v>
      </c>
      <c r="I171" s="227" t="s">
        <v>2258</v>
      </c>
      <c r="J171" s="264" t="s">
        <v>170</v>
      </c>
      <c r="K171" s="215" t="s">
        <v>33</v>
      </c>
      <c r="L171" s="224"/>
      <c r="M171" s="224"/>
      <c r="N171" s="224"/>
      <c r="O171" s="210"/>
    </row>
    <row r="172">
      <c r="A172" s="212">
        <f t="shared" si="1"/>
        <v>170</v>
      </c>
      <c r="B172" s="228"/>
      <c r="C172" s="220"/>
      <c r="D172" s="220"/>
      <c r="E172" s="212" t="s">
        <v>2259</v>
      </c>
      <c r="F172" s="212" t="s">
        <v>2164</v>
      </c>
      <c r="G172" s="224"/>
      <c r="H172" s="227" t="s">
        <v>2260</v>
      </c>
      <c r="I172" s="227" t="s">
        <v>2261</v>
      </c>
      <c r="J172" s="264" t="s">
        <v>170</v>
      </c>
      <c r="K172" s="215" t="s">
        <v>33</v>
      </c>
      <c r="L172" s="224"/>
      <c r="M172" s="224"/>
      <c r="N172" s="224"/>
      <c r="O172" s="210"/>
    </row>
    <row r="173">
      <c r="A173" s="212">
        <f t="shared" si="1"/>
        <v>171</v>
      </c>
      <c r="B173" s="228"/>
      <c r="C173" s="220"/>
      <c r="D173" s="220"/>
      <c r="E173" s="212" t="s">
        <v>2262</v>
      </c>
      <c r="F173" s="212" t="s">
        <v>2169</v>
      </c>
      <c r="G173" s="224"/>
      <c r="H173" s="227" t="s">
        <v>2263</v>
      </c>
      <c r="I173" s="227" t="s">
        <v>2264</v>
      </c>
      <c r="J173" s="264" t="s">
        <v>170</v>
      </c>
      <c r="K173" s="215" t="s">
        <v>33</v>
      </c>
      <c r="L173" s="224"/>
      <c r="M173" s="224"/>
      <c r="N173" s="224"/>
      <c r="O173" s="210"/>
    </row>
    <row r="174">
      <c r="A174" s="212">
        <f t="shared" si="1"/>
        <v>172</v>
      </c>
      <c r="B174" s="228"/>
      <c r="C174" s="220"/>
      <c r="D174" s="220"/>
      <c r="E174" s="212" t="s">
        <v>2265</v>
      </c>
      <c r="F174" s="212" t="s">
        <v>2164</v>
      </c>
      <c r="G174" s="227" t="s">
        <v>2266</v>
      </c>
      <c r="H174" s="227" t="s">
        <v>2267</v>
      </c>
      <c r="I174" s="227" t="s">
        <v>2268</v>
      </c>
      <c r="J174" s="264" t="s">
        <v>170</v>
      </c>
      <c r="K174" s="215" t="s">
        <v>33</v>
      </c>
      <c r="L174" s="224"/>
      <c r="M174" s="224"/>
      <c r="N174" s="224"/>
      <c r="O174" s="210"/>
    </row>
    <row r="175">
      <c r="A175" s="212">
        <f t="shared" si="1"/>
        <v>173</v>
      </c>
      <c r="B175" s="228"/>
      <c r="C175" s="220"/>
      <c r="D175" s="220"/>
      <c r="E175" s="212" t="s">
        <v>2265</v>
      </c>
      <c r="F175" s="212" t="s">
        <v>2169</v>
      </c>
      <c r="G175" s="227" t="s">
        <v>2269</v>
      </c>
      <c r="H175" s="227" t="s">
        <v>2267</v>
      </c>
      <c r="I175" s="227" t="s">
        <v>2270</v>
      </c>
      <c r="J175" s="264" t="s">
        <v>170</v>
      </c>
      <c r="K175" s="215" t="s">
        <v>33</v>
      </c>
      <c r="L175" s="224"/>
      <c r="M175" s="224"/>
      <c r="N175" s="224"/>
      <c r="O175" s="210"/>
    </row>
    <row r="176">
      <c r="A176" s="212">
        <f t="shared" si="1"/>
        <v>174</v>
      </c>
      <c r="B176" s="228"/>
      <c r="C176" s="220"/>
      <c r="D176" s="220"/>
      <c r="E176" s="212" t="s">
        <v>2271</v>
      </c>
      <c r="F176" s="212" t="s">
        <v>613</v>
      </c>
      <c r="G176" s="227" t="s">
        <v>2236</v>
      </c>
      <c r="H176" s="227" t="s">
        <v>2243</v>
      </c>
      <c r="I176" s="255" t="s">
        <v>2272</v>
      </c>
      <c r="J176" s="264" t="s">
        <v>170</v>
      </c>
      <c r="K176" s="215" t="s">
        <v>33</v>
      </c>
      <c r="L176" s="224"/>
      <c r="M176" s="224"/>
      <c r="N176" s="224"/>
      <c r="O176" s="210"/>
    </row>
    <row r="177">
      <c r="A177" s="212">
        <f t="shared" si="1"/>
        <v>175</v>
      </c>
      <c r="B177" s="228"/>
      <c r="C177" s="220"/>
      <c r="D177" s="39"/>
      <c r="E177" s="212" t="s">
        <v>2271</v>
      </c>
      <c r="F177" s="212" t="s">
        <v>613</v>
      </c>
      <c r="G177" s="227" t="s">
        <v>2240</v>
      </c>
      <c r="H177" s="227" t="s">
        <v>2243</v>
      </c>
      <c r="I177" s="255" t="s">
        <v>2273</v>
      </c>
      <c r="J177" s="264" t="s">
        <v>170</v>
      </c>
      <c r="K177" s="215" t="s">
        <v>33</v>
      </c>
      <c r="L177" s="224"/>
      <c r="M177" s="224"/>
      <c r="N177" s="224"/>
      <c r="O177" s="210"/>
    </row>
    <row r="178">
      <c r="A178" s="212">
        <f t="shared" si="1"/>
        <v>176</v>
      </c>
      <c r="B178" s="228"/>
      <c r="C178" s="220"/>
      <c r="D178" s="225" t="s">
        <v>2274</v>
      </c>
      <c r="E178" s="212" t="s">
        <v>2275</v>
      </c>
      <c r="F178" s="212" t="s">
        <v>613</v>
      </c>
      <c r="G178" s="224"/>
      <c r="H178" s="227" t="s">
        <v>2276</v>
      </c>
      <c r="I178" s="227" t="s">
        <v>2277</v>
      </c>
      <c r="J178" s="264" t="s">
        <v>170</v>
      </c>
      <c r="K178" s="215" t="s">
        <v>33</v>
      </c>
      <c r="L178" s="224"/>
      <c r="M178" s="224"/>
      <c r="N178" s="224"/>
      <c r="O178" s="210"/>
    </row>
    <row r="179">
      <c r="A179" s="212">
        <f t="shared" si="1"/>
        <v>177</v>
      </c>
      <c r="B179" s="228"/>
      <c r="C179" s="220"/>
      <c r="D179" s="220"/>
      <c r="E179" s="212" t="s">
        <v>2278</v>
      </c>
      <c r="F179" s="212" t="s">
        <v>613</v>
      </c>
      <c r="G179" s="227" t="s">
        <v>2279</v>
      </c>
      <c r="H179" s="227" t="s">
        <v>2280</v>
      </c>
      <c r="I179" s="227" t="s">
        <v>2281</v>
      </c>
      <c r="J179" s="264" t="s">
        <v>170</v>
      </c>
      <c r="K179" s="215" t="s">
        <v>33</v>
      </c>
      <c r="L179" s="224"/>
      <c r="M179" s="224"/>
      <c r="N179" s="224"/>
      <c r="O179" s="210"/>
    </row>
    <row r="180">
      <c r="A180" s="212">
        <f t="shared" si="1"/>
        <v>178</v>
      </c>
      <c r="B180" s="228"/>
      <c r="C180" s="220"/>
      <c r="D180" s="220"/>
      <c r="E180" s="212" t="s">
        <v>2278</v>
      </c>
      <c r="F180" s="212" t="s">
        <v>613</v>
      </c>
      <c r="G180" s="227" t="s">
        <v>2282</v>
      </c>
      <c r="H180" s="227" t="s">
        <v>2280</v>
      </c>
      <c r="I180" s="227" t="s">
        <v>2283</v>
      </c>
      <c r="J180" s="264" t="s">
        <v>170</v>
      </c>
      <c r="K180" s="215" t="s">
        <v>33</v>
      </c>
      <c r="L180" s="224"/>
      <c r="M180" s="224"/>
      <c r="N180" s="224"/>
      <c r="O180" s="210"/>
    </row>
    <row r="181">
      <c r="A181" s="212">
        <f t="shared" si="1"/>
        <v>179</v>
      </c>
      <c r="B181" s="228"/>
      <c r="C181" s="220"/>
      <c r="D181" s="220"/>
      <c r="E181" s="212" t="s">
        <v>2284</v>
      </c>
      <c r="F181" s="212" t="s">
        <v>613</v>
      </c>
      <c r="G181" s="227" t="s">
        <v>2285</v>
      </c>
      <c r="H181" s="227" t="s">
        <v>2286</v>
      </c>
      <c r="I181" s="227" t="s">
        <v>2287</v>
      </c>
      <c r="J181" s="264" t="s">
        <v>170</v>
      </c>
      <c r="K181" s="215" t="s">
        <v>33</v>
      </c>
      <c r="L181" s="224"/>
      <c r="M181" s="224"/>
      <c r="N181" s="224"/>
      <c r="O181" s="210"/>
    </row>
    <row r="182">
      <c r="A182" s="212">
        <f t="shared" si="1"/>
        <v>180</v>
      </c>
      <c r="B182" s="228"/>
      <c r="C182" s="220"/>
      <c r="D182" s="220"/>
      <c r="E182" s="212" t="s">
        <v>2284</v>
      </c>
      <c r="F182" s="212" t="s">
        <v>613</v>
      </c>
      <c r="G182" s="227" t="s">
        <v>2285</v>
      </c>
      <c r="H182" s="227" t="s">
        <v>2286</v>
      </c>
      <c r="I182" s="227" t="s">
        <v>2288</v>
      </c>
      <c r="J182" s="264" t="s">
        <v>170</v>
      </c>
      <c r="K182" s="215" t="s">
        <v>33</v>
      </c>
      <c r="L182" s="224"/>
      <c r="M182" s="224"/>
      <c r="N182" s="224"/>
      <c r="O182" s="210"/>
    </row>
    <row r="183">
      <c r="A183" s="212">
        <f t="shared" si="1"/>
        <v>181</v>
      </c>
      <c r="B183" s="228"/>
      <c r="C183" s="220"/>
      <c r="D183" s="220"/>
      <c r="E183" s="212" t="s">
        <v>2239</v>
      </c>
      <c r="F183" s="212" t="s">
        <v>613</v>
      </c>
      <c r="G183" s="227" t="s">
        <v>2240</v>
      </c>
      <c r="H183" s="227" t="s">
        <v>2237</v>
      </c>
      <c r="I183" s="227" t="s">
        <v>2289</v>
      </c>
      <c r="J183" s="264" t="s">
        <v>170</v>
      </c>
      <c r="K183" s="215" t="s">
        <v>33</v>
      </c>
      <c r="L183" s="224"/>
      <c r="M183" s="224"/>
      <c r="N183" s="224"/>
      <c r="O183" s="210"/>
    </row>
    <row r="184">
      <c r="A184" s="212">
        <f t="shared" si="1"/>
        <v>182</v>
      </c>
      <c r="B184" s="228"/>
      <c r="C184" s="220"/>
      <c r="D184" s="220"/>
      <c r="E184" s="212" t="s">
        <v>2290</v>
      </c>
      <c r="F184" s="212" t="s">
        <v>613</v>
      </c>
      <c r="G184" s="224"/>
      <c r="H184" s="227" t="s">
        <v>2291</v>
      </c>
      <c r="I184" s="227" t="s">
        <v>2292</v>
      </c>
      <c r="J184" s="264" t="s">
        <v>170</v>
      </c>
      <c r="K184" s="215" t="s">
        <v>33</v>
      </c>
      <c r="L184" s="224"/>
      <c r="M184" s="224"/>
      <c r="N184" s="224"/>
      <c r="O184" s="210"/>
    </row>
    <row r="185">
      <c r="A185" s="212">
        <f t="shared" si="1"/>
        <v>183</v>
      </c>
      <c r="B185" s="228"/>
      <c r="C185" s="39"/>
      <c r="D185" s="39"/>
      <c r="E185" s="212" t="s">
        <v>2293</v>
      </c>
      <c r="F185" s="212" t="s">
        <v>2293</v>
      </c>
      <c r="G185" s="224"/>
      <c r="H185" s="227" t="s">
        <v>2294</v>
      </c>
      <c r="I185" s="227" t="s">
        <v>2295</v>
      </c>
      <c r="J185" s="264" t="s">
        <v>170</v>
      </c>
      <c r="K185" s="215" t="s">
        <v>33</v>
      </c>
      <c r="L185" s="224"/>
      <c r="M185" s="224"/>
      <c r="N185" s="224"/>
      <c r="O185" s="210"/>
    </row>
    <row r="186">
      <c r="A186" s="224"/>
      <c r="B186" s="228"/>
      <c r="C186" s="212"/>
      <c r="D186" s="212"/>
      <c r="E186" s="262"/>
      <c r="F186" s="212"/>
      <c r="G186" s="224"/>
      <c r="H186" s="224"/>
      <c r="I186" s="224"/>
      <c r="J186" s="228"/>
      <c r="K186" s="224"/>
      <c r="L186" s="224"/>
      <c r="M186" s="224"/>
      <c r="N186" s="224"/>
      <c r="O186" s="210"/>
    </row>
    <row r="187">
      <c r="A187" s="224"/>
      <c r="B187" s="228"/>
      <c r="C187" s="212"/>
      <c r="D187" s="212"/>
      <c r="E187" s="262"/>
      <c r="F187" s="212"/>
      <c r="G187" s="224"/>
      <c r="H187" s="224"/>
      <c r="I187" s="224"/>
      <c r="J187" s="228"/>
      <c r="K187" s="224"/>
      <c r="L187" s="224"/>
      <c r="M187" s="224"/>
      <c r="N187" s="224"/>
      <c r="O187" s="210"/>
    </row>
    <row r="188">
      <c r="A188" s="224"/>
      <c r="B188" s="228"/>
      <c r="C188" s="212"/>
      <c r="D188" s="212"/>
      <c r="E188" s="262"/>
      <c r="F188" s="212"/>
      <c r="G188" s="224"/>
      <c r="H188" s="224"/>
      <c r="I188" s="224"/>
      <c r="J188" s="228"/>
      <c r="K188" s="224"/>
      <c r="L188" s="224"/>
      <c r="M188" s="224"/>
      <c r="N188" s="224"/>
      <c r="O188" s="210"/>
    </row>
    <row r="189">
      <c r="A189" s="224"/>
      <c r="B189" s="228"/>
      <c r="C189" s="212"/>
      <c r="D189" s="212"/>
      <c r="E189" s="262"/>
      <c r="F189" s="212"/>
      <c r="G189" s="224"/>
      <c r="H189" s="224"/>
      <c r="I189" s="224"/>
      <c r="J189" s="228"/>
      <c r="K189" s="224"/>
      <c r="L189" s="224"/>
      <c r="M189" s="224"/>
      <c r="N189" s="224"/>
      <c r="O189" s="210"/>
    </row>
    <row r="190">
      <c r="A190" s="224"/>
      <c r="B190" s="228"/>
      <c r="C190" s="212"/>
      <c r="D190" s="212"/>
      <c r="E190" s="262"/>
      <c r="F190" s="212"/>
      <c r="G190" s="224"/>
      <c r="H190" s="224"/>
      <c r="I190" s="224"/>
      <c r="J190" s="228"/>
      <c r="K190" s="224"/>
      <c r="L190" s="224"/>
      <c r="M190" s="224"/>
      <c r="N190" s="224"/>
      <c r="O190" s="210"/>
    </row>
    <row r="191">
      <c r="A191" s="224"/>
      <c r="B191" s="228"/>
      <c r="C191" s="212"/>
      <c r="D191" s="212"/>
      <c r="E191" s="262"/>
      <c r="F191" s="212"/>
      <c r="G191" s="224"/>
      <c r="H191" s="224"/>
      <c r="I191" s="224"/>
      <c r="J191" s="228"/>
      <c r="K191" s="224"/>
      <c r="L191" s="224"/>
      <c r="M191" s="224"/>
      <c r="N191" s="224"/>
      <c r="O191" s="210"/>
    </row>
    <row r="192">
      <c r="A192" s="224"/>
      <c r="B192" s="228"/>
      <c r="C192" s="212"/>
      <c r="D192" s="212"/>
      <c r="E192" s="262"/>
      <c r="F192" s="212"/>
      <c r="G192" s="224"/>
      <c r="H192" s="224"/>
      <c r="I192" s="224"/>
      <c r="J192" s="228"/>
      <c r="K192" s="224"/>
      <c r="L192" s="224"/>
      <c r="M192" s="224"/>
      <c r="N192" s="224"/>
      <c r="O192" s="210"/>
    </row>
    <row r="193">
      <c r="A193" s="224"/>
      <c r="B193" s="228"/>
      <c r="C193" s="212"/>
      <c r="D193" s="212"/>
      <c r="E193" s="262"/>
      <c r="F193" s="212"/>
      <c r="G193" s="224"/>
      <c r="H193" s="224"/>
      <c r="I193" s="224"/>
      <c r="J193" s="228"/>
      <c r="K193" s="224"/>
      <c r="L193" s="224"/>
      <c r="M193" s="224"/>
      <c r="N193" s="224"/>
      <c r="O193" s="210"/>
    </row>
    <row r="194">
      <c r="A194" s="224"/>
      <c r="B194" s="228"/>
      <c r="C194" s="212"/>
      <c r="D194" s="212"/>
      <c r="E194" s="262"/>
      <c r="F194" s="212"/>
      <c r="G194" s="224"/>
      <c r="H194" s="224"/>
      <c r="I194" s="224"/>
      <c r="J194" s="228"/>
      <c r="K194" s="224"/>
      <c r="L194" s="224"/>
      <c r="M194" s="224"/>
      <c r="N194" s="224"/>
      <c r="O194" s="210"/>
    </row>
    <row r="195">
      <c r="A195" s="224"/>
      <c r="B195" s="228"/>
      <c r="C195" s="212"/>
      <c r="D195" s="212"/>
      <c r="E195" s="262"/>
      <c r="F195" s="212"/>
      <c r="G195" s="224"/>
      <c r="H195" s="224"/>
      <c r="I195" s="224"/>
      <c r="J195" s="228"/>
      <c r="K195" s="224"/>
      <c r="L195" s="224"/>
      <c r="M195" s="224"/>
      <c r="N195" s="224"/>
      <c r="O195" s="210"/>
    </row>
    <row r="196">
      <c r="A196" s="224"/>
      <c r="B196" s="228"/>
      <c r="C196" s="228"/>
      <c r="D196" s="228"/>
      <c r="E196" s="237"/>
      <c r="F196" s="228"/>
      <c r="G196" s="224"/>
      <c r="H196" s="224"/>
      <c r="I196" s="224"/>
      <c r="J196" s="228"/>
      <c r="K196" s="224"/>
      <c r="L196" s="224"/>
      <c r="M196" s="224"/>
      <c r="N196" s="224"/>
      <c r="O196" s="210"/>
    </row>
  </sheetData>
  <mergeCells count="26">
    <mergeCell ref="K1:K2"/>
    <mergeCell ref="L1:L2"/>
    <mergeCell ref="M1:M2"/>
    <mergeCell ref="N1:N2"/>
    <mergeCell ref="C1:E1"/>
    <mergeCell ref="D4:D7"/>
    <mergeCell ref="E20:E25"/>
    <mergeCell ref="E26:E31"/>
    <mergeCell ref="A1:A2"/>
    <mergeCell ref="F1:F2"/>
    <mergeCell ref="G1:G2"/>
    <mergeCell ref="H1:H2"/>
    <mergeCell ref="I1:I2"/>
    <mergeCell ref="J1:J2"/>
    <mergeCell ref="C3:C108"/>
    <mergeCell ref="E88:E108"/>
    <mergeCell ref="D138:D158"/>
    <mergeCell ref="D161:D177"/>
    <mergeCell ref="D8:D16"/>
    <mergeCell ref="D17:D108"/>
    <mergeCell ref="C109:C135"/>
    <mergeCell ref="D111:D113"/>
    <mergeCell ref="D114:D135"/>
    <mergeCell ref="C136:C158"/>
    <mergeCell ref="C159:C185"/>
    <mergeCell ref="D178:D185"/>
  </mergeCells>
  <conditionalFormatting sqref="K3:K185">
    <cfRule type="cellIs" dxfId="4" priority="1" operator="equal">
      <formula>"PASS"</formula>
    </cfRule>
  </conditionalFormatting>
  <conditionalFormatting sqref="K3:K185">
    <cfRule type="cellIs" dxfId="5" priority="2" operator="equal">
      <formula>"FAIL"</formula>
    </cfRule>
  </conditionalFormatting>
  <conditionalFormatting sqref="K3:K185">
    <cfRule type="cellIs" dxfId="6" priority="3" operator="equal">
      <formula>"N/A"</formula>
    </cfRule>
  </conditionalFormatting>
  <conditionalFormatting sqref="K3:K185">
    <cfRule type="cellIs" dxfId="7" priority="4" operator="equal">
      <formula>"N/T"</formula>
    </cfRule>
  </conditionalFormatting>
  <dataValidations>
    <dataValidation type="list" allowBlank="1" sqref="K3:K185">
      <formula1>"PASS,FAIL,N/A,N/T"</formula1>
    </dataValidation>
  </dataValidations>
  <hyperlinks>
    <hyperlink r:id="rId1" ref="J3"/>
    <hyperlink r:id="rId2" ref="L3"/>
    <hyperlink r:id="rId3" ref="J4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L14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3"/>
    <hyperlink r:id="rId21" ref="J24"/>
    <hyperlink r:id="rId22" ref="J25"/>
    <hyperlink r:id="rId23" ref="J26"/>
    <hyperlink r:id="rId24" ref="L26"/>
    <hyperlink r:id="rId25" ref="J27"/>
    <hyperlink r:id="rId26" ref="L27"/>
    <hyperlink r:id="rId27" ref="J28"/>
    <hyperlink r:id="rId28" ref="L28"/>
    <hyperlink r:id="rId29" ref="J29"/>
    <hyperlink r:id="rId30" ref="J30"/>
    <hyperlink r:id="rId31" ref="L30"/>
    <hyperlink r:id="rId32" ref="J31"/>
    <hyperlink r:id="rId33" ref="J34"/>
    <hyperlink r:id="rId34" ref="J35"/>
    <hyperlink r:id="rId35" ref="J36"/>
    <hyperlink r:id="rId36" ref="J37"/>
    <hyperlink r:id="rId37" ref="L37"/>
    <hyperlink r:id="rId38" ref="J38"/>
    <hyperlink r:id="rId39" ref="J39"/>
    <hyperlink r:id="rId40" ref="J40"/>
    <hyperlink r:id="rId41" ref="J41"/>
    <hyperlink r:id="rId42" ref="J42"/>
    <hyperlink r:id="rId43" ref="L42"/>
    <hyperlink r:id="rId44" ref="J43"/>
    <hyperlink r:id="rId45" ref="L43"/>
    <hyperlink r:id="rId46" ref="J44"/>
    <hyperlink r:id="rId47" ref="L44"/>
    <hyperlink r:id="rId48" ref="J45"/>
    <hyperlink r:id="rId49" ref="J46"/>
    <hyperlink r:id="rId50" ref="J47"/>
    <hyperlink r:id="rId51" ref="J48"/>
    <hyperlink r:id="rId52" ref="J49"/>
    <hyperlink r:id="rId53" ref="J50"/>
    <hyperlink r:id="rId54" ref="L50"/>
    <hyperlink r:id="rId55" ref="J51"/>
    <hyperlink r:id="rId56" ref="L51"/>
    <hyperlink r:id="rId57" ref="J52"/>
    <hyperlink r:id="rId58" ref="L52"/>
    <hyperlink r:id="rId59" ref="J53"/>
    <hyperlink r:id="rId60" ref="J54"/>
    <hyperlink r:id="rId61" ref="J55"/>
    <hyperlink r:id="rId62" ref="J56"/>
    <hyperlink r:id="rId63" ref="J57"/>
    <hyperlink r:id="rId64" ref="J58"/>
    <hyperlink r:id="rId65" ref="J59"/>
    <hyperlink r:id="rId66" ref="J60"/>
    <hyperlink r:id="rId67" ref="J61"/>
    <hyperlink r:id="rId68" ref="J62"/>
    <hyperlink r:id="rId69" ref="J63"/>
    <hyperlink r:id="rId70" ref="J64"/>
    <hyperlink r:id="rId71" ref="J65"/>
    <hyperlink r:id="rId72" ref="J66"/>
    <hyperlink r:id="rId73" ref="J67"/>
    <hyperlink r:id="rId74" ref="J68"/>
    <hyperlink r:id="rId75" ref="J69"/>
    <hyperlink r:id="rId76" ref="J70"/>
    <hyperlink r:id="rId77" ref="J71"/>
    <hyperlink r:id="rId78" ref="J72"/>
    <hyperlink r:id="rId79" ref="J73"/>
    <hyperlink r:id="rId80" ref="J74"/>
    <hyperlink r:id="rId81" ref="J75"/>
    <hyperlink r:id="rId82" ref="J76"/>
    <hyperlink r:id="rId83" ref="J77"/>
    <hyperlink r:id="rId84" ref="L77"/>
    <hyperlink r:id="rId85" ref="J78"/>
    <hyperlink r:id="rId86" ref="J79"/>
    <hyperlink r:id="rId87" ref="J80"/>
    <hyperlink r:id="rId88" ref="L80"/>
    <hyperlink r:id="rId89" ref="J81"/>
    <hyperlink r:id="rId90" ref="J82"/>
    <hyperlink r:id="rId91" ref="J83"/>
    <hyperlink r:id="rId92" ref="J84"/>
    <hyperlink r:id="rId93" ref="J85"/>
    <hyperlink r:id="rId94" ref="J86"/>
    <hyperlink r:id="rId95" ref="J87"/>
    <hyperlink r:id="rId96" ref="J88"/>
    <hyperlink r:id="rId97" ref="J89"/>
    <hyperlink r:id="rId98" ref="J90"/>
    <hyperlink r:id="rId99" ref="J91"/>
    <hyperlink r:id="rId100" ref="J92"/>
    <hyperlink r:id="rId101" ref="J93"/>
    <hyperlink r:id="rId102" ref="J94"/>
    <hyperlink r:id="rId103" ref="J95"/>
    <hyperlink r:id="rId104" ref="J96"/>
    <hyperlink r:id="rId105" ref="J97"/>
    <hyperlink r:id="rId106" ref="J98"/>
    <hyperlink r:id="rId107" ref="J99"/>
    <hyperlink r:id="rId108" ref="J100"/>
    <hyperlink r:id="rId109" ref="J101"/>
    <hyperlink r:id="rId110" ref="J102"/>
    <hyperlink r:id="rId111" ref="J103"/>
    <hyperlink r:id="rId112" ref="J104"/>
    <hyperlink r:id="rId113" ref="J105"/>
    <hyperlink r:id="rId114" ref="J106"/>
    <hyperlink r:id="rId115" ref="J107"/>
    <hyperlink r:id="rId116" ref="J108"/>
    <hyperlink r:id="rId117" ref="J109"/>
    <hyperlink r:id="rId118" ref="J110"/>
    <hyperlink r:id="rId119" ref="J111"/>
    <hyperlink r:id="rId120" ref="J112"/>
    <hyperlink r:id="rId121" ref="J113"/>
    <hyperlink r:id="rId122" ref="J114"/>
    <hyperlink r:id="rId123" ref="J115"/>
    <hyperlink r:id="rId124" ref="J116"/>
    <hyperlink r:id="rId125" ref="J117"/>
    <hyperlink r:id="rId126" ref="J118"/>
    <hyperlink r:id="rId127" ref="J119"/>
    <hyperlink r:id="rId128" ref="J120"/>
    <hyperlink r:id="rId129" ref="J121"/>
    <hyperlink r:id="rId130" ref="J122"/>
    <hyperlink r:id="rId131" ref="J123"/>
    <hyperlink r:id="rId132" ref="J124"/>
    <hyperlink r:id="rId133" ref="J125"/>
    <hyperlink r:id="rId134" ref="J126"/>
    <hyperlink r:id="rId135" ref="J127"/>
    <hyperlink r:id="rId136" ref="J128"/>
    <hyperlink r:id="rId137" ref="J129"/>
    <hyperlink r:id="rId138" ref="J130"/>
    <hyperlink r:id="rId139" ref="J131"/>
    <hyperlink r:id="rId140" ref="J132"/>
    <hyperlink r:id="rId141" ref="J133"/>
    <hyperlink r:id="rId142" ref="J134"/>
    <hyperlink r:id="rId143" ref="J135"/>
    <hyperlink r:id="rId144" ref="J136"/>
    <hyperlink r:id="rId145" ref="J137"/>
    <hyperlink r:id="rId146" ref="J138"/>
    <hyperlink r:id="rId147" ref="J139"/>
    <hyperlink r:id="rId148" ref="J140"/>
    <hyperlink r:id="rId149" ref="J141"/>
    <hyperlink r:id="rId150" ref="J142"/>
    <hyperlink r:id="rId151" ref="L142"/>
    <hyperlink r:id="rId152" ref="J143"/>
    <hyperlink r:id="rId153" ref="J144"/>
    <hyperlink r:id="rId154" ref="J145"/>
    <hyperlink r:id="rId155" ref="J146"/>
    <hyperlink r:id="rId156" ref="J147"/>
    <hyperlink r:id="rId157" ref="J148"/>
    <hyperlink r:id="rId158" ref="L148"/>
    <hyperlink r:id="rId159" ref="J149"/>
    <hyperlink r:id="rId160" ref="J150"/>
    <hyperlink r:id="rId161" ref="J151"/>
    <hyperlink r:id="rId162" ref="J152"/>
    <hyperlink r:id="rId163" ref="J153"/>
    <hyperlink r:id="rId164" ref="J154"/>
    <hyperlink r:id="rId165" ref="J155"/>
    <hyperlink r:id="rId166" ref="J156"/>
    <hyperlink r:id="rId167" ref="J157"/>
    <hyperlink r:id="rId168" ref="J158"/>
    <hyperlink r:id="rId169" ref="J159"/>
    <hyperlink r:id="rId170" ref="J160"/>
    <hyperlink r:id="rId171" ref="J161"/>
    <hyperlink r:id="rId172" ref="J162"/>
    <hyperlink r:id="rId173" ref="J163"/>
    <hyperlink r:id="rId174" ref="J164"/>
    <hyperlink r:id="rId175" ref="J165"/>
    <hyperlink r:id="rId176" ref="J166"/>
    <hyperlink r:id="rId177" ref="J167"/>
    <hyperlink r:id="rId178" ref="J168"/>
    <hyperlink r:id="rId179" ref="J169"/>
    <hyperlink r:id="rId180" ref="J170"/>
    <hyperlink r:id="rId181" ref="J171"/>
    <hyperlink r:id="rId182" ref="J172"/>
    <hyperlink r:id="rId183" ref="J173"/>
    <hyperlink r:id="rId184" ref="J174"/>
    <hyperlink r:id="rId185" ref="J175"/>
    <hyperlink r:id="rId186" ref="J176"/>
    <hyperlink r:id="rId187" ref="J177"/>
    <hyperlink r:id="rId188" ref="J178"/>
    <hyperlink r:id="rId189" ref="J179"/>
    <hyperlink r:id="rId190" ref="J180"/>
    <hyperlink r:id="rId191" ref="J181"/>
    <hyperlink r:id="rId192" ref="J182"/>
    <hyperlink r:id="rId193" ref="J183"/>
    <hyperlink r:id="rId194" ref="J184"/>
    <hyperlink r:id="rId195" ref="J185"/>
  </hyperlinks>
  <drawing r:id="rId19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152" t="s">
        <v>75</v>
      </c>
      <c r="D2" s="153" t="s">
        <v>76</v>
      </c>
      <c r="E2" s="153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171" si="1">COUNTA($I3:$I$4)</f>
        <v>2</v>
      </c>
      <c r="B3" s="212" t="s">
        <v>42</v>
      </c>
      <c r="C3" s="225" t="s">
        <v>172</v>
      </c>
      <c r="D3" s="265" t="s">
        <v>92</v>
      </c>
      <c r="E3" s="265" t="s">
        <v>92</v>
      </c>
      <c r="F3" s="212" t="s">
        <v>2296</v>
      </c>
      <c r="G3" s="213" t="s">
        <v>92</v>
      </c>
      <c r="H3" s="213" t="s">
        <v>2297</v>
      </c>
      <c r="I3" s="213" t="s">
        <v>2298</v>
      </c>
      <c r="J3" s="214" t="s">
        <v>172</v>
      </c>
      <c r="K3" s="215" t="s">
        <v>33</v>
      </c>
      <c r="L3" s="216"/>
      <c r="M3" s="216"/>
      <c r="N3" s="217"/>
      <c r="O3" s="210"/>
    </row>
    <row r="4">
      <c r="A4" s="212">
        <f t="shared" si="1"/>
        <v>1</v>
      </c>
      <c r="B4" s="212" t="s">
        <v>42</v>
      </c>
      <c r="C4" s="220"/>
      <c r="D4" s="212" t="s">
        <v>2299</v>
      </c>
      <c r="E4" s="265" t="s">
        <v>92</v>
      </c>
      <c r="F4" s="212" t="s">
        <v>613</v>
      </c>
      <c r="G4" s="266" t="s">
        <v>92</v>
      </c>
      <c r="H4" s="213" t="s">
        <v>2300</v>
      </c>
      <c r="I4" s="213" t="s">
        <v>2301</v>
      </c>
      <c r="J4" s="214" t="s">
        <v>172</v>
      </c>
      <c r="K4" s="215" t="s">
        <v>33</v>
      </c>
      <c r="L4" s="216"/>
      <c r="M4" s="216"/>
      <c r="N4" s="217"/>
      <c r="O4" s="210"/>
    </row>
    <row r="5">
      <c r="A5" s="212">
        <f t="shared" si="1"/>
        <v>2</v>
      </c>
      <c r="B5" s="212" t="s">
        <v>42</v>
      </c>
      <c r="C5" s="220"/>
      <c r="D5" s="212" t="s">
        <v>2302</v>
      </c>
      <c r="E5" s="265" t="s">
        <v>92</v>
      </c>
      <c r="F5" s="212" t="s">
        <v>613</v>
      </c>
      <c r="G5" s="266" t="s">
        <v>92</v>
      </c>
      <c r="H5" s="213" t="s">
        <v>2303</v>
      </c>
      <c r="I5" s="213" t="s">
        <v>2304</v>
      </c>
      <c r="J5" s="214" t="s">
        <v>172</v>
      </c>
      <c r="K5" s="215" t="s">
        <v>33</v>
      </c>
      <c r="L5" s="216"/>
      <c r="M5" s="216"/>
      <c r="N5" s="217"/>
      <c r="O5" s="210"/>
    </row>
    <row r="6">
      <c r="A6" s="212">
        <f t="shared" si="1"/>
        <v>3</v>
      </c>
      <c r="B6" s="212" t="s">
        <v>42</v>
      </c>
      <c r="C6" s="220"/>
      <c r="D6" s="212" t="s">
        <v>2305</v>
      </c>
      <c r="E6" s="265" t="s">
        <v>92</v>
      </c>
      <c r="F6" s="212" t="s">
        <v>613</v>
      </c>
      <c r="G6" s="266" t="s">
        <v>92</v>
      </c>
      <c r="H6" s="213" t="s">
        <v>2306</v>
      </c>
      <c r="I6" s="213" t="s">
        <v>2307</v>
      </c>
      <c r="J6" s="214" t="s">
        <v>172</v>
      </c>
      <c r="K6" s="215" t="s">
        <v>33</v>
      </c>
      <c r="L6" s="216"/>
      <c r="M6" s="216"/>
      <c r="N6" s="217"/>
      <c r="O6" s="210"/>
    </row>
    <row r="7">
      <c r="A7" s="212">
        <f t="shared" si="1"/>
        <v>4</v>
      </c>
      <c r="B7" s="212" t="s">
        <v>42</v>
      </c>
      <c r="C7" s="220"/>
      <c r="D7" s="212" t="s">
        <v>2302</v>
      </c>
      <c r="E7" s="212" t="s">
        <v>2308</v>
      </c>
      <c r="F7" s="212" t="s">
        <v>613</v>
      </c>
      <c r="G7" s="217" t="s">
        <v>2309</v>
      </c>
      <c r="H7" s="213" t="s">
        <v>2310</v>
      </c>
      <c r="I7" s="213" t="s">
        <v>2311</v>
      </c>
      <c r="J7" s="214" t="s">
        <v>172</v>
      </c>
      <c r="K7" s="215" t="s">
        <v>33</v>
      </c>
      <c r="L7" s="216"/>
      <c r="M7" s="216"/>
      <c r="N7" s="217"/>
      <c r="O7" s="210"/>
    </row>
    <row r="8">
      <c r="A8" s="212">
        <f t="shared" si="1"/>
        <v>5</v>
      </c>
      <c r="B8" s="212" t="s">
        <v>42</v>
      </c>
      <c r="C8" s="220"/>
      <c r="D8" s="212" t="s">
        <v>2312</v>
      </c>
      <c r="E8" s="265" t="s">
        <v>92</v>
      </c>
      <c r="F8" s="212" t="s">
        <v>613</v>
      </c>
      <c r="G8" s="217" t="s">
        <v>2309</v>
      </c>
      <c r="H8" s="213" t="s">
        <v>2313</v>
      </c>
      <c r="I8" s="217" t="s">
        <v>2314</v>
      </c>
      <c r="J8" s="214" t="s">
        <v>172</v>
      </c>
      <c r="K8" s="215" t="s">
        <v>33</v>
      </c>
      <c r="L8" s="226"/>
      <c r="M8" s="224"/>
      <c r="N8" s="217"/>
      <c r="O8" s="210"/>
    </row>
    <row r="9">
      <c r="A9" s="212">
        <f t="shared" si="1"/>
        <v>6</v>
      </c>
      <c r="B9" s="267" t="s">
        <v>42</v>
      </c>
      <c r="C9" s="220"/>
      <c r="D9" s="212" t="s">
        <v>2315</v>
      </c>
      <c r="E9" s="265" t="s">
        <v>92</v>
      </c>
      <c r="F9" s="212" t="s">
        <v>613</v>
      </c>
      <c r="G9" s="217" t="s">
        <v>2309</v>
      </c>
      <c r="H9" s="213" t="s">
        <v>2316</v>
      </c>
      <c r="I9" s="227" t="s">
        <v>2317</v>
      </c>
      <c r="J9" s="214" t="s">
        <v>172</v>
      </c>
      <c r="K9" s="215" t="s">
        <v>33</v>
      </c>
      <c r="L9" s="224"/>
      <c r="M9" s="224"/>
      <c r="N9" s="217"/>
      <c r="O9" s="210"/>
    </row>
    <row r="10">
      <c r="A10" s="212">
        <f t="shared" si="1"/>
        <v>7</v>
      </c>
      <c r="B10" s="267" t="s">
        <v>42</v>
      </c>
      <c r="C10" s="220"/>
      <c r="D10" s="212" t="s">
        <v>2318</v>
      </c>
      <c r="E10" s="265" t="s">
        <v>92</v>
      </c>
      <c r="F10" s="212" t="s">
        <v>2319</v>
      </c>
      <c r="G10" s="227"/>
      <c r="H10" s="213" t="s">
        <v>2320</v>
      </c>
      <c r="I10" s="227" t="s">
        <v>2321</v>
      </c>
      <c r="J10" s="214" t="s">
        <v>172</v>
      </c>
      <c r="K10" s="215" t="s">
        <v>33</v>
      </c>
      <c r="L10" s="224"/>
      <c r="M10" s="224"/>
      <c r="N10" s="217"/>
      <c r="O10" s="210"/>
    </row>
    <row r="11">
      <c r="A11" s="212">
        <f t="shared" si="1"/>
        <v>8</v>
      </c>
      <c r="B11" s="267" t="s">
        <v>42</v>
      </c>
      <c r="C11" s="220"/>
      <c r="D11" s="212" t="s">
        <v>2322</v>
      </c>
      <c r="E11" s="265" t="s">
        <v>92</v>
      </c>
      <c r="F11" s="212" t="s">
        <v>2323</v>
      </c>
      <c r="G11" s="227"/>
      <c r="H11" s="213" t="s">
        <v>2324</v>
      </c>
      <c r="I11" s="227" t="s">
        <v>2325</v>
      </c>
      <c r="J11" s="214" t="s">
        <v>172</v>
      </c>
      <c r="K11" s="215" t="s">
        <v>33</v>
      </c>
      <c r="L11" s="224"/>
      <c r="M11" s="224"/>
      <c r="N11" s="217"/>
      <c r="O11" s="210"/>
    </row>
    <row r="12">
      <c r="A12" s="212">
        <f t="shared" si="1"/>
        <v>9</v>
      </c>
      <c r="B12" s="212" t="s">
        <v>42</v>
      </c>
      <c r="C12" s="220"/>
      <c r="D12" s="212" t="s">
        <v>2302</v>
      </c>
      <c r="E12" s="265" t="s">
        <v>92</v>
      </c>
      <c r="F12" s="212" t="s">
        <v>2326</v>
      </c>
      <c r="G12" s="217" t="s">
        <v>2309</v>
      </c>
      <c r="H12" s="213" t="s">
        <v>2327</v>
      </c>
      <c r="I12" s="213" t="s">
        <v>2328</v>
      </c>
      <c r="J12" s="214" t="s">
        <v>172</v>
      </c>
      <c r="K12" s="215" t="s">
        <v>33</v>
      </c>
      <c r="L12" s="224"/>
      <c r="M12" s="224"/>
      <c r="N12" s="217"/>
      <c r="O12" s="210"/>
    </row>
    <row r="13">
      <c r="A13" s="212">
        <f t="shared" si="1"/>
        <v>10</v>
      </c>
      <c r="B13" s="212" t="s">
        <v>42</v>
      </c>
      <c r="C13" s="220"/>
      <c r="D13" s="212" t="s">
        <v>2302</v>
      </c>
      <c r="E13" s="265" t="s">
        <v>92</v>
      </c>
      <c r="F13" s="212" t="s">
        <v>2326</v>
      </c>
      <c r="G13" s="217" t="s">
        <v>2329</v>
      </c>
      <c r="H13" s="213" t="s">
        <v>2330</v>
      </c>
      <c r="I13" s="268" t="s">
        <v>2331</v>
      </c>
      <c r="J13" s="214" t="s">
        <v>172</v>
      </c>
      <c r="K13" s="215" t="s">
        <v>33</v>
      </c>
      <c r="L13" s="224"/>
      <c r="M13" s="224"/>
      <c r="N13" s="217"/>
      <c r="O13" s="210"/>
    </row>
    <row r="14">
      <c r="A14" s="212">
        <f t="shared" si="1"/>
        <v>11</v>
      </c>
      <c r="B14" s="212" t="s">
        <v>42</v>
      </c>
      <c r="C14" s="220"/>
      <c r="D14" s="212" t="s">
        <v>2302</v>
      </c>
      <c r="E14" s="265" t="s">
        <v>92</v>
      </c>
      <c r="F14" s="212" t="s">
        <v>2326</v>
      </c>
      <c r="G14" s="217" t="s">
        <v>2309</v>
      </c>
      <c r="H14" s="213" t="s">
        <v>2332</v>
      </c>
      <c r="I14" s="217" t="s">
        <v>2333</v>
      </c>
      <c r="J14" s="214" t="s">
        <v>172</v>
      </c>
      <c r="K14" s="215" t="s">
        <v>33</v>
      </c>
      <c r="L14" s="224"/>
      <c r="M14" s="224"/>
      <c r="N14" s="217"/>
      <c r="O14" s="210"/>
    </row>
    <row r="15">
      <c r="A15" s="212">
        <f t="shared" si="1"/>
        <v>12</v>
      </c>
      <c r="B15" s="212" t="s">
        <v>42</v>
      </c>
      <c r="C15" s="220"/>
      <c r="D15" s="212" t="s">
        <v>2302</v>
      </c>
      <c r="E15" s="265" t="s">
        <v>92</v>
      </c>
      <c r="F15" s="212" t="s">
        <v>2326</v>
      </c>
      <c r="G15" s="217" t="s">
        <v>2309</v>
      </c>
      <c r="H15" s="213" t="s">
        <v>1162</v>
      </c>
      <c r="I15" s="227" t="s">
        <v>2334</v>
      </c>
      <c r="J15" s="214" t="s">
        <v>172</v>
      </c>
      <c r="K15" s="215" t="s">
        <v>33</v>
      </c>
      <c r="L15" s="224"/>
      <c r="M15" s="224"/>
      <c r="N15" s="217"/>
      <c r="O15" s="210"/>
    </row>
    <row r="16">
      <c r="A16" s="212">
        <f t="shared" si="1"/>
        <v>13</v>
      </c>
      <c r="B16" s="212" t="s">
        <v>42</v>
      </c>
      <c r="C16" s="39"/>
      <c r="D16" s="212" t="s">
        <v>2302</v>
      </c>
      <c r="E16" s="265" t="s">
        <v>92</v>
      </c>
      <c r="F16" s="212" t="s">
        <v>2326</v>
      </c>
      <c r="G16" s="217" t="s">
        <v>2309</v>
      </c>
      <c r="H16" s="213" t="s">
        <v>1093</v>
      </c>
      <c r="I16" s="227" t="s">
        <v>2335</v>
      </c>
      <c r="J16" s="214" t="s">
        <v>172</v>
      </c>
      <c r="K16" s="215" t="s">
        <v>33</v>
      </c>
      <c r="L16" s="224"/>
      <c r="M16" s="224"/>
      <c r="N16" s="217"/>
      <c r="O16" s="210"/>
    </row>
    <row r="17">
      <c r="A17" s="212">
        <f t="shared" si="1"/>
        <v>14</v>
      </c>
      <c r="B17" s="212" t="s">
        <v>42</v>
      </c>
      <c r="C17" s="225" t="s">
        <v>176</v>
      </c>
      <c r="D17" s="265" t="s">
        <v>92</v>
      </c>
      <c r="E17" s="265" t="s">
        <v>92</v>
      </c>
      <c r="F17" s="212" t="s">
        <v>2296</v>
      </c>
      <c r="G17" s="266" t="s">
        <v>92</v>
      </c>
      <c r="H17" s="266" t="s">
        <v>92</v>
      </c>
      <c r="I17" s="227" t="s">
        <v>2336</v>
      </c>
      <c r="J17" s="214" t="s">
        <v>176</v>
      </c>
      <c r="K17" s="215" t="s">
        <v>34</v>
      </c>
      <c r="L17" s="240" t="s">
        <v>2337</v>
      </c>
      <c r="M17" s="227" t="s">
        <v>2338</v>
      </c>
      <c r="N17" s="217"/>
      <c r="O17" s="210"/>
    </row>
    <row r="18">
      <c r="A18" s="212">
        <f t="shared" si="1"/>
        <v>15</v>
      </c>
      <c r="B18" s="267" t="s">
        <v>42</v>
      </c>
      <c r="C18" s="220"/>
      <c r="D18" s="212" t="s">
        <v>2299</v>
      </c>
      <c r="E18" s="265" t="s">
        <v>92</v>
      </c>
      <c r="F18" s="212" t="s">
        <v>613</v>
      </c>
      <c r="G18" s="266" t="s">
        <v>92</v>
      </c>
      <c r="H18" s="213" t="s">
        <v>2300</v>
      </c>
      <c r="I18" s="227" t="s">
        <v>2339</v>
      </c>
      <c r="J18" s="214" t="s">
        <v>176</v>
      </c>
      <c r="K18" s="215" t="s">
        <v>33</v>
      </c>
      <c r="L18" s="224"/>
      <c r="M18" s="224"/>
      <c r="N18" s="217"/>
      <c r="O18" s="210"/>
    </row>
    <row r="19">
      <c r="A19" s="212">
        <f t="shared" si="1"/>
        <v>16</v>
      </c>
      <c r="B19" s="267" t="s">
        <v>42</v>
      </c>
      <c r="C19" s="220"/>
      <c r="D19" s="212" t="s">
        <v>2302</v>
      </c>
      <c r="E19" s="265" t="s">
        <v>92</v>
      </c>
      <c r="F19" s="212" t="s">
        <v>613</v>
      </c>
      <c r="G19" s="266" t="s">
        <v>92</v>
      </c>
      <c r="H19" s="227" t="s">
        <v>2303</v>
      </c>
      <c r="I19" s="227" t="s">
        <v>2340</v>
      </c>
      <c r="J19" s="214" t="s">
        <v>176</v>
      </c>
      <c r="K19" s="215" t="s">
        <v>33</v>
      </c>
      <c r="L19" s="224"/>
      <c r="M19" s="224"/>
      <c r="N19" s="217"/>
      <c r="O19" s="210"/>
    </row>
    <row r="20">
      <c r="A20" s="212">
        <f t="shared" si="1"/>
        <v>17</v>
      </c>
      <c r="B20" s="267" t="s">
        <v>42</v>
      </c>
      <c r="C20" s="220"/>
      <c r="D20" s="212" t="s">
        <v>2341</v>
      </c>
      <c r="E20" s="265" t="s">
        <v>92</v>
      </c>
      <c r="F20" s="212" t="s">
        <v>613</v>
      </c>
      <c r="G20" s="227"/>
      <c r="H20" s="227" t="s">
        <v>2342</v>
      </c>
      <c r="I20" s="227" t="s">
        <v>2343</v>
      </c>
      <c r="J20" s="214" t="s">
        <v>176</v>
      </c>
      <c r="K20" s="215" t="s">
        <v>33</v>
      </c>
      <c r="L20" s="224"/>
      <c r="M20" s="224"/>
      <c r="N20" s="217"/>
      <c r="O20" s="210"/>
    </row>
    <row r="21">
      <c r="A21" s="212">
        <f t="shared" si="1"/>
        <v>18</v>
      </c>
      <c r="B21" s="267" t="s">
        <v>42</v>
      </c>
      <c r="C21" s="220"/>
      <c r="D21" s="212" t="s">
        <v>587</v>
      </c>
      <c r="E21" s="212"/>
      <c r="F21" s="212" t="s">
        <v>2344</v>
      </c>
      <c r="G21" s="227" t="s">
        <v>2345</v>
      </c>
      <c r="H21" s="227" t="s">
        <v>2346</v>
      </c>
      <c r="I21" s="227" t="s">
        <v>2347</v>
      </c>
      <c r="J21" s="214" t="s">
        <v>176</v>
      </c>
      <c r="K21" s="215" t="s">
        <v>33</v>
      </c>
      <c r="L21" s="224"/>
      <c r="M21" s="224"/>
      <c r="N21" s="217"/>
      <c r="O21" s="210"/>
    </row>
    <row r="22">
      <c r="A22" s="212">
        <f t="shared" si="1"/>
        <v>19</v>
      </c>
      <c r="B22" s="267" t="s">
        <v>42</v>
      </c>
      <c r="C22" s="220"/>
      <c r="D22" s="212" t="s">
        <v>587</v>
      </c>
      <c r="E22" s="212"/>
      <c r="F22" s="212" t="s">
        <v>2348</v>
      </c>
      <c r="G22" s="227" t="s">
        <v>2349</v>
      </c>
      <c r="H22" s="227" t="s">
        <v>2350</v>
      </c>
      <c r="I22" s="227" t="s">
        <v>2351</v>
      </c>
      <c r="J22" s="214" t="s">
        <v>176</v>
      </c>
      <c r="K22" s="215" t="s">
        <v>33</v>
      </c>
      <c r="L22" s="224"/>
      <c r="M22" s="224"/>
      <c r="N22" s="217"/>
      <c r="O22" s="210"/>
    </row>
    <row r="23">
      <c r="A23" s="212">
        <f t="shared" si="1"/>
        <v>20</v>
      </c>
      <c r="B23" s="267" t="s">
        <v>42</v>
      </c>
      <c r="C23" s="220"/>
      <c r="D23" s="212" t="s">
        <v>587</v>
      </c>
      <c r="E23" s="212"/>
      <c r="F23" s="212" t="s">
        <v>2348</v>
      </c>
      <c r="G23" s="227" t="s">
        <v>2352</v>
      </c>
      <c r="H23" s="227" t="s">
        <v>2353</v>
      </c>
      <c r="I23" s="227" t="s">
        <v>2354</v>
      </c>
      <c r="J23" s="214" t="s">
        <v>176</v>
      </c>
      <c r="K23" s="215" t="s">
        <v>33</v>
      </c>
      <c r="L23" s="226"/>
      <c r="M23" s="224"/>
      <c r="N23" s="217"/>
      <c r="O23" s="210"/>
    </row>
    <row r="24">
      <c r="A24" s="212">
        <f t="shared" si="1"/>
        <v>21</v>
      </c>
      <c r="B24" s="267" t="s">
        <v>42</v>
      </c>
      <c r="C24" s="220"/>
      <c r="D24" s="212" t="s">
        <v>587</v>
      </c>
      <c r="E24" s="212"/>
      <c r="F24" s="212" t="s">
        <v>2355</v>
      </c>
      <c r="G24" s="227" t="s">
        <v>2356</v>
      </c>
      <c r="H24" s="227" t="s">
        <v>2357</v>
      </c>
      <c r="I24" s="227" t="s">
        <v>2358</v>
      </c>
      <c r="J24" s="214" t="s">
        <v>176</v>
      </c>
      <c r="K24" s="215" t="s">
        <v>33</v>
      </c>
      <c r="L24" s="226"/>
      <c r="M24" s="227"/>
      <c r="N24" s="217"/>
      <c r="O24" s="210"/>
    </row>
    <row r="25">
      <c r="A25" s="212">
        <f t="shared" si="1"/>
        <v>22</v>
      </c>
      <c r="B25" s="267" t="s">
        <v>42</v>
      </c>
      <c r="C25" s="220"/>
      <c r="D25" s="212" t="s">
        <v>587</v>
      </c>
      <c r="E25" s="212"/>
      <c r="F25" s="212" t="s">
        <v>2355</v>
      </c>
      <c r="G25" s="227" t="s">
        <v>2356</v>
      </c>
      <c r="H25" s="227" t="s">
        <v>2359</v>
      </c>
      <c r="I25" s="227" t="s">
        <v>2360</v>
      </c>
      <c r="J25" s="214" t="s">
        <v>176</v>
      </c>
      <c r="K25" s="215" t="s">
        <v>33</v>
      </c>
      <c r="L25" s="224"/>
      <c r="M25" s="224"/>
      <c r="N25" s="217"/>
      <c r="O25" s="210"/>
    </row>
    <row r="26">
      <c r="A26" s="212">
        <f t="shared" si="1"/>
        <v>23</v>
      </c>
      <c r="B26" s="267" t="s">
        <v>42</v>
      </c>
      <c r="C26" s="220"/>
      <c r="D26" s="212" t="s">
        <v>587</v>
      </c>
      <c r="E26" s="212"/>
      <c r="F26" s="212" t="s">
        <v>608</v>
      </c>
      <c r="G26" s="227"/>
      <c r="H26" s="227" t="s">
        <v>2361</v>
      </c>
      <c r="I26" s="227" t="s">
        <v>2362</v>
      </c>
      <c r="J26" s="214" t="s">
        <v>176</v>
      </c>
      <c r="K26" s="215" t="s">
        <v>33</v>
      </c>
      <c r="L26" s="240" t="s">
        <v>2363</v>
      </c>
      <c r="M26" s="227" t="s">
        <v>2364</v>
      </c>
      <c r="N26" s="217"/>
      <c r="O26" s="210"/>
    </row>
    <row r="27">
      <c r="A27" s="212">
        <f t="shared" si="1"/>
        <v>24</v>
      </c>
      <c r="B27" s="267" t="s">
        <v>42</v>
      </c>
      <c r="C27" s="220"/>
      <c r="D27" s="212" t="s">
        <v>587</v>
      </c>
      <c r="E27" s="212"/>
      <c r="F27" s="212" t="s">
        <v>2365</v>
      </c>
      <c r="G27" s="227" t="s">
        <v>2366</v>
      </c>
      <c r="H27" s="227" t="s">
        <v>2367</v>
      </c>
      <c r="I27" s="227" t="s">
        <v>2368</v>
      </c>
      <c r="J27" s="214" t="s">
        <v>176</v>
      </c>
      <c r="K27" s="215" t="s">
        <v>33</v>
      </c>
      <c r="L27" s="224"/>
      <c r="M27" s="224"/>
      <c r="N27" s="217"/>
      <c r="O27" s="210"/>
    </row>
    <row r="28">
      <c r="A28" s="212">
        <f t="shared" si="1"/>
        <v>25</v>
      </c>
      <c r="B28" s="267" t="s">
        <v>42</v>
      </c>
      <c r="C28" s="220"/>
      <c r="D28" s="212" t="s">
        <v>2369</v>
      </c>
      <c r="E28" s="212"/>
      <c r="F28" s="212" t="s">
        <v>613</v>
      </c>
      <c r="G28" s="227" t="s">
        <v>2370</v>
      </c>
      <c r="H28" s="227" t="s">
        <v>2371</v>
      </c>
      <c r="I28" s="227" t="s">
        <v>2372</v>
      </c>
      <c r="J28" s="214" t="s">
        <v>176</v>
      </c>
      <c r="K28" s="215" t="s">
        <v>33</v>
      </c>
      <c r="L28" s="224"/>
      <c r="M28" s="224"/>
      <c r="N28" s="217"/>
      <c r="O28" s="210"/>
    </row>
    <row r="29">
      <c r="A29" s="212">
        <f t="shared" si="1"/>
        <v>26</v>
      </c>
      <c r="B29" s="267" t="s">
        <v>42</v>
      </c>
      <c r="C29" s="220"/>
      <c r="D29" s="212" t="s">
        <v>2369</v>
      </c>
      <c r="E29" s="212"/>
      <c r="F29" s="212" t="s">
        <v>613</v>
      </c>
      <c r="G29" s="227" t="s">
        <v>2373</v>
      </c>
      <c r="H29" s="227" t="s">
        <v>2374</v>
      </c>
      <c r="I29" s="227" t="s">
        <v>2375</v>
      </c>
      <c r="J29" s="214" t="s">
        <v>176</v>
      </c>
      <c r="K29" s="215" t="s">
        <v>33</v>
      </c>
      <c r="L29" s="224"/>
      <c r="M29" s="224"/>
      <c r="N29" s="217"/>
      <c r="O29" s="210"/>
    </row>
    <row r="30">
      <c r="A30" s="212">
        <f t="shared" si="1"/>
        <v>27</v>
      </c>
      <c r="B30" s="267" t="s">
        <v>42</v>
      </c>
      <c r="C30" s="220"/>
      <c r="D30" s="212" t="s">
        <v>2369</v>
      </c>
      <c r="E30" s="212"/>
      <c r="F30" s="212" t="s">
        <v>613</v>
      </c>
      <c r="G30" s="227" t="s">
        <v>2376</v>
      </c>
      <c r="H30" s="227" t="s">
        <v>2374</v>
      </c>
      <c r="I30" s="227" t="s">
        <v>2377</v>
      </c>
      <c r="J30" s="214" t="s">
        <v>176</v>
      </c>
      <c r="K30" s="215" t="s">
        <v>36</v>
      </c>
      <c r="L30" s="224"/>
      <c r="M30" s="227" t="s">
        <v>2378</v>
      </c>
      <c r="N30" s="217"/>
      <c r="O30" s="210"/>
    </row>
    <row r="31">
      <c r="A31" s="212">
        <f t="shared" si="1"/>
        <v>28</v>
      </c>
      <c r="B31" s="267" t="s">
        <v>42</v>
      </c>
      <c r="C31" s="220"/>
      <c r="D31" s="212" t="s">
        <v>2369</v>
      </c>
      <c r="E31" s="212"/>
      <c r="F31" s="212" t="s">
        <v>613</v>
      </c>
      <c r="G31" s="227" t="s">
        <v>2379</v>
      </c>
      <c r="H31" s="227" t="s">
        <v>2374</v>
      </c>
      <c r="I31" s="227" t="s">
        <v>2380</v>
      </c>
      <c r="J31" s="214" t="s">
        <v>176</v>
      </c>
      <c r="K31" s="215" t="s">
        <v>33</v>
      </c>
      <c r="L31" s="224"/>
      <c r="M31" s="224"/>
      <c r="N31" s="217"/>
      <c r="O31" s="210"/>
    </row>
    <row r="32">
      <c r="A32" s="212">
        <f t="shared" si="1"/>
        <v>29</v>
      </c>
      <c r="B32" s="267" t="s">
        <v>42</v>
      </c>
      <c r="C32" s="39"/>
      <c r="D32" s="212" t="s">
        <v>2369</v>
      </c>
      <c r="E32" s="212"/>
      <c r="F32" s="212" t="s">
        <v>613</v>
      </c>
      <c r="G32" s="227" t="s">
        <v>2381</v>
      </c>
      <c r="H32" s="227" t="s">
        <v>2382</v>
      </c>
      <c r="I32" s="227" t="s">
        <v>2383</v>
      </c>
      <c r="J32" s="214" t="s">
        <v>176</v>
      </c>
      <c r="K32" s="215" t="s">
        <v>33</v>
      </c>
      <c r="L32" s="224"/>
      <c r="M32" s="224"/>
      <c r="N32" s="217"/>
      <c r="O32" s="210"/>
    </row>
    <row r="33">
      <c r="A33" s="212">
        <f t="shared" si="1"/>
        <v>30</v>
      </c>
      <c r="B33" s="269" t="s">
        <v>42</v>
      </c>
      <c r="C33" s="225" t="s">
        <v>181</v>
      </c>
      <c r="D33" s="265" t="s">
        <v>92</v>
      </c>
      <c r="E33" s="212"/>
      <c r="F33" s="212" t="s">
        <v>613</v>
      </c>
      <c r="G33" s="217"/>
      <c r="H33" s="213" t="s">
        <v>2384</v>
      </c>
      <c r="I33" s="217" t="s">
        <v>2385</v>
      </c>
      <c r="J33" s="256" t="s">
        <v>181</v>
      </c>
      <c r="K33" s="215" t="s">
        <v>33</v>
      </c>
      <c r="L33" s="224"/>
      <c r="M33" s="224"/>
      <c r="N33" s="217"/>
      <c r="O33" s="210"/>
    </row>
    <row r="34">
      <c r="A34" s="212">
        <f t="shared" si="1"/>
        <v>31</v>
      </c>
      <c r="B34" s="269" t="s">
        <v>42</v>
      </c>
      <c r="C34" s="220"/>
      <c r="D34" s="212" t="s">
        <v>2386</v>
      </c>
      <c r="E34" s="212"/>
      <c r="F34" s="212" t="s">
        <v>613</v>
      </c>
      <c r="G34" s="217"/>
      <c r="H34" s="213" t="s">
        <v>2387</v>
      </c>
      <c r="I34" s="217" t="s">
        <v>2388</v>
      </c>
      <c r="J34" s="256" t="s">
        <v>181</v>
      </c>
      <c r="K34" s="215" t="s">
        <v>33</v>
      </c>
      <c r="L34" s="224"/>
      <c r="M34" s="224"/>
      <c r="N34" s="217"/>
      <c r="O34" s="210"/>
    </row>
    <row r="35">
      <c r="A35" s="212">
        <f t="shared" si="1"/>
        <v>32</v>
      </c>
      <c r="B35" s="269" t="s">
        <v>42</v>
      </c>
      <c r="C35" s="220"/>
      <c r="D35" s="212" t="s">
        <v>587</v>
      </c>
      <c r="E35" s="212"/>
      <c r="F35" s="212" t="s">
        <v>613</v>
      </c>
      <c r="G35" s="217"/>
      <c r="H35" s="213" t="s">
        <v>2389</v>
      </c>
      <c r="I35" s="217" t="s">
        <v>2390</v>
      </c>
      <c r="J35" s="256" t="s">
        <v>181</v>
      </c>
      <c r="K35" s="215" t="s">
        <v>33</v>
      </c>
      <c r="L35" s="240" t="s">
        <v>2391</v>
      </c>
      <c r="M35" s="227" t="s">
        <v>2392</v>
      </c>
      <c r="N35" s="217"/>
      <c r="O35" s="210"/>
    </row>
    <row r="36">
      <c r="A36" s="212">
        <f t="shared" si="1"/>
        <v>33</v>
      </c>
      <c r="B36" s="269" t="s">
        <v>42</v>
      </c>
      <c r="C36" s="220"/>
      <c r="D36" s="212" t="s">
        <v>587</v>
      </c>
      <c r="E36" s="212"/>
      <c r="F36" s="212" t="s">
        <v>2393</v>
      </c>
      <c r="G36" s="217"/>
      <c r="H36" s="213" t="s">
        <v>2394</v>
      </c>
      <c r="I36" s="217" t="s">
        <v>2395</v>
      </c>
      <c r="J36" s="256" t="s">
        <v>181</v>
      </c>
      <c r="K36" s="215" t="s">
        <v>33</v>
      </c>
      <c r="L36" s="224"/>
      <c r="M36" s="224"/>
      <c r="N36" s="217"/>
      <c r="O36" s="210"/>
    </row>
    <row r="37">
      <c r="A37" s="212">
        <f t="shared" si="1"/>
        <v>34</v>
      </c>
      <c r="B37" s="269" t="s">
        <v>42</v>
      </c>
      <c r="C37" s="220"/>
      <c r="D37" s="212" t="s">
        <v>587</v>
      </c>
      <c r="E37" s="212"/>
      <c r="F37" s="212" t="s">
        <v>2393</v>
      </c>
      <c r="G37" s="217"/>
      <c r="H37" s="213" t="s">
        <v>2396</v>
      </c>
      <c r="I37" s="270" t="s">
        <v>2397</v>
      </c>
      <c r="J37" s="256" t="s">
        <v>181</v>
      </c>
      <c r="K37" s="215" t="s">
        <v>33</v>
      </c>
      <c r="L37" s="240" t="s">
        <v>2391</v>
      </c>
      <c r="M37" s="227" t="s">
        <v>2398</v>
      </c>
      <c r="N37" s="217"/>
      <c r="O37" s="210"/>
    </row>
    <row r="38">
      <c r="A38" s="212">
        <f t="shared" si="1"/>
        <v>35</v>
      </c>
      <c r="B38" s="269" t="s">
        <v>42</v>
      </c>
      <c r="C38" s="220"/>
      <c r="D38" s="212" t="s">
        <v>587</v>
      </c>
      <c r="E38" s="212"/>
      <c r="F38" s="212" t="s">
        <v>1874</v>
      </c>
      <c r="G38" s="227"/>
      <c r="H38" s="213" t="s">
        <v>2399</v>
      </c>
      <c r="I38" s="227" t="s">
        <v>2400</v>
      </c>
      <c r="J38" s="256" t="s">
        <v>181</v>
      </c>
      <c r="K38" s="215" t="s">
        <v>33</v>
      </c>
      <c r="L38" s="240" t="s">
        <v>2363</v>
      </c>
      <c r="M38" s="227" t="s">
        <v>2364</v>
      </c>
      <c r="N38" s="217"/>
      <c r="O38" s="210"/>
    </row>
    <row r="39">
      <c r="A39" s="212">
        <f t="shared" si="1"/>
        <v>36</v>
      </c>
      <c r="B39" s="269" t="s">
        <v>42</v>
      </c>
      <c r="C39" s="220"/>
      <c r="D39" s="212" t="s">
        <v>587</v>
      </c>
      <c r="E39" s="212"/>
      <c r="F39" s="212" t="s">
        <v>1874</v>
      </c>
      <c r="G39" s="227"/>
      <c r="H39" s="213" t="s">
        <v>2401</v>
      </c>
      <c r="I39" s="227" t="s">
        <v>2311</v>
      </c>
      <c r="J39" s="256" t="s">
        <v>181</v>
      </c>
      <c r="K39" s="215" t="s">
        <v>33</v>
      </c>
      <c r="L39" s="240" t="s">
        <v>2363</v>
      </c>
      <c r="M39" s="227" t="s">
        <v>2364</v>
      </c>
      <c r="N39" s="217"/>
      <c r="O39" s="210"/>
    </row>
    <row r="40">
      <c r="A40" s="212">
        <f t="shared" si="1"/>
        <v>37</v>
      </c>
      <c r="B40" s="269" t="s">
        <v>42</v>
      </c>
      <c r="C40" s="220"/>
      <c r="D40" s="212" t="s">
        <v>587</v>
      </c>
      <c r="E40" s="212"/>
      <c r="F40" s="212" t="s">
        <v>608</v>
      </c>
      <c r="G40" s="217"/>
      <c r="H40" s="213" t="s">
        <v>2402</v>
      </c>
      <c r="I40" s="227" t="s">
        <v>2403</v>
      </c>
      <c r="J40" s="256" t="s">
        <v>181</v>
      </c>
      <c r="K40" s="215" t="s">
        <v>33</v>
      </c>
      <c r="L40" s="240" t="s">
        <v>2363</v>
      </c>
      <c r="M40" s="227" t="s">
        <v>2364</v>
      </c>
      <c r="N40" s="217"/>
      <c r="O40" s="210"/>
    </row>
    <row r="41">
      <c r="A41" s="212">
        <f t="shared" si="1"/>
        <v>38</v>
      </c>
      <c r="B41" s="269" t="s">
        <v>42</v>
      </c>
      <c r="C41" s="220"/>
      <c r="D41" s="212" t="s">
        <v>587</v>
      </c>
      <c r="E41" s="212"/>
      <c r="F41" s="212" t="s">
        <v>1307</v>
      </c>
      <c r="G41" s="227"/>
      <c r="H41" s="227" t="s">
        <v>2404</v>
      </c>
      <c r="I41" s="227" t="s">
        <v>2405</v>
      </c>
      <c r="J41" s="256" t="s">
        <v>181</v>
      </c>
      <c r="K41" s="215" t="s">
        <v>33</v>
      </c>
      <c r="L41" s="224"/>
      <c r="M41" s="224"/>
      <c r="N41" s="217"/>
      <c r="O41" s="210"/>
    </row>
    <row r="42">
      <c r="A42" s="212">
        <f t="shared" si="1"/>
        <v>39</v>
      </c>
      <c r="B42" s="269" t="s">
        <v>42</v>
      </c>
      <c r="C42" s="220"/>
      <c r="D42" s="212" t="s">
        <v>2406</v>
      </c>
      <c r="E42" s="212"/>
      <c r="F42" s="212" t="s">
        <v>613</v>
      </c>
      <c r="G42" s="227"/>
      <c r="H42" s="213" t="s">
        <v>2407</v>
      </c>
      <c r="I42" s="227" t="s">
        <v>2408</v>
      </c>
      <c r="J42" s="256" t="s">
        <v>181</v>
      </c>
      <c r="K42" s="215" t="s">
        <v>33</v>
      </c>
      <c r="L42" s="224"/>
      <c r="M42" s="224"/>
      <c r="N42" s="217"/>
      <c r="O42" s="210"/>
    </row>
    <row r="43">
      <c r="A43" s="212">
        <f t="shared" si="1"/>
        <v>40</v>
      </c>
      <c r="B43" s="269" t="s">
        <v>42</v>
      </c>
      <c r="C43" s="39"/>
      <c r="D43" s="212" t="s">
        <v>2406</v>
      </c>
      <c r="E43" s="212"/>
      <c r="F43" s="212" t="s">
        <v>613</v>
      </c>
      <c r="G43" s="227"/>
      <c r="H43" s="227" t="s">
        <v>2409</v>
      </c>
      <c r="I43" s="227" t="s">
        <v>2410</v>
      </c>
      <c r="J43" s="256" t="s">
        <v>181</v>
      </c>
      <c r="K43" s="215" t="s">
        <v>33</v>
      </c>
      <c r="L43" s="226"/>
      <c r="M43" s="224"/>
      <c r="N43" s="217"/>
      <c r="O43" s="210"/>
    </row>
    <row r="44">
      <c r="A44" s="212">
        <f t="shared" si="1"/>
        <v>41</v>
      </c>
      <c r="B44" s="269" t="s">
        <v>42</v>
      </c>
      <c r="C44" s="225" t="s">
        <v>184</v>
      </c>
      <c r="D44" s="265" t="s">
        <v>92</v>
      </c>
      <c r="E44" s="212"/>
      <c r="F44" s="212" t="s">
        <v>613</v>
      </c>
      <c r="G44" s="227"/>
      <c r="H44" s="227" t="s">
        <v>2411</v>
      </c>
      <c r="I44" s="227" t="s">
        <v>2412</v>
      </c>
      <c r="J44" s="256" t="s">
        <v>177</v>
      </c>
      <c r="K44" s="215" t="s">
        <v>33</v>
      </c>
      <c r="L44" s="226"/>
      <c r="M44" s="227"/>
      <c r="N44" s="217"/>
      <c r="O44" s="210"/>
    </row>
    <row r="45">
      <c r="A45" s="212">
        <f t="shared" si="1"/>
        <v>42</v>
      </c>
      <c r="B45" s="269" t="s">
        <v>42</v>
      </c>
      <c r="C45" s="220"/>
      <c r="D45" s="212" t="s">
        <v>2386</v>
      </c>
      <c r="E45" s="212"/>
      <c r="F45" s="212" t="s">
        <v>613</v>
      </c>
      <c r="G45" s="227"/>
      <c r="H45" s="213" t="s">
        <v>2387</v>
      </c>
      <c r="I45" s="226" t="s">
        <v>2413</v>
      </c>
      <c r="J45" s="256" t="s">
        <v>177</v>
      </c>
      <c r="K45" s="215" t="s">
        <v>33</v>
      </c>
      <c r="L45" s="224"/>
      <c r="M45" s="227"/>
      <c r="N45" s="217"/>
      <c r="O45" s="210"/>
    </row>
    <row r="46">
      <c r="A46" s="212">
        <f t="shared" si="1"/>
        <v>43</v>
      </c>
      <c r="B46" s="269" t="s">
        <v>42</v>
      </c>
      <c r="C46" s="220"/>
      <c r="D46" s="212" t="s">
        <v>2302</v>
      </c>
      <c r="E46" s="212"/>
      <c r="F46" s="212" t="s">
        <v>613</v>
      </c>
      <c r="G46" s="224"/>
      <c r="H46" s="227" t="s">
        <v>2303</v>
      </c>
      <c r="I46" s="227" t="s">
        <v>2414</v>
      </c>
      <c r="J46" s="256" t="s">
        <v>177</v>
      </c>
      <c r="K46" s="215" t="s">
        <v>33</v>
      </c>
      <c r="L46" s="224"/>
      <c r="M46" s="224"/>
      <c r="N46" s="217"/>
      <c r="O46" s="210"/>
    </row>
    <row r="47">
      <c r="A47" s="212">
        <f t="shared" si="1"/>
        <v>44</v>
      </c>
      <c r="B47" s="269" t="s">
        <v>42</v>
      </c>
      <c r="C47" s="220"/>
      <c r="D47" s="212" t="s">
        <v>2302</v>
      </c>
      <c r="E47" s="212"/>
      <c r="F47" s="212" t="s">
        <v>2415</v>
      </c>
      <c r="G47" s="217"/>
      <c r="H47" s="213" t="s">
        <v>2416</v>
      </c>
      <c r="I47" s="213" t="s">
        <v>2417</v>
      </c>
      <c r="J47" s="256" t="s">
        <v>177</v>
      </c>
      <c r="K47" s="215" t="s">
        <v>33</v>
      </c>
      <c r="L47" s="224"/>
      <c r="M47" s="224"/>
      <c r="N47" s="217"/>
      <c r="O47" s="210"/>
    </row>
    <row r="48">
      <c r="A48" s="212">
        <f t="shared" si="1"/>
        <v>45</v>
      </c>
      <c r="B48" s="269" t="s">
        <v>42</v>
      </c>
      <c r="C48" s="220"/>
      <c r="D48" s="212" t="s">
        <v>2302</v>
      </c>
      <c r="E48" s="212"/>
      <c r="F48" s="212" t="s">
        <v>2418</v>
      </c>
      <c r="G48" s="217"/>
      <c r="H48" s="213" t="s">
        <v>2419</v>
      </c>
      <c r="I48" s="213" t="s">
        <v>2420</v>
      </c>
      <c r="J48" s="256" t="s">
        <v>177</v>
      </c>
      <c r="K48" s="215" t="s">
        <v>33</v>
      </c>
      <c r="L48" s="224"/>
      <c r="M48" s="224"/>
      <c r="N48" s="217"/>
      <c r="O48" s="210"/>
    </row>
    <row r="49">
      <c r="A49" s="212">
        <f t="shared" si="1"/>
        <v>46</v>
      </c>
      <c r="B49" s="269" t="s">
        <v>42</v>
      </c>
      <c r="C49" s="220"/>
      <c r="D49" s="212" t="s">
        <v>2421</v>
      </c>
      <c r="E49" s="212"/>
      <c r="F49" s="212" t="s">
        <v>613</v>
      </c>
      <c r="G49" s="217" t="s">
        <v>2422</v>
      </c>
      <c r="H49" s="213" t="s">
        <v>2423</v>
      </c>
      <c r="I49" s="217" t="s">
        <v>2424</v>
      </c>
      <c r="J49" s="256" t="s">
        <v>177</v>
      </c>
      <c r="K49" s="215" t="s">
        <v>33</v>
      </c>
      <c r="L49" s="224"/>
      <c r="M49" s="224"/>
      <c r="N49" s="217"/>
      <c r="O49" s="210"/>
    </row>
    <row r="50">
      <c r="A50" s="212">
        <f t="shared" si="1"/>
        <v>47</v>
      </c>
      <c r="B50" s="269" t="s">
        <v>42</v>
      </c>
      <c r="C50" s="39"/>
      <c r="D50" s="212" t="s">
        <v>2421</v>
      </c>
      <c r="E50" s="212"/>
      <c r="F50" s="212" t="s">
        <v>613</v>
      </c>
      <c r="G50" s="217" t="s">
        <v>2425</v>
      </c>
      <c r="H50" s="213" t="s">
        <v>2426</v>
      </c>
      <c r="I50" s="217" t="s">
        <v>2427</v>
      </c>
      <c r="J50" s="256" t="s">
        <v>177</v>
      </c>
      <c r="K50" s="215" t="s">
        <v>33</v>
      </c>
      <c r="L50" s="224"/>
      <c r="M50" s="224"/>
      <c r="N50" s="217"/>
      <c r="O50" s="210"/>
    </row>
    <row r="51">
      <c r="A51" s="212">
        <f t="shared" si="1"/>
        <v>48</v>
      </c>
      <c r="B51" s="269" t="s">
        <v>42</v>
      </c>
      <c r="C51" s="225" t="s">
        <v>187</v>
      </c>
      <c r="D51" s="265" t="s">
        <v>92</v>
      </c>
      <c r="E51" s="212"/>
      <c r="F51" s="212" t="s">
        <v>613</v>
      </c>
      <c r="G51" s="224"/>
      <c r="H51" s="213" t="s">
        <v>2428</v>
      </c>
      <c r="I51" s="227" t="s">
        <v>2429</v>
      </c>
      <c r="J51" s="256" t="s">
        <v>187</v>
      </c>
      <c r="K51" s="215" t="s">
        <v>33</v>
      </c>
      <c r="L51" s="224"/>
      <c r="M51" s="224"/>
      <c r="N51" s="217"/>
      <c r="O51" s="210"/>
    </row>
    <row r="52">
      <c r="A52" s="212">
        <f t="shared" si="1"/>
        <v>49</v>
      </c>
      <c r="B52" s="269" t="s">
        <v>42</v>
      </c>
      <c r="C52" s="220"/>
      <c r="D52" s="212" t="s">
        <v>2386</v>
      </c>
      <c r="E52" s="212"/>
      <c r="F52" s="212" t="s">
        <v>613</v>
      </c>
      <c r="G52" s="227"/>
      <c r="H52" s="213" t="s">
        <v>2387</v>
      </c>
      <c r="I52" s="227" t="s">
        <v>2430</v>
      </c>
      <c r="J52" s="256" t="s">
        <v>187</v>
      </c>
      <c r="K52" s="215" t="s">
        <v>33</v>
      </c>
      <c r="L52" s="226"/>
      <c r="M52" s="224"/>
      <c r="N52" s="217"/>
      <c r="O52" s="210"/>
    </row>
    <row r="53">
      <c r="A53" s="212">
        <f t="shared" si="1"/>
        <v>50</v>
      </c>
      <c r="B53" s="269" t="s">
        <v>42</v>
      </c>
      <c r="C53" s="220"/>
      <c r="D53" s="212" t="s">
        <v>2431</v>
      </c>
      <c r="E53" s="212"/>
      <c r="F53" s="212" t="s">
        <v>613</v>
      </c>
      <c r="G53" s="224"/>
      <c r="H53" s="227" t="s">
        <v>2432</v>
      </c>
      <c r="I53" s="227" t="s">
        <v>2433</v>
      </c>
      <c r="J53" s="256" t="s">
        <v>187</v>
      </c>
      <c r="K53" s="215" t="s">
        <v>33</v>
      </c>
      <c r="L53" s="224"/>
      <c r="M53" s="224"/>
      <c r="N53" s="217"/>
      <c r="O53" s="210"/>
    </row>
    <row r="54">
      <c r="A54" s="212">
        <f t="shared" si="1"/>
        <v>51</v>
      </c>
      <c r="B54" s="269" t="s">
        <v>42</v>
      </c>
      <c r="C54" s="220"/>
      <c r="D54" s="212" t="s">
        <v>2431</v>
      </c>
      <c r="E54" s="212"/>
      <c r="F54" s="212" t="s">
        <v>2434</v>
      </c>
      <c r="G54" s="227"/>
      <c r="H54" s="227" t="s">
        <v>2435</v>
      </c>
      <c r="I54" s="227" t="s">
        <v>2436</v>
      </c>
      <c r="J54" s="256" t="s">
        <v>187</v>
      </c>
      <c r="K54" s="215" t="s">
        <v>34</v>
      </c>
      <c r="L54" s="240" t="s">
        <v>2437</v>
      </c>
      <c r="M54" s="227" t="s">
        <v>2438</v>
      </c>
      <c r="N54" s="217"/>
      <c r="O54" s="210"/>
    </row>
    <row r="55">
      <c r="A55" s="212">
        <f t="shared" si="1"/>
        <v>52</v>
      </c>
      <c r="B55" s="269" t="s">
        <v>42</v>
      </c>
      <c r="C55" s="220"/>
      <c r="D55" s="212" t="s">
        <v>2439</v>
      </c>
      <c r="E55" s="212"/>
      <c r="F55" s="212" t="s">
        <v>613</v>
      </c>
      <c r="G55" s="227"/>
      <c r="H55" s="227" t="s">
        <v>2440</v>
      </c>
      <c r="I55" s="271" t="s">
        <v>2441</v>
      </c>
      <c r="J55" s="256" t="s">
        <v>187</v>
      </c>
      <c r="K55" s="215" t="s">
        <v>33</v>
      </c>
      <c r="L55" s="224"/>
      <c r="M55" s="224"/>
      <c r="N55" s="217"/>
      <c r="O55" s="210"/>
    </row>
    <row r="56">
      <c r="A56" s="212">
        <f t="shared" si="1"/>
        <v>53</v>
      </c>
      <c r="B56" s="269" t="s">
        <v>42</v>
      </c>
      <c r="C56" s="220"/>
      <c r="D56" s="212" t="s">
        <v>2439</v>
      </c>
      <c r="E56" s="212"/>
      <c r="F56" s="212" t="s">
        <v>613</v>
      </c>
      <c r="G56" s="227" t="s">
        <v>2442</v>
      </c>
      <c r="H56" s="227" t="s">
        <v>2443</v>
      </c>
      <c r="I56" s="227" t="s">
        <v>2444</v>
      </c>
      <c r="J56" s="256" t="s">
        <v>187</v>
      </c>
      <c r="K56" s="215" t="s">
        <v>33</v>
      </c>
      <c r="L56" s="226"/>
      <c r="M56" s="227"/>
      <c r="N56" s="217"/>
      <c r="O56" s="210"/>
    </row>
    <row r="57">
      <c r="A57" s="212">
        <f t="shared" si="1"/>
        <v>54</v>
      </c>
      <c r="B57" s="269" t="s">
        <v>42</v>
      </c>
      <c r="C57" s="220"/>
      <c r="D57" s="212" t="s">
        <v>2439</v>
      </c>
      <c r="E57" s="212"/>
      <c r="F57" s="212" t="s">
        <v>613</v>
      </c>
      <c r="G57" s="227" t="s">
        <v>2445</v>
      </c>
      <c r="H57" s="227" t="s">
        <v>2443</v>
      </c>
      <c r="I57" s="227" t="s">
        <v>2446</v>
      </c>
      <c r="J57" s="256" t="s">
        <v>187</v>
      </c>
      <c r="K57" s="215" t="s">
        <v>33</v>
      </c>
      <c r="L57" s="224"/>
      <c r="M57" s="227"/>
      <c r="N57" s="217"/>
      <c r="O57" s="210"/>
    </row>
    <row r="58">
      <c r="A58" s="212">
        <f t="shared" si="1"/>
        <v>55</v>
      </c>
      <c r="B58" s="269" t="s">
        <v>42</v>
      </c>
      <c r="C58" s="220"/>
      <c r="D58" s="212" t="s">
        <v>2439</v>
      </c>
      <c r="E58" s="212"/>
      <c r="F58" s="212" t="s">
        <v>2365</v>
      </c>
      <c r="G58" s="227" t="s">
        <v>2445</v>
      </c>
      <c r="H58" s="227" t="s">
        <v>579</v>
      </c>
      <c r="I58" s="213" t="s">
        <v>2447</v>
      </c>
      <c r="J58" s="256" t="s">
        <v>187</v>
      </c>
      <c r="K58" s="215" t="s">
        <v>33</v>
      </c>
      <c r="L58" s="224"/>
      <c r="M58" s="224"/>
      <c r="N58" s="217"/>
      <c r="O58" s="210"/>
    </row>
    <row r="59">
      <c r="A59" s="212">
        <f t="shared" si="1"/>
        <v>56</v>
      </c>
      <c r="B59" s="269" t="s">
        <v>42</v>
      </c>
      <c r="C59" s="39"/>
      <c r="D59" s="212" t="s">
        <v>2439</v>
      </c>
      <c r="E59" s="212"/>
      <c r="F59" s="212" t="s">
        <v>2448</v>
      </c>
      <c r="G59" s="227" t="s">
        <v>2445</v>
      </c>
      <c r="H59" s="213" t="s">
        <v>2449</v>
      </c>
      <c r="I59" s="255" t="s">
        <v>2450</v>
      </c>
      <c r="J59" s="256" t="s">
        <v>187</v>
      </c>
      <c r="K59" s="215" t="s">
        <v>33</v>
      </c>
      <c r="L59" s="224"/>
      <c r="M59" s="224"/>
      <c r="N59" s="217"/>
      <c r="O59" s="210"/>
    </row>
    <row r="60">
      <c r="A60" s="212">
        <f t="shared" si="1"/>
        <v>57</v>
      </c>
      <c r="B60" s="269" t="s">
        <v>42</v>
      </c>
      <c r="C60" s="225" t="s">
        <v>192</v>
      </c>
      <c r="D60" s="265" t="s">
        <v>92</v>
      </c>
      <c r="E60" s="212"/>
      <c r="F60" s="212" t="s">
        <v>483</v>
      </c>
      <c r="G60" s="224"/>
      <c r="H60" s="213" t="s">
        <v>2451</v>
      </c>
      <c r="I60" s="227" t="s">
        <v>2452</v>
      </c>
      <c r="J60" s="256" t="s">
        <v>192</v>
      </c>
      <c r="K60" s="215" t="s">
        <v>33</v>
      </c>
      <c r="L60" s="224"/>
      <c r="M60" s="224"/>
      <c r="N60" s="217"/>
      <c r="O60" s="210"/>
    </row>
    <row r="61">
      <c r="A61" s="212">
        <f t="shared" si="1"/>
        <v>58</v>
      </c>
      <c r="B61" s="269" t="s">
        <v>42</v>
      </c>
      <c r="C61" s="220"/>
      <c r="D61" s="212" t="s">
        <v>2386</v>
      </c>
      <c r="E61" s="212"/>
      <c r="F61" s="212" t="s">
        <v>483</v>
      </c>
      <c r="G61" s="216"/>
      <c r="H61" s="213" t="s">
        <v>2387</v>
      </c>
      <c r="I61" s="217" t="s">
        <v>2453</v>
      </c>
      <c r="J61" s="256" t="s">
        <v>192</v>
      </c>
      <c r="K61" s="215" t="s">
        <v>33</v>
      </c>
      <c r="L61" s="224"/>
      <c r="M61" s="224"/>
      <c r="N61" s="217"/>
      <c r="O61" s="210"/>
    </row>
    <row r="62">
      <c r="A62" s="212">
        <f t="shared" si="1"/>
        <v>59</v>
      </c>
      <c r="B62" s="269" t="s">
        <v>42</v>
      </c>
      <c r="C62" s="220"/>
      <c r="D62" s="212" t="s">
        <v>2454</v>
      </c>
      <c r="E62" s="212"/>
      <c r="F62" s="212" t="s">
        <v>483</v>
      </c>
      <c r="G62" s="217" t="s">
        <v>2455</v>
      </c>
      <c r="H62" s="213" t="s">
        <v>2456</v>
      </c>
      <c r="I62" s="263" t="s">
        <v>2457</v>
      </c>
      <c r="J62" s="256" t="s">
        <v>192</v>
      </c>
      <c r="K62" s="215" t="s">
        <v>33</v>
      </c>
      <c r="L62" s="224"/>
      <c r="M62" s="224"/>
      <c r="N62" s="217"/>
      <c r="O62" s="210"/>
    </row>
    <row r="63">
      <c r="A63" s="212">
        <f t="shared" si="1"/>
        <v>60</v>
      </c>
      <c r="B63" s="269" t="s">
        <v>42</v>
      </c>
      <c r="C63" s="220"/>
      <c r="D63" s="212" t="s">
        <v>2454</v>
      </c>
      <c r="E63" s="212"/>
      <c r="F63" s="212" t="s">
        <v>2458</v>
      </c>
      <c r="G63" s="217"/>
      <c r="H63" s="213" t="s">
        <v>2031</v>
      </c>
      <c r="I63" s="255" t="s">
        <v>2459</v>
      </c>
      <c r="J63" s="256" t="s">
        <v>192</v>
      </c>
      <c r="K63" s="215" t="s">
        <v>33</v>
      </c>
      <c r="L63" s="224"/>
      <c r="M63" s="224"/>
      <c r="N63" s="217"/>
      <c r="O63" s="210"/>
    </row>
    <row r="64">
      <c r="A64" s="212">
        <f t="shared" si="1"/>
        <v>61</v>
      </c>
      <c r="B64" s="269" t="s">
        <v>42</v>
      </c>
      <c r="C64" s="220"/>
      <c r="D64" s="212" t="s">
        <v>2460</v>
      </c>
      <c r="E64" s="212"/>
      <c r="F64" s="212" t="s">
        <v>2458</v>
      </c>
      <c r="G64" s="217"/>
      <c r="H64" s="213" t="s">
        <v>2461</v>
      </c>
      <c r="I64" s="272" t="s">
        <v>2462</v>
      </c>
      <c r="J64" s="256" t="s">
        <v>192</v>
      </c>
      <c r="K64" s="215" t="s">
        <v>33</v>
      </c>
      <c r="L64" s="226"/>
      <c r="M64" s="224"/>
      <c r="N64" s="217"/>
      <c r="O64" s="210"/>
    </row>
    <row r="65">
      <c r="A65" s="212">
        <f t="shared" si="1"/>
        <v>62</v>
      </c>
      <c r="B65" s="269" t="s">
        <v>42</v>
      </c>
      <c r="C65" s="220"/>
      <c r="D65" s="212" t="s">
        <v>2460</v>
      </c>
      <c r="E65" s="212"/>
      <c r="F65" s="212" t="s">
        <v>2458</v>
      </c>
      <c r="G65" s="217" t="s">
        <v>2463</v>
      </c>
      <c r="H65" s="213" t="s">
        <v>1162</v>
      </c>
      <c r="I65" s="255" t="s">
        <v>2027</v>
      </c>
      <c r="J65" s="256" t="s">
        <v>192</v>
      </c>
      <c r="K65" s="215" t="s">
        <v>33</v>
      </c>
      <c r="L65" s="226"/>
      <c r="M65" s="224"/>
      <c r="N65" s="217"/>
      <c r="O65" s="210"/>
    </row>
    <row r="66">
      <c r="A66" s="212">
        <f t="shared" si="1"/>
        <v>63</v>
      </c>
      <c r="B66" s="269" t="s">
        <v>42</v>
      </c>
      <c r="C66" s="220"/>
      <c r="D66" s="212" t="s">
        <v>2454</v>
      </c>
      <c r="E66" s="212"/>
      <c r="F66" s="212" t="s">
        <v>2458</v>
      </c>
      <c r="G66" s="217" t="s">
        <v>2464</v>
      </c>
      <c r="H66" s="213" t="s">
        <v>2031</v>
      </c>
      <c r="I66" s="255" t="s">
        <v>2465</v>
      </c>
      <c r="J66" s="256" t="s">
        <v>192</v>
      </c>
      <c r="K66" s="215" t="s">
        <v>33</v>
      </c>
      <c r="L66" s="226"/>
      <c r="M66" s="224"/>
      <c r="N66" s="217"/>
      <c r="O66" s="210"/>
    </row>
    <row r="67">
      <c r="A67" s="212">
        <f t="shared" si="1"/>
        <v>64</v>
      </c>
      <c r="B67" s="269" t="s">
        <v>42</v>
      </c>
      <c r="C67" s="220"/>
      <c r="D67" s="212" t="s">
        <v>2460</v>
      </c>
      <c r="E67" s="212"/>
      <c r="F67" s="212" t="s">
        <v>2458</v>
      </c>
      <c r="G67" s="217"/>
      <c r="H67" s="213" t="s">
        <v>2466</v>
      </c>
      <c r="I67" s="227" t="s">
        <v>2467</v>
      </c>
      <c r="J67" s="256" t="s">
        <v>192</v>
      </c>
      <c r="K67" s="215" t="s">
        <v>33</v>
      </c>
      <c r="L67" s="226"/>
      <c r="M67" s="224"/>
      <c r="N67" s="217"/>
      <c r="O67" s="210"/>
    </row>
    <row r="68">
      <c r="A68" s="212">
        <f t="shared" si="1"/>
        <v>65</v>
      </c>
      <c r="B68" s="269" t="s">
        <v>42</v>
      </c>
      <c r="C68" s="220"/>
      <c r="D68" s="212" t="s">
        <v>2460</v>
      </c>
      <c r="E68" s="212"/>
      <c r="F68" s="212" t="s">
        <v>2458</v>
      </c>
      <c r="G68" s="217" t="s">
        <v>2468</v>
      </c>
      <c r="H68" s="213" t="s">
        <v>2469</v>
      </c>
      <c r="I68" s="227" t="s">
        <v>2470</v>
      </c>
      <c r="J68" s="256" t="s">
        <v>192</v>
      </c>
      <c r="K68" s="215" t="s">
        <v>33</v>
      </c>
      <c r="L68" s="226"/>
      <c r="M68" s="224"/>
      <c r="N68" s="217"/>
      <c r="O68" s="210"/>
    </row>
    <row r="69">
      <c r="A69" s="212">
        <f t="shared" si="1"/>
        <v>66</v>
      </c>
      <c r="B69" s="269" t="s">
        <v>42</v>
      </c>
      <c r="C69" s="220"/>
      <c r="D69" s="212" t="s">
        <v>2460</v>
      </c>
      <c r="E69" s="212"/>
      <c r="F69" s="212" t="s">
        <v>2458</v>
      </c>
      <c r="G69" s="217" t="s">
        <v>2468</v>
      </c>
      <c r="H69" s="213" t="s">
        <v>2031</v>
      </c>
      <c r="I69" s="227" t="s">
        <v>2471</v>
      </c>
      <c r="J69" s="256" t="s">
        <v>192</v>
      </c>
      <c r="K69" s="215" t="s">
        <v>33</v>
      </c>
      <c r="L69" s="226"/>
      <c r="M69" s="224"/>
      <c r="N69" s="217"/>
      <c r="O69" s="210"/>
    </row>
    <row r="70">
      <c r="A70" s="212">
        <f t="shared" si="1"/>
        <v>67</v>
      </c>
      <c r="B70" s="269" t="s">
        <v>42</v>
      </c>
      <c r="C70" s="220"/>
      <c r="D70" s="212" t="s">
        <v>2454</v>
      </c>
      <c r="E70" s="212"/>
      <c r="F70" s="212" t="s">
        <v>483</v>
      </c>
      <c r="G70" s="217" t="s">
        <v>2472</v>
      </c>
      <c r="H70" s="213" t="s">
        <v>2456</v>
      </c>
      <c r="I70" s="227" t="s">
        <v>2473</v>
      </c>
      <c r="J70" s="256" t="s">
        <v>192</v>
      </c>
      <c r="K70" s="215" t="s">
        <v>33</v>
      </c>
      <c r="L70" s="226"/>
      <c r="M70" s="224"/>
      <c r="N70" s="217"/>
      <c r="O70" s="210"/>
    </row>
    <row r="71">
      <c r="A71" s="212">
        <f t="shared" si="1"/>
        <v>68</v>
      </c>
      <c r="B71" s="269" t="s">
        <v>42</v>
      </c>
      <c r="C71" s="220"/>
      <c r="D71" s="212" t="s">
        <v>2474</v>
      </c>
      <c r="E71" s="212"/>
      <c r="F71" s="212" t="s">
        <v>1945</v>
      </c>
      <c r="G71" s="217" t="s">
        <v>2472</v>
      </c>
      <c r="H71" s="213" t="s">
        <v>2475</v>
      </c>
      <c r="I71" s="255" t="s">
        <v>2476</v>
      </c>
      <c r="J71" s="256" t="s">
        <v>192</v>
      </c>
      <c r="K71" s="215" t="s">
        <v>33</v>
      </c>
      <c r="L71" s="226"/>
      <c r="M71" s="224"/>
      <c r="N71" s="217"/>
      <c r="O71" s="210"/>
    </row>
    <row r="72">
      <c r="A72" s="212">
        <f t="shared" si="1"/>
        <v>69</v>
      </c>
      <c r="B72" s="269" t="s">
        <v>42</v>
      </c>
      <c r="C72" s="220"/>
      <c r="D72" s="212" t="s">
        <v>2474</v>
      </c>
      <c r="E72" s="212"/>
      <c r="F72" s="212" t="s">
        <v>1945</v>
      </c>
      <c r="G72" s="217" t="s">
        <v>2477</v>
      </c>
      <c r="H72" s="213" t="s">
        <v>1162</v>
      </c>
      <c r="I72" s="255" t="s">
        <v>2478</v>
      </c>
      <c r="J72" s="256" t="s">
        <v>192</v>
      </c>
      <c r="K72" s="215" t="s">
        <v>33</v>
      </c>
      <c r="L72" s="226"/>
      <c r="M72" s="224"/>
      <c r="N72" s="217"/>
      <c r="O72" s="210"/>
    </row>
    <row r="73">
      <c r="A73" s="212">
        <f t="shared" si="1"/>
        <v>70</v>
      </c>
      <c r="B73" s="269" t="s">
        <v>42</v>
      </c>
      <c r="C73" s="220"/>
      <c r="D73" s="212" t="s">
        <v>2474</v>
      </c>
      <c r="E73" s="212"/>
      <c r="F73" s="212" t="s">
        <v>1945</v>
      </c>
      <c r="G73" s="217" t="s">
        <v>2477</v>
      </c>
      <c r="H73" s="213" t="s">
        <v>2479</v>
      </c>
      <c r="I73" s="255" t="s">
        <v>2480</v>
      </c>
      <c r="J73" s="256" t="s">
        <v>192</v>
      </c>
      <c r="K73" s="215" t="s">
        <v>33</v>
      </c>
      <c r="L73" s="226"/>
      <c r="M73" s="224"/>
      <c r="N73" s="217"/>
      <c r="O73" s="210"/>
    </row>
    <row r="74">
      <c r="A74" s="212">
        <f t="shared" si="1"/>
        <v>71</v>
      </c>
      <c r="B74" s="269" t="s">
        <v>42</v>
      </c>
      <c r="C74" s="220"/>
      <c r="D74" s="212" t="s">
        <v>2454</v>
      </c>
      <c r="E74" s="212"/>
      <c r="F74" s="212" t="s">
        <v>1694</v>
      </c>
      <c r="G74" s="217" t="s">
        <v>2472</v>
      </c>
      <c r="H74" s="213" t="s">
        <v>2481</v>
      </c>
      <c r="I74" s="255" t="s">
        <v>2482</v>
      </c>
      <c r="J74" s="256" t="s">
        <v>192</v>
      </c>
      <c r="K74" s="215" t="s">
        <v>33</v>
      </c>
      <c r="L74" s="226"/>
      <c r="M74" s="224"/>
      <c r="N74" s="217"/>
      <c r="O74" s="210"/>
    </row>
    <row r="75">
      <c r="A75" s="212">
        <f t="shared" si="1"/>
        <v>72</v>
      </c>
      <c r="B75" s="269" t="s">
        <v>42</v>
      </c>
      <c r="C75" s="39"/>
      <c r="D75" s="212" t="s">
        <v>2454</v>
      </c>
      <c r="E75" s="212"/>
      <c r="F75" s="212" t="s">
        <v>1694</v>
      </c>
      <c r="G75" s="217" t="s">
        <v>2472</v>
      </c>
      <c r="H75" s="213" t="s">
        <v>2483</v>
      </c>
      <c r="I75" s="255" t="s">
        <v>2484</v>
      </c>
      <c r="J75" s="256" t="s">
        <v>192</v>
      </c>
      <c r="K75" s="215" t="s">
        <v>33</v>
      </c>
      <c r="L75" s="224"/>
      <c r="M75" s="224"/>
      <c r="N75" s="217"/>
      <c r="O75" s="210"/>
    </row>
    <row r="76">
      <c r="A76" s="212">
        <f t="shared" si="1"/>
        <v>72</v>
      </c>
      <c r="B76" s="228"/>
      <c r="C76" s="212"/>
      <c r="D76" s="212"/>
      <c r="E76" s="212"/>
      <c r="F76" s="212"/>
      <c r="G76" s="227"/>
      <c r="H76" s="227"/>
      <c r="I76" s="227"/>
      <c r="J76" s="267"/>
      <c r="K76" s="215"/>
      <c r="L76" s="224"/>
      <c r="M76" s="224"/>
      <c r="N76" s="217"/>
      <c r="O76" s="210"/>
    </row>
    <row r="77">
      <c r="A77" s="212">
        <f t="shared" si="1"/>
        <v>72</v>
      </c>
      <c r="B77" s="228"/>
      <c r="C77" s="212"/>
      <c r="D77" s="212"/>
      <c r="E77" s="212"/>
      <c r="F77" s="212"/>
      <c r="G77" s="227"/>
      <c r="H77" s="227"/>
      <c r="I77" s="227"/>
      <c r="J77" s="259"/>
      <c r="K77" s="215"/>
      <c r="L77" s="226"/>
      <c r="M77" s="224"/>
      <c r="N77" s="217"/>
      <c r="O77" s="210"/>
    </row>
    <row r="78">
      <c r="A78" s="212">
        <f t="shared" si="1"/>
        <v>72</v>
      </c>
      <c r="B78" s="228"/>
      <c r="C78" s="212"/>
      <c r="D78" s="212"/>
      <c r="E78" s="212"/>
      <c r="F78" s="212"/>
      <c r="G78" s="224"/>
      <c r="H78" s="227"/>
      <c r="I78" s="227"/>
      <c r="J78" s="259"/>
      <c r="K78" s="215"/>
      <c r="L78" s="224"/>
      <c r="M78" s="224"/>
      <c r="N78" s="217"/>
      <c r="O78" s="210"/>
    </row>
    <row r="79">
      <c r="A79" s="212">
        <f t="shared" si="1"/>
        <v>72</v>
      </c>
      <c r="B79" s="228"/>
      <c r="C79" s="212"/>
      <c r="D79" s="212"/>
      <c r="E79" s="212"/>
      <c r="F79" s="212"/>
      <c r="G79" s="224"/>
      <c r="H79" s="227"/>
      <c r="I79" s="226"/>
      <c r="J79" s="259"/>
      <c r="K79" s="215"/>
      <c r="L79" s="224"/>
      <c r="M79" s="224"/>
      <c r="N79" s="217"/>
      <c r="O79" s="210"/>
    </row>
    <row r="80">
      <c r="A80" s="212">
        <f t="shared" si="1"/>
        <v>72</v>
      </c>
      <c r="B80" s="228"/>
      <c r="C80" s="212"/>
      <c r="D80" s="212"/>
      <c r="E80" s="212"/>
      <c r="F80" s="212"/>
      <c r="G80" s="224"/>
      <c r="H80" s="227"/>
      <c r="I80" s="213"/>
      <c r="J80" s="259"/>
      <c r="K80" s="215"/>
      <c r="L80" s="224"/>
      <c r="M80" s="224"/>
      <c r="N80" s="217"/>
      <c r="O80" s="210"/>
    </row>
    <row r="81">
      <c r="A81" s="212">
        <f t="shared" si="1"/>
        <v>72</v>
      </c>
      <c r="B81" s="228"/>
      <c r="C81" s="212"/>
      <c r="D81" s="212"/>
      <c r="E81" s="212"/>
      <c r="F81" s="212"/>
      <c r="G81" s="224"/>
      <c r="H81" s="227"/>
      <c r="I81" s="213"/>
      <c r="J81" s="259"/>
      <c r="K81" s="215"/>
      <c r="L81" s="224"/>
      <c r="M81" s="224"/>
      <c r="N81" s="217"/>
      <c r="O81" s="210"/>
    </row>
    <row r="82">
      <c r="A82" s="212">
        <f t="shared" si="1"/>
        <v>72</v>
      </c>
      <c r="B82" s="228"/>
      <c r="C82" s="212"/>
      <c r="D82" s="212"/>
      <c r="E82" s="212"/>
      <c r="F82" s="212"/>
      <c r="G82" s="224"/>
      <c r="H82" s="227"/>
      <c r="I82" s="227"/>
      <c r="J82" s="259"/>
      <c r="K82" s="215"/>
      <c r="L82" s="226"/>
      <c r="M82" s="224"/>
      <c r="N82" s="217"/>
      <c r="O82" s="210"/>
    </row>
    <row r="83">
      <c r="A83" s="212">
        <f t="shared" si="1"/>
        <v>72</v>
      </c>
      <c r="B83" s="228"/>
      <c r="C83" s="212"/>
      <c r="D83" s="212"/>
      <c r="E83" s="212"/>
      <c r="F83" s="212"/>
      <c r="G83" s="227"/>
      <c r="H83" s="227"/>
      <c r="I83" s="227"/>
      <c r="J83" s="267"/>
      <c r="K83" s="215"/>
      <c r="L83" s="224"/>
      <c r="M83" s="224"/>
      <c r="N83" s="217"/>
      <c r="O83" s="210"/>
    </row>
    <row r="84">
      <c r="A84" s="212">
        <f t="shared" si="1"/>
        <v>72</v>
      </c>
      <c r="B84" s="228"/>
      <c r="C84" s="212"/>
      <c r="D84" s="212"/>
      <c r="E84" s="212"/>
      <c r="F84" s="212"/>
      <c r="G84" s="224"/>
      <c r="H84" s="227"/>
      <c r="I84" s="227"/>
      <c r="J84" s="259"/>
      <c r="K84" s="215"/>
      <c r="L84" s="226"/>
      <c r="M84" s="224"/>
      <c r="N84" s="217"/>
      <c r="O84" s="210"/>
    </row>
    <row r="85">
      <c r="A85" s="212">
        <f t="shared" si="1"/>
        <v>72</v>
      </c>
      <c r="B85" s="228"/>
      <c r="C85" s="212"/>
      <c r="D85" s="212"/>
      <c r="E85" s="212"/>
      <c r="F85" s="212"/>
      <c r="G85" s="227"/>
      <c r="H85" s="227"/>
      <c r="I85" s="227"/>
      <c r="J85" s="267"/>
      <c r="K85" s="215"/>
      <c r="L85" s="224"/>
      <c r="M85" s="224"/>
      <c r="N85" s="217"/>
      <c r="O85" s="210"/>
    </row>
    <row r="86">
      <c r="A86" s="212">
        <f t="shared" si="1"/>
        <v>72</v>
      </c>
      <c r="B86" s="228"/>
      <c r="C86" s="212"/>
      <c r="D86" s="212"/>
      <c r="E86" s="212"/>
      <c r="F86" s="212"/>
      <c r="G86" s="227"/>
      <c r="H86" s="227"/>
      <c r="I86" s="227"/>
      <c r="J86" s="259"/>
      <c r="K86" s="215"/>
      <c r="L86" s="226"/>
      <c r="M86" s="224"/>
      <c r="N86" s="217"/>
      <c r="O86" s="210"/>
    </row>
    <row r="87">
      <c r="A87" s="212">
        <f t="shared" si="1"/>
        <v>72</v>
      </c>
      <c r="B87" s="228"/>
      <c r="C87" s="212"/>
      <c r="D87" s="212"/>
      <c r="E87" s="212"/>
      <c r="F87" s="212"/>
      <c r="G87" s="227"/>
      <c r="H87" s="227"/>
      <c r="I87" s="227"/>
      <c r="J87" s="259"/>
      <c r="K87" s="215"/>
      <c r="L87" s="224"/>
      <c r="M87" s="224"/>
      <c r="N87" s="217"/>
      <c r="O87" s="210"/>
    </row>
    <row r="88">
      <c r="A88" s="212">
        <f t="shared" si="1"/>
        <v>72</v>
      </c>
      <c r="B88" s="228"/>
      <c r="C88" s="212"/>
      <c r="D88" s="212"/>
      <c r="E88" s="212"/>
      <c r="F88" s="212"/>
      <c r="G88" s="227"/>
      <c r="H88" s="227"/>
      <c r="I88" s="227"/>
      <c r="J88" s="259"/>
      <c r="K88" s="215"/>
      <c r="L88" s="224"/>
      <c r="M88" s="224"/>
      <c r="N88" s="217"/>
      <c r="O88" s="210"/>
    </row>
    <row r="89">
      <c r="A89" s="212">
        <f t="shared" si="1"/>
        <v>72</v>
      </c>
      <c r="B89" s="228"/>
      <c r="C89" s="212"/>
      <c r="D89" s="212"/>
      <c r="E89" s="212"/>
      <c r="F89" s="212"/>
      <c r="G89" s="227"/>
      <c r="H89" s="227"/>
      <c r="I89" s="227"/>
      <c r="J89" s="259"/>
      <c r="K89" s="215"/>
      <c r="L89" s="224"/>
      <c r="M89" s="224"/>
      <c r="N89" s="217"/>
      <c r="O89" s="210"/>
    </row>
    <row r="90">
      <c r="A90" s="212">
        <f t="shared" si="1"/>
        <v>72</v>
      </c>
      <c r="B90" s="228"/>
      <c r="C90" s="212"/>
      <c r="D90" s="212"/>
      <c r="E90" s="212"/>
      <c r="F90" s="212"/>
      <c r="G90" s="224"/>
      <c r="H90" s="227"/>
      <c r="I90" s="227"/>
      <c r="J90" s="259"/>
      <c r="K90" s="215"/>
      <c r="L90" s="226"/>
      <c r="M90" s="224"/>
      <c r="N90" s="217"/>
      <c r="O90" s="210"/>
    </row>
    <row r="91">
      <c r="A91" s="212">
        <f t="shared" si="1"/>
        <v>72</v>
      </c>
      <c r="B91" s="228"/>
      <c r="C91" s="212"/>
      <c r="D91" s="212"/>
      <c r="E91" s="212"/>
      <c r="F91" s="212"/>
      <c r="G91" s="224"/>
      <c r="H91" s="227"/>
      <c r="I91" s="227"/>
      <c r="J91" s="259"/>
      <c r="K91" s="215"/>
      <c r="L91" s="224"/>
      <c r="M91" s="224"/>
      <c r="N91" s="217"/>
      <c r="O91" s="210"/>
    </row>
    <row r="92">
      <c r="A92" s="212">
        <f t="shared" si="1"/>
        <v>72</v>
      </c>
      <c r="B92" s="228"/>
      <c r="C92" s="212"/>
      <c r="D92" s="212"/>
      <c r="E92" s="212"/>
      <c r="F92" s="212"/>
      <c r="G92" s="224"/>
      <c r="H92" s="227"/>
      <c r="I92" s="227"/>
      <c r="J92" s="259"/>
      <c r="K92" s="215"/>
      <c r="L92" s="224"/>
      <c r="M92" s="224"/>
      <c r="N92" s="217"/>
      <c r="O92" s="210"/>
    </row>
    <row r="93">
      <c r="A93" s="212">
        <f t="shared" si="1"/>
        <v>72</v>
      </c>
      <c r="B93" s="228"/>
      <c r="C93" s="212"/>
      <c r="D93" s="212"/>
      <c r="E93" s="212"/>
      <c r="F93" s="212"/>
      <c r="G93" s="224"/>
      <c r="H93" s="227"/>
      <c r="I93" s="227"/>
      <c r="J93" s="259"/>
      <c r="K93" s="215"/>
      <c r="L93" s="226"/>
      <c r="M93" s="227"/>
      <c r="N93" s="217"/>
      <c r="O93" s="210"/>
    </row>
    <row r="94">
      <c r="A94" s="212">
        <f t="shared" si="1"/>
        <v>72</v>
      </c>
      <c r="B94" s="228"/>
      <c r="C94" s="212"/>
      <c r="D94" s="212"/>
      <c r="E94" s="212"/>
      <c r="F94" s="212"/>
      <c r="G94" s="273"/>
      <c r="H94" s="274"/>
      <c r="I94" s="257"/>
      <c r="J94" s="275"/>
      <c r="K94" s="215"/>
      <c r="L94" s="224"/>
      <c r="M94" s="224"/>
      <c r="N94" s="217"/>
      <c r="O94" s="210"/>
    </row>
    <row r="95">
      <c r="A95" s="212">
        <f t="shared" si="1"/>
        <v>72</v>
      </c>
      <c r="B95" s="228"/>
      <c r="C95" s="212"/>
      <c r="D95" s="212"/>
      <c r="E95" s="212"/>
      <c r="F95" s="212"/>
      <c r="G95" s="224"/>
      <c r="H95" s="227"/>
      <c r="I95" s="213"/>
      <c r="J95" s="259"/>
      <c r="K95" s="215"/>
      <c r="L95" s="224"/>
      <c r="M95" s="224"/>
      <c r="N95" s="227"/>
      <c r="O95" s="210"/>
    </row>
    <row r="96">
      <c r="A96" s="212">
        <f t="shared" si="1"/>
        <v>72</v>
      </c>
      <c r="B96" s="228"/>
      <c r="C96" s="212"/>
      <c r="D96" s="212"/>
      <c r="E96" s="212"/>
      <c r="F96" s="212"/>
      <c r="G96" s="224"/>
      <c r="H96" s="227"/>
      <c r="I96" s="271"/>
      <c r="J96" s="259"/>
      <c r="K96" s="215"/>
      <c r="L96" s="224"/>
      <c r="M96" s="224"/>
      <c r="N96" s="227"/>
      <c r="O96" s="210"/>
    </row>
    <row r="97">
      <c r="A97" s="212">
        <f t="shared" si="1"/>
        <v>72</v>
      </c>
      <c r="B97" s="228"/>
      <c r="C97" s="212"/>
      <c r="D97" s="212"/>
      <c r="E97" s="212"/>
      <c r="F97" s="212"/>
      <c r="G97" s="224"/>
      <c r="H97" s="227"/>
      <c r="I97" s="227"/>
      <c r="J97" s="259"/>
      <c r="K97" s="215"/>
      <c r="L97" s="224"/>
      <c r="M97" s="224"/>
      <c r="N97" s="227"/>
      <c r="O97" s="210"/>
    </row>
    <row r="98">
      <c r="A98" s="212">
        <f t="shared" si="1"/>
        <v>72</v>
      </c>
      <c r="B98" s="228"/>
      <c r="C98" s="212"/>
      <c r="D98" s="212"/>
      <c r="E98" s="212"/>
      <c r="F98" s="212"/>
      <c r="G98" s="227"/>
      <c r="H98" s="227"/>
      <c r="I98" s="227"/>
      <c r="J98" s="259"/>
      <c r="K98" s="215"/>
      <c r="L98" s="224"/>
      <c r="M98" s="224"/>
      <c r="N98" s="227"/>
      <c r="O98" s="210"/>
    </row>
    <row r="99">
      <c r="A99" s="212">
        <f t="shared" si="1"/>
        <v>72</v>
      </c>
      <c r="B99" s="228"/>
      <c r="C99" s="212"/>
      <c r="D99" s="212"/>
      <c r="E99" s="212"/>
      <c r="F99" s="212"/>
      <c r="G99" s="227"/>
      <c r="H99" s="227"/>
      <c r="I99" s="227"/>
      <c r="J99" s="259"/>
      <c r="K99" s="215"/>
      <c r="L99" s="224"/>
      <c r="M99" s="224"/>
      <c r="N99" s="227"/>
      <c r="O99" s="210"/>
    </row>
    <row r="100">
      <c r="A100" s="212">
        <f t="shared" si="1"/>
        <v>72</v>
      </c>
      <c r="B100" s="228"/>
      <c r="C100" s="212"/>
      <c r="D100" s="212"/>
      <c r="E100" s="212"/>
      <c r="F100" s="212"/>
      <c r="G100" s="227"/>
      <c r="H100" s="227"/>
      <c r="I100" s="227"/>
      <c r="J100" s="259"/>
      <c r="K100" s="215"/>
      <c r="L100" s="224"/>
      <c r="M100" s="224"/>
      <c r="N100" s="227"/>
      <c r="O100" s="210"/>
    </row>
    <row r="101">
      <c r="A101" s="212">
        <f t="shared" si="1"/>
        <v>72</v>
      </c>
      <c r="B101" s="228"/>
      <c r="C101" s="212"/>
      <c r="D101" s="212"/>
      <c r="E101" s="212"/>
      <c r="F101" s="212"/>
      <c r="G101" s="224"/>
      <c r="H101" s="227"/>
      <c r="I101" s="227"/>
      <c r="J101" s="259"/>
      <c r="K101" s="215"/>
      <c r="L101" s="224"/>
      <c r="M101" s="224"/>
      <c r="N101" s="227"/>
      <c r="O101" s="210"/>
    </row>
    <row r="102">
      <c r="A102" s="212">
        <f t="shared" si="1"/>
        <v>72</v>
      </c>
      <c r="B102" s="228"/>
      <c r="C102" s="212"/>
      <c r="D102" s="212"/>
      <c r="E102" s="212"/>
      <c r="F102" s="212"/>
      <c r="G102" s="227"/>
      <c r="H102" s="227"/>
      <c r="I102" s="227"/>
      <c r="J102" s="259"/>
      <c r="K102" s="215"/>
      <c r="L102" s="224"/>
      <c r="M102" s="224"/>
      <c r="N102" s="227"/>
      <c r="O102" s="210"/>
    </row>
    <row r="103">
      <c r="A103" s="212">
        <f t="shared" si="1"/>
        <v>72</v>
      </c>
      <c r="B103" s="228"/>
      <c r="C103" s="212"/>
      <c r="D103" s="212"/>
      <c r="E103" s="212"/>
      <c r="F103" s="212"/>
      <c r="G103" s="227"/>
      <c r="H103" s="227"/>
      <c r="I103" s="227"/>
      <c r="J103" s="259"/>
      <c r="K103" s="215"/>
      <c r="L103" s="224"/>
      <c r="M103" s="224"/>
      <c r="N103" s="227"/>
      <c r="O103" s="210"/>
    </row>
    <row r="104">
      <c r="A104" s="212">
        <f t="shared" si="1"/>
        <v>72</v>
      </c>
      <c r="B104" s="228"/>
      <c r="C104" s="212"/>
      <c r="D104" s="212"/>
      <c r="E104" s="212"/>
      <c r="F104" s="212"/>
      <c r="G104" s="227"/>
      <c r="H104" s="227"/>
      <c r="I104" s="227"/>
      <c r="J104" s="259"/>
      <c r="K104" s="215"/>
      <c r="L104" s="224"/>
      <c r="M104" s="224"/>
      <c r="N104" s="227"/>
      <c r="O104" s="210"/>
    </row>
    <row r="105">
      <c r="A105" s="212">
        <f t="shared" si="1"/>
        <v>72</v>
      </c>
      <c r="B105" s="228"/>
      <c r="C105" s="212"/>
      <c r="D105" s="212"/>
      <c r="E105" s="212"/>
      <c r="F105" s="212"/>
      <c r="G105" s="224"/>
      <c r="H105" s="227"/>
      <c r="I105" s="227"/>
      <c r="J105" s="259"/>
      <c r="K105" s="215"/>
      <c r="L105" s="226"/>
      <c r="M105" s="224"/>
      <c r="N105" s="227"/>
      <c r="O105" s="210"/>
    </row>
    <row r="106">
      <c r="A106" s="212">
        <f t="shared" si="1"/>
        <v>72</v>
      </c>
      <c r="B106" s="228"/>
      <c r="C106" s="212"/>
      <c r="D106" s="212"/>
      <c r="E106" s="212"/>
      <c r="F106" s="212"/>
      <c r="G106" s="227"/>
      <c r="H106" s="213"/>
      <c r="I106" s="227"/>
      <c r="J106" s="259"/>
      <c r="K106" s="215"/>
      <c r="L106" s="226"/>
      <c r="M106" s="224"/>
      <c r="N106" s="227"/>
      <c r="O106" s="210"/>
    </row>
    <row r="107">
      <c r="A107" s="212">
        <f t="shared" si="1"/>
        <v>72</v>
      </c>
      <c r="B107" s="228"/>
      <c r="C107" s="212"/>
      <c r="D107" s="212"/>
      <c r="E107" s="212"/>
      <c r="F107" s="212"/>
      <c r="G107" s="227"/>
      <c r="H107" s="213"/>
      <c r="I107" s="227"/>
      <c r="J107" s="259"/>
      <c r="K107" s="215"/>
      <c r="L107" s="226"/>
      <c r="M107" s="224"/>
      <c r="N107" s="227"/>
      <c r="O107" s="210"/>
    </row>
    <row r="108">
      <c r="A108" s="212">
        <f t="shared" si="1"/>
        <v>72</v>
      </c>
      <c r="B108" s="228"/>
      <c r="C108" s="212"/>
      <c r="D108" s="212"/>
      <c r="E108" s="212"/>
      <c r="F108" s="212"/>
      <c r="G108" s="224"/>
      <c r="H108" s="227"/>
      <c r="I108" s="227"/>
      <c r="J108" s="259"/>
      <c r="K108" s="215"/>
      <c r="L108" s="224"/>
      <c r="M108" s="224"/>
      <c r="N108" s="227"/>
      <c r="O108" s="210"/>
    </row>
    <row r="109">
      <c r="A109" s="212">
        <f t="shared" si="1"/>
        <v>72</v>
      </c>
      <c r="B109" s="228"/>
      <c r="C109" s="212"/>
      <c r="D109" s="212"/>
      <c r="E109" s="212"/>
      <c r="F109" s="212"/>
      <c r="G109" s="224"/>
      <c r="H109" s="227"/>
      <c r="I109" s="227"/>
      <c r="J109" s="259"/>
      <c r="K109" s="215"/>
      <c r="L109" s="224"/>
      <c r="M109" s="224"/>
      <c r="N109" s="227"/>
      <c r="O109" s="210"/>
    </row>
    <row r="110">
      <c r="A110" s="212">
        <f t="shared" si="1"/>
        <v>72</v>
      </c>
      <c r="B110" s="228"/>
      <c r="C110" s="212"/>
      <c r="D110" s="212"/>
      <c r="E110" s="212"/>
      <c r="F110" s="212"/>
      <c r="G110" s="224"/>
      <c r="H110" s="227"/>
      <c r="I110" s="227"/>
      <c r="J110" s="259"/>
      <c r="K110" s="215"/>
      <c r="L110" s="224"/>
      <c r="M110" s="224"/>
      <c r="N110" s="227"/>
      <c r="O110" s="210"/>
    </row>
    <row r="111">
      <c r="A111" s="212">
        <f t="shared" si="1"/>
        <v>72</v>
      </c>
      <c r="B111" s="228"/>
      <c r="C111" s="212"/>
      <c r="D111" s="212"/>
      <c r="E111" s="212"/>
      <c r="F111" s="212"/>
      <c r="G111" s="224"/>
      <c r="H111" s="227"/>
      <c r="I111" s="227"/>
      <c r="J111" s="259"/>
      <c r="K111" s="215"/>
      <c r="L111" s="224"/>
      <c r="M111" s="224"/>
      <c r="N111" s="227"/>
      <c r="O111" s="210"/>
    </row>
    <row r="112">
      <c r="A112" s="212">
        <f t="shared" si="1"/>
        <v>72</v>
      </c>
      <c r="B112" s="228"/>
      <c r="C112" s="212"/>
      <c r="D112" s="212"/>
      <c r="E112" s="212"/>
      <c r="F112" s="212"/>
      <c r="G112" s="224"/>
      <c r="H112" s="227"/>
      <c r="I112" s="227"/>
      <c r="J112" s="259"/>
      <c r="K112" s="215"/>
      <c r="L112" s="224"/>
      <c r="M112" s="224"/>
      <c r="N112" s="227"/>
      <c r="O112" s="210"/>
    </row>
    <row r="113">
      <c r="A113" s="212">
        <f t="shared" si="1"/>
        <v>72</v>
      </c>
      <c r="B113" s="228"/>
      <c r="C113" s="212"/>
      <c r="D113" s="212"/>
      <c r="E113" s="212"/>
      <c r="F113" s="212"/>
      <c r="G113" s="227"/>
      <c r="H113" s="227"/>
      <c r="I113" s="227"/>
      <c r="J113" s="259"/>
      <c r="K113" s="215"/>
      <c r="L113" s="224"/>
      <c r="M113" s="224"/>
      <c r="N113" s="227"/>
      <c r="O113" s="210"/>
    </row>
    <row r="114">
      <c r="A114" s="212">
        <f t="shared" si="1"/>
        <v>72</v>
      </c>
      <c r="B114" s="228"/>
      <c r="C114" s="212"/>
      <c r="D114" s="212"/>
      <c r="E114" s="212"/>
      <c r="F114" s="212"/>
      <c r="G114" s="227"/>
      <c r="H114" s="227"/>
      <c r="I114" s="227"/>
      <c r="J114" s="259"/>
      <c r="K114" s="215"/>
      <c r="L114" s="224"/>
      <c r="M114" s="224"/>
      <c r="N114" s="227"/>
      <c r="O114" s="210"/>
    </row>
    <row r="115">
      <c r="A115" s="212">
        <f t="shared" si="1"/>
        <v>72</v>
      </c>
      <c r="B115" s="228"/>
      <c r="C115" s="212"/>
      <c r="D115" s="212"/>
      <c r="E115" s="212"/>
      <c r="F115" s="212"/>
      <c r="G115" s="227"/>
      <c r="H115" s="227"/>
      <c r="I115" s="227"/>
      <c r="J115" s="259"/>
      <c r="K115" s="215"/>
      <c r="L115" s="224"/>
      <c r="M115" s="224"/>
      <c r="N115" s="227"/>
      <c r="O115" s="210"/>
    </row>
    <row r="116">
      <c r="A116" s="212">
        <f t="shared" si="1"/>
        <v>72</v>
      </c>
      <c r="B116" s="228"/>
      <c r="C116" s="212"/>
      <c r="D116" s="212"/>
      <c r="E116" s="212"/>
      <c r="F116" s="212"/>
      <c r="G116" s="224"/>
      <c r="H116" s="227"/>
      <c r="I116" s="227"/>
      <c r="J116" s="259"/>
      <c r="K116" s="215"/>
      <c r="L116" s="224"/>
      <c r="M116" s="224"/>
      <c r="N116" s="227"/>
      <c r="O116" s="210"/>
    </row>
    <row r="117">
      <c r="A117" s="212">
        <f t="shared" si="1"/>
        <v>72</v>
      </c>
      <c r="B117" s="228"/>
      <c r="C117" s="212"/>
      <c r="D117" s="212"/>
      <c r="E117" s="212"/>
      <c r="F117" s="212"/>
      <c r="G117" s="227"/>
      <c r="H117" s="227"/>
      <c r="I117" s="227"/>
      <c r="J117" s="259"/>
      <c r="K117" s="215"/>
      <c r="L117" s="224"/>
      <c r="M117" s="224"/>
      <c r="N117" s="227"/>
      <c r="O117" s="210"/>
    </row>
    <row r="118">
      <c r="A118" s="212">
        <f t="shared" si="1"/>
        <v>72</v>
      </c>
      <c r="B118" s="228"/>
      <c r="C118" s="212"/>
      <c r="D118" s="212"/>
      <c r="E118" s="212"/>
      <c r="F118" s="212"/>
      <c r="G118" s="227"/>
      <c r="H118" s="227"/>
      <c r="I118" s="227"/>
      <c r="J118" s="259"/>
      <c r="K118" s="215"/>
      <c r="L118" s="224"/>
      <c r="M118" s="224"/>
      <c r="N118" s="227"/>
      <c r="O118" s="210"/>
    </row>
    <row r="119">
      <c r="A119" s="212">
        <f t="shared" si="1"/>
        <v>72</v>
      </c>
      <c r="B119" s="228"/>
      <c r="C119" s="212"/>
      <c r="D119" s="212"/>
      <c r="E119" s="212"/>
      <c r="F119" s="212"/>
      <c r="G119" s="273"/>
      <c r="H119" s="257"/>
      <c r="I119" s="257"/>
      <c r="J119" s="259"/>
      <c r="K119" s="215"/>
      <c r="L119" s="224"/>
      <c r="M119" s="224"/>
      <c r="N119" s="227"/>
      <c r="O119" s="210"/>
    </row>
    <row r="120">
      <c r="A120" s="212">
        <f t="shared" si="1"/>
        <v>72</v>
      </c>
      <c r="B120" s="228"/>
      <c r="C120" s="212"/>
      <c r="D120" s="212"/>
      <c r="E120" s="212"/>
      <c r="F120" s="212"/>
      <c r="G120" s="257"/>
      <c r="H120" s="257"/>
      <c r="I120" s="257"/>
      <c r="J120" s="259"/>
      <c r="K120" s="215"/>
      <c r="L120" s="224"/>
      <c r="M120" s="224"/>
      <c r="N120" s="227"/>
      <c r="O120" s="210"/>
    </row>
    <row r="121">
      <c r="A121" s="212">
        <f t="shared" si="1"/>
        <v>72</v>
      </c>
      <c r="B121" s="228"/>
      <c r="C121" s="212"/>
      <c r="D121" s="212"/>
      <c r="E121" s="212"/>
      <c r="F121" s="212"/>
      <c r="G121" s="257"/>
      <c r="H121" s="257"/>
      <c r="I121" s="274"/>
      <c r="J121" s="259"/>
      <c r="K121" s="215"/>
      <c r="L121" s="224"/>
      <c r="M121" s="224"/>
      <c r="N121" s="227"/>
      <c r="O121" s="210"/>
    </row>
    <row r="122">
      <c r="A122" s="212">
        <f t="shared" si="1"/>
        <v>72</v>
      </c>
      <c r="B122" s="228"/>
      <c r="C122" s="212"/>
      <c r="D122" s="212"/>
      <c r="E122" s="212"/>
      <c r="F122" s="212"/>
      <c r="G122" s="227"/>
      <c r="H122" s="227"/>
      <c r="I122" s="227"/>
      <c r="J122" s="259"/>
      <c r="K122" s="215"/>
      <c r="L122" s="224"/>
      <c r="M122" s="224"/>
      <c r="N122" s="227"/>
      <c r="O122" s="210"/>
    </row>
    <row r="123">
      <c r="A123" s="212">
        <f t="shared" si="1"/>
        <v>72</v>
      </c>
      <c r="B123" s="228"/>
      <c r="C123" s="212"/>
      <c r="D123" s="212"/>
      <c r="E123" s="212"/>
      <c r="F123" s="212"/>
      <c r="G123" s="224"/>
      <c r="H123" s="227"/>
      <c r="I123" s="227"/>
      <c r="J123" s="259"/>
      <c r="K123" s="215"/>
      <c r="L123" s="224"/>
      <c r="M123" s="224"/>
      <c r="N123" s="227"/>
      <c r="O123" s="210"/>
    </row>
    <row r="124">
      <c r="A124" s="212">
        <f t="shared" si="1"/>
        <v>72</v>
      </c>
      <c r="B124" s="228"/>
      <c r="C124" s="212"/>
      <c r="D124" s="212"/>
      <c r="E124" s="212"/>
      <c r="F124" s="212"/>
      <c r="G124" s="224"/>
      <c r="H124" s="227"/>
      <c r="I124" s="227"/>
      <c r="J124" s="259"/>
      <c r="K124" s="215"/>
      <c r="L124" s="224"/>
      <c r="M124" s="224"/>
      <c r="N124" s="227"/>
      <c r="O124" s="210"/>
    </row>
    <row r="125">
      <c r="A125" s="212">
        <f t="shared" si="1"/>
        <v>72</v>
      </c>
      <c r="B125" s="228"/>
      <c r="C125" s="212"/>
      <c r="D125" s="212"/>
      <c r="E125" s="212"/>
      <c r="F125" s="212"/>
      <c r="G125" s="224"/>
      <c r="H125" s="227"/>
      <c r="I125" s="271"/>
      <c r="J125" s="259"/>
      <c r="K125" s="215"/>
      <c r="L125" s="224"/>
      <c r="M125" s="224"/>
      <c r="N125" s="227"/>
      <c r="O125" s="210"/>
    </row>
    <row r="126">
      <c r="A126" s="212">
        <f t="shared" si="1"/>
        <v>72</v>
      </c>
      <c r="B126" s="228"/>
      <c r="C126" s="212"/>
      <c r="D126" s="212"/>
      <c r="E126" s="212"/>
      <c r="F126" s="212"/>
      <c r="G126" s="224"/>
      <c r="H126" s="227"/>
      <c r="I126" s="227"/>
      <c r="J126" s="259"/>
      <c r="K126" s="215"/>
      <c r="L126" s="224"/>
      <c r="M126" s="224"/>
      <c r="N126" s="227"/>
      <c r="O126" s="210"/>
    </row>
    <row r="127">
      <c r="A127" s="212">
        <f t="shared" si="1"/>
        <v>72</v>
      </c>
      <c r="B127" s="228"/>
      <c r="C127" s="212"/>
      <c r="D127" s="212"/>
      <c r="E127" s="212"/>
      <c r="F127" s="212"/>
      <c r="G127" s="227"/>
      <c r="H127" s="227"/>
      <c r="I127" s="227"/>
      <c r="J127" s="259"/>
      <c r="K127" s="215"/>
      <c r="L127" s="224"/>
      <c r="M127" s="224"/>
      <c r="N127" s="227"/>
      <c r="O127" s="210"/>
    </row>
    <row r="128">
      <c r="A128" s="212">
        <f t="shared" si="1"/>
        <v>72</v>
      </c>
      <c r="B128" s="228"/>
      <c r="C128" s="212"/>
      <c r="D128" s="212"/>
      <c r="E128" s="212"/>
      <c r="F128" s="212"/>
      <c r="G128" s="227"/>
      <c r="H128" s="227"/>
      <c r="I128" s="227"/>
      <c r="J128" s="259"/>
      <c r="K128" s="215"/>
      <c r="L128" s="224"/>
      <c r="M128" s="224"/>
      <c r="N128" s="227"/>
      <c r="O128" s="210"/>
    </row>
    <row r="129">
      <c r="A129" s="212">
        <f t="shared" si="1"/>
        <v>72</v>
      </c>
      <c r="B129" s="228"/>
      <c r="C129" s="212"/>
      <c r="D129" s="212"/>
      <c r="E129" s="212"/>
      <c r="F129" s="212"/>
      <c r="G129" s="227"/>
      <c r="H129" s="227"/>
      <c r="I129" s="227"/>
      <c r="J129" s="259"/>
      <c r="K129" s="215"/>
      <c r="L129" s="224"/>
      <c r="M129" s="224"/>
      <c r="N129" s="227"/>
      <c r="O129" s="210"/>
    </row>
    <row r="130">
      <c r="A130" s="212">
        <f t="shared" si="1"/>
        <v>72</v>
      </c>
      <c r="B130" s="228"/>
      <c r="C130" s="212"/>
      <c r="D130" s="212"/>
      <c r="E130" s="212"/>
      <c r="F130" s="212"/>
      <c r="G130" s="227"/>
      <c r="H130" s="227"/>
      <c r="I130" s="227"/>
      <c r="J130" s="259"/>
      <c r="K130" s="215"/>
      <c r="L130" s="224"/>
      <c r="M130" s="224"/>
      <c r="N130" s="227"/>
      <c r="O130" s="210"/>
    </row>
    <row r="131">
      <c r="A131" s="212">
        <f t="shared" si="1"/>
        <v>72</v>
      </c>
      <c r="B131" s="228"/>
      <c r="C131" s="212"/>
      <c r="D131" s="212"/>
      <c r="E131" s="212"/>
      <c r="F131" s="212"/>
      <c r="G131" s="227"/>
      <c r="H131" s="227"/>
      <c r="I131" s="227"/>
      <c r="J131" s="259"/>
      <c r="K131" s="215"/>
      <c r="L131" s="224"/>
      <c r="M131" s="224"/>
      <c r="N131" s="227"/>
      <c r="O131" s="210"/>
    </row>
    <row r="132">
      <c r="A132" s="212">
        <f t="shared" si="1"/>
        <v>72</v>
      </c>
      <c r="B132" s="228"/>
      <c r="C132" s="212"/>
      <c r="D132" s="212"/>
      <c r="E132" s="212"/>
      <c r="F132" s="212"/>
      <c r="G132" s="227"/>
      <c r="H132" s="227"/>
      <c r="I132" s="227"/>
      <c r="J132" s="259"/>
      <c r="K132" s="215"/>
      <c r="L132" s="224"/>
      <c r="M132" s="224"/>
      <c r="N132" s="227"/>
      <c r="O132" s="210"/>
    </row>
    <row r="133">
      <c r="A133" s="212">
        <f t="shared" si="1"/>
        <v>72</v>
      </c>
      <c r="B133" s="228"/>
      <c r="C133" s="212"/>
      <c r="D133" s="212"/>
      <c r="E133" s="212"/>
      <c r="F133" s="212"/>
      <c r="G133" s="227"/>
      <c r="H133" s="227"/>
      <c r="I133" s="227"/>
      <c r="J133" s="259"/>
      <c r="K133" s="215"/>
      <c r="L133" s="224"/>
      <c r="M133" s="227"/>
      <c r="N133" s="227"/>
      <c r="O133" s="210"/>
    </row>
    <row r="134">
      <c r="A134" s="212">
        <f t="shared" si="1"/>
        <v>72</v>
      </c>
      <c r="B134" s="228"/>
      <c r="C134" s="212"/>
      <c r="D134" s="212"/>
      <c r="E134" s="212"/>
      <c r="F134" s="212"/>
      <c r="G134" s="273"/>
      <c r="H134" s="257"/>
      <c r="I134" s="257"/>
      <c r="J134" s="259"/>
      <c r="K134" s="215"/>
      <c r="L134" s="224"/>
      <c r="M134" s="224"/>
      <c r="N134" s="227"/>
      <c r="O134" s="210"/>
    </row>
    <row r="135">
      <c r="A135" s="212">
        <f t="shared" si="1"/>
        <v>72</v>
      </c>
      <c r="B135" s="228"/>
      <c r="C135" s="212"/>
      <c r="D135" s="212"/>
      <c r="E135" s="212"/>
      <c r="F135" s="212"/>
      <c r="G135" s="257"/>
      <c r="H135" s="257"/>
      <c r="I135" s="257"/>
      <c r="J135" s="259"/>
      <c r="K135" s="215"/>
      <c r="L135" s="224"/>
      <c r="M135" s="224"/>
      <c r="N135" s="227"/>
      <c r="O135" s="210"/>
    </row>
    <row r="136">
      <c r="A136" s="212">
        <f t="shared" si="1"/>
        <v>72</v>
      </c>
      <c r="B136" s="228"/>
      <c r="C136" s="212"/>
      <c r="D136" s="212"/>
      <c r="E136" s="212"/>
      <c r="F136" s="212"/>
      <c r="G136" s="257"/>
      <c r="H136" s="257"/>
      <c r="I136" s="274"/>
      <c r="J136" s="259"/>
      <c r="K136" s="215"/>
      <c r="L136" s="226"/>
      <c r="M136" s="227"/>
      <c r="N136" s="227"/>
      <c r="O136" s="210"/>
    </row>
    <row r="137">
      <c r="A137" s="212">
        <f t="shared" si="1"/>
        <v>72</v>
      </c>
      <c r="B137" s="228"/>
      <c r="C137" s="212"/>
      <c r="D137" s="212"/>
      <c r="E137" s="212"/>
      <c r="F137" s="212"/>
      <c r="G137" s="227"/>
      <c r="H137" s="227"/>
      <c r="I137" s="227"/>
      <c r="J137" s="259"/>
      <c r="K137" s="215"/>
      <c r="L137" s="224"/>
      <c r="M137" s="224"/>
      <c r="N137" s="227"/>
      <c r="O137" s="210"/>
    </row>
    <row r="138">
      <c r="A138" s="212">
        <f t="shared" si="1"/>
        <v>72</v>
      </c>
      <c r="B138" s="228"/>
      <c r="C138" s="212"/>
      <c r="D138" s="212"/>
      <c r="E138" s="212"/>
      <c r="F138" s="212"/>
      <c r="G138" s="224"/>
      <c r="H138" s="227"/>
      <c r="I138" s="227"/>
      <c r="J138" s="259"/>
      <c r="K138" s="215"/>
      <c r="L138" s="224"/>
      <c r="M138" s="224"/>
      <c r="N138" s="227"/>
      <c r="O138" s="210"/>
    </row>
    <row r="139">
      <c r="A139" s="212">
        <f t="shared" si="1"/>
        <v>72</v>
      </c>
      <c r="B139" s="228"/>
      <c r="C139" s="212"/>
      <c r="D139" s="212"/>
      <c r="E139" s="212"/>
      <c r="F139" s="212"/>
      <c r="G139" s="227"/>
      <c r="H139" s="227"/>
      <c r="I139" s="227"/>
      <c r="J139" s="259"/>
      <c r="K139" s="215"/>
      <c r="L139" s="224"/>
      <c r="M139" s="224"/>
      <c r="N139" s="227"/>
      <c r="O139" s="210"/>
    </row>
    <row r="140">
      <c r="A140" s="212">
        <f t="shared" si="1"/>
        <v>72</v>
      </c>
      <c r="B140" s="228"/>
      <c r="C140" s="212"/>
      <c r="D140" s="212"/>
      <c r="E140" s="212"/>
      <c r="F140" s="212"/>
      <c r="G140" s="227"/>
      <c r="H140" s="227"/>
      <c r="I140" s="227"/>
      <c r="J140" s="259"/>
      <c r="K140" s="215"/>
      <c r="L140" s="224"/>
      <c r="M140" s="224"/>
      <c r="N140" s="227"/>
      <c r="O140" s="210"/>
    </row>
    <row r="141">
      <c r="A141" s="212">
        <f t="shared" si="1"/>
        <v>72</v>
      </c>
      <c r="B141" s="228"/>
      <c r="C141" s="212"/>
      <c r="D141" s="212"/>
      <c r="E141" s="212"/>
      <c r="F141" s="212"/>
      <c r="G141" s="227"/>
      <c r="H141" s="227"/>
      <c r="I141" s="227"/>
      <c r="J141" s="259"/>
      <c r="K141" s="215"/>
      <c r="L141" s="224"/>
      <c r="M141" s="224"/>
      <c r="N141" s="227"/>
      <c r="O141" s="210"/>
    </row>
    <row r="142">
      <c r="A142" s="212">
        <f t="shared" si="1"/>
        <v>72</v>
      </c>
      <c r="B142" s="228"/>
      <c r="C142" s="212"/>
      <c r="D142" s="212"/>
      <c r="E142" s="212"/>
      <c r="F142" s="212"/>
      <c r="G142" s="224"/>
      <c r="H142" s="227"/>
      <c r="I142" s="227"/>
      <c r="J142" s="259"/>
      <c r="K142" s="215"/>
      <c r="L142" s="224"/>
      <c r="M142" s="224"/>
      <c r="N142" s="227"/>
      <c r="O142" s="210"/>
    </row>
    <row r="143">
      <c r="A143" s="212">
        <f t="shared" si="1"/>
        <v>72</v>
      </c>
      <c r="B143" s="228"/>
      <c r="C143" s="212"/>
      <c r="D143" s="212"/>
      <c r="E143" s="212"/>
      <c r="F143" s="212"/>
      <c r="G143" s="224"/>
      <c r="H143" s="227"/>
      <c r="I143" s="227"/>
      <c r="J143" s="259"/>
      <c r="K143" s="215"/>
      <c r="L143" s="224"/>
      <c r="M143" s="224"/>
      <c r="N143" s="227"/>
      <c r="O143" s="210"/>
    </row>
    <row r="144">
      <c r="A144" s="212">
        <f t="shared" si="1"/>
        <v>72</v>
      </c>
      <c r="B144" s="228"/>
      <c r="C144" s="212"/>
      <c r="D144" s="212"/>
      <c r="E144" s="212"/>
      <c r="F144" s="212"/>
      <c r="G144" s="227"/>
      <c r="H144" s="227"/>
      <c r="I144" s="227"/>
      <c r="J144" s="259"/>
      <c r="K144" s="215"/>
      <c r="L144" s="224"/>
      <c r="M144" s="224"/>
      <c r="N144" s="227"/>
      <c r="O144" s="210"/>
    </row>
    <row r="145">
      <c r="A145" s="212">
        <f t="shared" si="1"/>
        <v>72</v>
      </c>
      <c r="B145" s="228"/>
      <c r="C145" s="212"/>
      <c r="D145" s="212"/>
      <c r="E145" s="212"/>
      <c r="F145" s="212"/>
      <c r="G145" s="227"/>
      <c r="H145" s="227"/>
      <c r="I145" s="227"/>
      <c r="J145" s="259"/>
      <c r="K145" s="215"/>
      <c r="L145" s="226"/>
      <c r="M145" s="224"/>
      <c r="N145" s="227"/>
      <c r="O145" s="210"/>
    </row>
    <row r="146">
      <c r="A146" s="212">
        <f t="shared" si="1"/>
        <v>72</v>
      </c>
      <c r="B146" s="228"/>
      <c r="C146" s="212"/>
      <c r="D146" s="212"/>
      <c r="E146" s="212"/>
      <c r="F146" s="212"/>
      <c r="G146" s="224"/>
      <c r="H146" s="227"/>
      <c r="I146" s="213"/>
      <c r="J146" s="259"/>
      <c r="K146" s="215"/>
      <c r="L146" s="224"/>
      <c r="M146" s="224"/>
      <c r="N146" s="227"/>
      <c r="O146" s="210"/>
    </row>
    <row r="147">
      <c r="A147" s="212">
        <f t="shared" si="1"/>
        <v>72</v>
      </c>
      <c r="B147" s="228"/>
      <c r="C147" s="212"/>
      <c r="D147" s="212"/>
      <c r="E147" s="212"/>
      <c r="F147" s="212"/>
      <c r="G147" s="224"/>
      <c r="H147" s="227"/>
      <c r="I147" s="213"/>
      <c r="J147" s="259"/>
      <c r="K147" s="215"/>
      <c r="L147" s="224"/>
      <c r="M147" s="224"/>
      <c r="N147" s="227"/>
      <c r="O147" s="210"/>
    </row>
    <row r="148">
      <c r="A148" s="212">
        <f t="shared" si="1"/>
        <v>72</v>
      </c>
      <c r="B148" s="228"/>
      <c r="C148" s="212"/>
      <c r="D148" s="212"/>
      <c r="E148" s="212"/>
      <c r="F148" s="212"/>
      <c r="G148" s="224"/>
      <c r="H148" s="227"/>
      <c r="I148" s="227"/>
      <c r="J148" s="259"/>
      <c r="K148" s="215"/>
      <c r="L148" s="224"/>
      <c r="M148" s="224"/>
      <c r="N148" s="227"/>
      <c r="O148" s="210"/>
    </row>
    <row r="149">
      <c r="A149" s="212">
        <f t="shared" si="1"/>
        <v>72</v>
      </c>
      <c r="B149" s="228"/>
      <c r="C149" s="212"/>
      <c r="D149" s="212"/>
      <c r="E149" s="212"/>
      <c r="F149" s="212"/>
      <c r="G149" s="227"/>
      <c r="H149" s="227"/>
      <c r="I149" s="227"/>
      <c r="J149" s="259"/>
      <c r="K149" s="215"/>
      <c r="L149" s="224"/>
      <c r="M149" s="224"/>
      <c r="N149" s="227"/>
      <c r="O149" s="210"/>
    </row>
    <row r="150">
      <c r="A150" s="212">
        <f t="shared" si="1"/>
        <v>72</v>
      </c>
      <c r="B150" s="228"/>
      <c r="C150" s="212"/>
      <c r="D150" s="212"/>
      <c r="E150" s="212"/>
      <c r="F150" s="212"/>
      <c r="G150" s="224"/>
      <c r="H150" s="227"/>
      <c r="I150" s="227"/>
      <c r="J150" s="259"/>
      <c r="K150" s="215"/>
      <c r="L150" s="224"/>
      <c r="M150" s="224"/>
      <c r="N150" s="227"/>
      <c r="O150" s="210"/>
    </row>
    <row r="151">
      <c r="A151" s="212">
        <f t="shared" si="1"/>
        <v>72</v>
      </c>
      <c r="B151" s="228"/>
      <c r="C151" s="212"/>
      <c r="D151" s="212"/>
      <c r="E151" s="212"/>
      <c r="F151" s="212"/>
      <c r="G151" s="227"/>
      <c r="H151" s="227"/>
      <c r="I151" s="227"/>
      <c r="J151" s="259"/>
      <c r="K151" s="215"/>
      <c r="L151" s="224"/>
      <c r="M151" s="224"/>
      <c r="N151" s="227"/>
      <c r="O151" s="210"/>
    </row>
    <row r="152">
      <c r="A152" s="212">
        <f t="shared" si="1"/>
        <v>72</v>
      </c>
      <c r="B152" s="228"/>
      <c r="C152" s="212"/>
      <c r="D152" s="212"/>
      <c r="E152" s="212"/>
      <c r="F152" s="212"/>
      <c r="G152" s="224"/>
      <c r="H152" s="227"/>
      <c r="I152" s="227"/>
      <c r="J152" s="259"/>
      <c r="K152" s="215"/>
      <c r="L152" s="226"/>
      <c r="M152" s="224"/>
      <c r="N152" s="227"/>
      <c r="O152" s="210"/>
    </row>
    <row r="153">
      <c r="A153" s="212">
        <f t="shared" si="1"/>
        <v>72</v>
      </c>
      <c r="B153" s="228"/>
      <c r="C153" s="212"/>
      <c r="D153" s="212"/>
      <c r="E153" s="212"/>
      <c r="F153" s="212"/>
      <c r="G153" s="227"/>
      <c r="H153" s="227"/>
      <c r="I153" s="227"/>
      <c r="J153" s="259"/>
      <c r="K153" s="215"/>
      <c r="L153" s="224"/>
      <c r="M153" s="224"/>
      <c r="N153" s="227"/>
      <c r="O153" s="210"/>
    </row>
    <row r="154">
      <c r="A154" s="212">
        <f t="shared" si="1"/>
        <v>72</v>
      </c>
      <c r="B154" s="228"/>
      <c r="C154" s="212"/>
      <c r="D154" s="212"/>
      <c r="E154" s="212"/>
      <c r="F154" s="212"/>
      <c r="G154" s="227"/>
      <c r="H154" s="227"/>
      <c r="I154" s="227"/>
      <c r="J154" s="259"/>
      <c r="K154" s="215"/>
      <c r="L154" s="224"/>
      <c r="M154" s="224"/>
      <c r="N154" s="227"/>
      <c r="O154" s="210"/>
    </row>
    <row r="155">
      <c r="A155" s="212">
        <f t="shared" si="1"/>
        <v>72</v>
      </c>
      <c r="B155" s="228"/>
      <c r="C155" s="212"/>
      <c r="D155" s="212"/>
      <c r="E155" s="212"/>
      <c r="F155" s="212"/>
      <c r="G155" s="227"/>
      <c r="H155" s="227"/>
      <c r="I155" s="227"/>
      <c r="J155" s="259"/>
      <c r="K155" s="215"/>
      <c r="L155" s="224"/>
      <c r="M155" s="224"/>
      <c r="N155" s="227"/>
      <c r="O155" s="210"/>
    </row>
    <row r="156">
      <c r="A156" s="212">
        <f t="shared" si="1"/>
        <v>72</v>
      </c>
      <c r="B156" s="228"/>
      <c r="C156" s="212"/>
      <c r="D156" s="212"/>
      <c r="E156" s="212"/>
      <c r="F156" s="212"/>
      <c r="G156" s="227"/>
      <c r="H156" s="227"/>
      <c r="I156" s="227"/>
      <c r="J156" s="259"/>
      <c r="K156" s="215"/>
      <c r="L156" s="224"/>
      <c r="M156" s="224"/>
      <c r="N156" s="227"/>
      <c r="O156" s="210"/>
    </row>
    <row r="157">
      <c r="A157" s="212">
        <f t="shared" si="1"/>
        <v>72</v>
      </c>
      <c r="B157" s="228"/>
      <c r="C157" s="212"/>
      <c r="D157" s="212"/>
      <c r="E157" s="212"/>
      <c r="F157" s="212"/>
      <c r="G157" s="224"/>
      <c r="H157" s="227"/>
      <c r="I157" s="227"/>
      <c r="J157" s="259"/>
      <c r="K157" s="215"/>
      <c r="L157" s="276"/>
      <c r="M157" s="224"/>
      <c r="N157" s="227"/>
      <c r="O157" s="210"/>
    </row>
    <row r="158">
      <c r="A158" s="212">
        <f t="shared" si="1"/>
        <v>72</v>
      </c>
      <c r="B158" s="228"/>
      <c r="C158" s="212"/>
      <c r="D158" s="212"/>
      <c r="E158" s="212"/>
      <c r="F158" s="212"/>
      <c r="G158" s="227"/>
      <c r="H158" s="227"/>
      <c r="I158" s="227"/>
      <c r="J158" s="259"/>
      <c r="K158" s="215"/>
      <c r="L158" s="224"/>
      <c r="M158" s="224"/>
      <c r="N158" s="227"/>
      <c r="O158" s="210"/>
    </row>
    <row r="159">
      <c r="A159" s="212">
        <f t="shared" si="1"/>
        <v>72</v>
      </c>
      <c r="B159" s="228"/>
      <c r="C159" s="212"/>
      <c r="D159" s="212"/>
      <c r="E159" s="212"/>
      <c r="F159" s="212"/>
      <c r="G159" s="254"/>
      <c r="H159" s="227"/>
      <c r="I159" s="227"/>
      <c r="J159" s="259"/>
      <c r="K159" s="215"/>
      <c r="L159" s="224"/>
      <c r="M159" s="224"/>
      <c r="N159" s="227"/>
      <c r="O159" s="210"/>
    </row>
    <row r="160">
      <c r="A160" s="212">
        <f t="shared" si="1"/>
        <v>72</v>
      </c>
      <c r="B160" s="228"/>
      <c r="C160" s="212"/>
      <c r="D160" s="212"/>
      <c r="E160" s="212"/>
      <c r="F160" s="212"/>
      <c r="G160" s="220"/>
      <c r="H160" s="227"/>
      <c r="I160" s="227"/>
      <c r="J160" s="259"/>
      <c r="K160" s="215"/>
      <c r="L160" s="224"/>
      <c r="M160" s="224"/>
      <c r="N160" s="227"/>
      <c r="O160" s="210"/>
    </row>
    <row r="161">
      <c r="A161" s="212">
        <f t="shared" si="1"/>
        <v>72</v>
      </c>
      <c r="B161" s="228"/>
      <c r="C161" s="212"/>
      <c r="D161" s="212"/>
      <c r="E161" s="212"/>
      <c r="F161" s="212"/>
      <c r="G161" s="39"/>
      <c r="H161" s="227"/>
      <c r="I161" s="227"/>
      <c r="J161" s="259"/>
      <c r="K161" s="215"/>
      <c r="L161" s="224"/>
      <c r="M161" s="224"/>
      <c r="N161" s="227"/>
      <c r="O161" s="210"/>
    </row>
    <row r="162">
      <c r="A162" s="212">
        <f t="shared" si="1"/>
        <v>72</v>
      </c>
      <c r="B162" s="228"/>
      <c r="C162" s="212"/>
      <c r="D162" s="212"/>
      <c r="E162" s="212"/>
      <c r="F162" s="212"/>
      <c r="G162" s="224"/>
      <c r="H162" s="227"/>
      <c r="I162" s="227"/>
      <c r="J162" s="259"/>
      <c r="K162" s="215"/>
      <c r="L162" s="224"/>
      <c r="M162" s="224"/>
      <c r="N162" s="227"/>
      <c r="O162" s="210"/>
    </row>
    <row r="163">
      <c r="A163" s="212">
        <f t="shared" si="1"/>
        <v>72</v>
      </c>
      <c r="B163" s="228"/>
      <c r="C163" s="212"/>
      <c r="D163" s="212"/>
      <c r="E163" s="212"/>
      <c r="F163" s="212"/>
      <c r="G163" s="224"/>
      <c r="H163" s="227"/>
      <c r="I163" s="227"/>
      <c r="J163" s="259"/>
      <c r="K163" s="215"/>
      <c r="L163" s="224"/>
      <c r="M163" s="224"/>
      <c r="N163" s="227"/>
      <c r="O163" s="210"/>
    </row>
    <row r="164">
      <c r="A164" s="212">
        <f t="shared" si="1"/>
        <v>72</v>
      </c>
      <c r="B164" s="228"/>
      <c r="C164" s="212"/>
      <c r="D164" s="212"/>
      <c r="E164" s="212"/>
      <c r="F164" s="212"/>
      <c r="G164" s="224"/>
      <c r="H164" s="227"/>
      <c r="I164" s="227"/>
      <c r="J164" s="259"/>
      <c r="K164" s="215"/>
      <c r="L164" s="224"/>
      <c r="M164" s="224"/>
      <c r="N164" s="227"/>
      <c r="O164" s="210"/>
    </row>
    <row r="165">
      <c r="A165" s="212">
        <f t="shared" si="1"/>
        <v>72</v>
      </c>
      <c r="B165" s="228"/>
      <c r="C165" s="212"/>
      <c r="D165" s="212"/>
      <c r="E165" s="212"/>
      <c r="F165" s="212"/>
      <c r="G165" s="224"/>
      <c r="H165" s="227"/>
      <c r="I165" s="227"/>
      <c r="J165" s="259"/>
      <c r="K165" s="215"/>
      <c r="L165" s="224"/>
      <c r="M165" s="224"/>
      <c r="N165" s="227"/>
      <c r="O165" s="210"/>
    </row>
    <row r="166">
      <c r="A166" s="212">
        <f t="shared" si="1"/>
        <v>72</v>
      </c>
      <c r="B166" s="228"/>
      <c r="C166" s="212"/>
      <c r="D166" s="212"/>
      <c r="E166" s="212"/>
      <c r="F166" s="212"/>
      <c r="G166" s="227"/>
      <c r="H166" s="227"/>
      <c r="I166" s="227"/>
      <c r="J166" s="259"/>
      <c r="K166" s="215"/>
      <c r="L166" s="224"/>
      <c r="M166" s="224"/>
      <c r="N166" s="227"/>
      <c r="O166" s="210"/>
    </row>
    <row r="167">
      <c r="A167" s="212">
        <f t="shared" si="1"/>
        <v>72</v>
      </c>
      <c r="B167" s="228"/>
      <c r="C167" s="212"/>
      <c r="D167" s="212"/>
      <c r="E167" s="212"/>
      <c r="F167" s="212"/>
      <c r="G167" s="227"/>
      <c r="H167" s="227"/>
      <c r="I167" s="227"/>
      <c r="J167" s="259"/>
      <c r="K167" s="215"/>
      <c r="L167" s="226"/>
      <c r="M167" s="224"/>
      <c r="N167" s="227"/>
      <c r="O167" s="210"/>
    </row>
    <row r="168">
      <c r="A168" s="212">
        <f t="shared" si="1"/>
        <v>72</v>
      </c>
      <c r="B168" s="228"/>
      <c r="C168" s="212"/>
      <c r="D168" s="212"/>
      <c r="E168" s="212"/>
      <c r="F168" s="212"/>
      <c r="G168" s="227"/>
      <c r="H168" s="227"/>
      <c r="I168" s="227"/>
      <c r="J168" s="259"/>
      <c r="K168" s="215"/>
      <c r="L168" s="224"/>
      <c r="M168" s="224"/>
      <c r="N168" s="227"/>
      <c r="O168" s="210"/>
    </row>
    <row r="169">
      <c r="A169" s="212">
        <f t="shared" si="1"/>
        <v>72</v>
      </c>
      <c r="B169" s="228"/>
      <c r="C169" s="212"/>
      <c r="D169" s="212"/>
      <c r="E169" s="212"/>
      <c r="F169" s="212"/>
      <c r="G169" s="224"/>
      <c r="H169" s="227"/>
      <c r="I169" s="271"/>
      <c r="J169" s="259"/>
      <c r="K169" s="215"/>
      <c r="L169" s="226"/>
      <c r="M169" s="224"/>
      <c r="N169" s="227"/>
      <c r="O169" s="210"/>
    </row>
    <row r="170">
      <c r="A170" s="212">
        <f t="shared" si="1"/>
        <v>72</v>
      </c>
      <c r="B170" s="228"/>
      <c r="C170" s="212"/>
      <c r="D170" s="212"/>
      <c r="E170" s="212"/>
      <c r="F170" s="212"/>
      <c r="G170" s="224"/>
      <c r="H170" s="227"/>
      <c r="I170" s="227"/>
      <c r="J170" s="259"/>
      <c r="K170" s="215"/>
      <c r="L170" s="224"/>
      <c r="M170" s="224"/>
      <c r="N170" s="227"/>
      <c r="O170" s="210"/>
    </row>
    <row r="171">
      <c r="A171" s="212">
        <f t="shared" si="1"/>
        <v>72</v>
      </c>
      <c r="B171" s="228"/>
      <c r="C171" s="212"/>
      <c r="D171" s="212"/>
      <c r="E171" s="212"/>
      <c r="F171" s="212"/>
      <c r="G171" s="273"/>
      <c r="H171" s="274"/>
      <c r="I171" s="257"/>
      <c r="J171" s="259"/>
      <c r="K171" s="215"/>
      <c r="L171" s="224"/>
      <c r="M171" s="224"/>
      <c r="N171" s="227"/>
      <c r="O171" s="210"/>
    </row>
    <row r="172">
      <c r="A172" s="224"/>
      <c r="B172" s="228"/>
      <c r="C172" s="212"/>
      <c r="D172" s="212"/>
      <c r="E172" s="212"/>
      <c r="F172" s="212"/>
      <c r="G172" s="224"/>
      <c r="H172" s="224"/>
      <c r="I172" s="224"/>
      <c r="J172" s="228"/>
      <c r="K172" s="224"/>
      <c r="L172" s="224"/>
      <c r="M172" s="224"/>
      <c r="N172" s="224"/>
      <c r="O172" s="210"/>
    </row>
    <row r="173">
      <c r="A173" s="224"/>
      <c r="B173" s="228"/>
      <c r="C173" s="228"/>
      <c r="D173" s="228"/>
      <c r="E173" s="228"/>
      <c r="F173" s="228"/>
      <c r="G173" s="224"/>
      <c r="H173" s="224"/>
      <c r="I173" s="224"/>
      <c r="J173" s="228"/>
      <c r="K173" s="224"/>
      <c r="L173" s="224"/>
      <c r="M173" s="224"/>
      <c r="N173" s="224"/>
      <c r="O173" s="210"/>
    </row>
  </sheetData>
  <mergeCells count="18">
    <mergeCell ref="K1:K2"/>
    <mergeCell ref="L1:L2"/>
    <mergeCell ref="M1:M2"/>
    <mergeCell ref="N1:N2"/>
    <mergeCell ref="C3:C16"/>
    <mergeCell ref="C17:C32"/>
    <mergeCell ref="C33:C43"/>
    <mergeCell ref="C44:C50"/>
    <mergeCell ref="C51:C59"/>
    <mergeCell ref="C60:C75"/>
    <mergeCell ref="G159:G161"/>
    <mergeCell ref="A1:A2"/>
    <mergeCell ref="C1:E1"/>
    <mergeCell ref="F1:F2"/>
    <mergeCell ref="G1:G2"/>
    <mergeCell ref="H1:H2"/>
    <mergeCell ref="I1:I2"/>
    <mergeCell ref="J1:J2"/>
  </mergeCells>
  <conditionalFormatting sqref="K3:K171">
    <cfRule type="cellIs" dxfId="4" priority="1" operator="equal">
      <formula>"PASS"</formula>
    </cfRule>
  </conditionalFormatting>
  <conditionalFormatting sqref="K3:K171">
    <cfRule type="cellIs" dxfId="5" priority="2" operator="equal">
      <formula>"FAIL"</formula>
    </cfRule>
  </conditionalFormatting>
  <conditionalFormatting sqref="K3:K171">
    <cfRule type="cellIs" dxfId="6" priority="3" operator="equal">
      <formula>"N/A"</formula>
    </cfRule>
  </conditionalFormatting>
  <conditionalFormatting sqref="K3:K171">
    <cfRule type="cellIs" dxfId="7" priority="4" operator="equal">
      <formula>"N/T"</formula>
    </cfRule>
  </conditionalFormatting>
  <dataValidations>
    <dataValidation type="list" allowBlank="1" sqref="K3:K171">
      <formula1>"PASS,FAIL,N/A,N/T"</formula1>
    </dataValidation>
  </dataValidation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L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L26"/>
    <hyperlink r:id="rId27" ref="J27"/>
    <hyperlink r:id="rId28" ref="J28"/>
    <hyperlink r:id="rId29" ref="J29"/>
    <hyperlink r:id="rId30" ref="J30"/>
    <hyperlink r:id="rId31" ref="J31"/>
    <hyperlink r:id="rId32" ref="J32"/>
    <hyperlink r:id="rId33" ref="J33"/>
    <hyperlink r:id="rId34" ref="J34"/>
    <hyperlink r:id="rId35" ref="J35"/>
    <hyperlink r:id="rId36" ref="L35"/>
    <hyperlink r:id="rId37" ref="J36"/>
    <hyperlink r:id="rId38" ref="J37"/>
    <hyperlink r:id="rId39" ref="L37"/>
    <hyperlink r:id="rId40" ref="J38"/>
    <hyperlink r:id="rId41" ref="L38"/>
    <hyperlink r:id="rId42" ref="J39"/>
    <hyperlink r:id="rId43" ref="L39"/>
    <hyperlink r:id="rId44" ref="J40"/>
    <hyperlink r:id="rId45" ref="L40"/>
    <hyperlink r:id="rId46" ref="J41"/>
    <hyperlink r:id="rId47" ref="J42"/>
    <hyperlink r:id="rId48" ref="J43"/>
    <hyperlink r:id="rId49" ref="J44"/>
    <hyperlink r:id="rId50" ref="J45"/>
    <hyperlink r:id="rId51" ref="J46"/>
    <hyperlink r:id="rId52" ref="J47"/>
    <hyperlink r:id="rId53" ref="J48"/>
    <hyperlink r:id="rId54" ref="J49"/>
    <hyperlink r:id="rId55" ref="J50"/>
    <hyperlink r:id="rId56" ref="J51"/>
    <hyperlink r:id="rId57" ref="J52"/>
    <hyperlink r:id="rId58" ref="J53"/>
    <hyperlink r:id="rId59" ref="J54"/>
    <hyperlink r:id="rId60" ref="L54"/>
    <hyperlink r:id="rId61" ref="J55"/>
    <hyperlink r:id="rId62" ref="J56"/>
    <hyperlink r:id="rId63" ref="J57"/>
    <hyperlink r:id="rId64" ref="J58"/>
    <hyperlink r:id="rId65" ref="J59"/>
    <hyperlink r:id="rId66" ref="J60"/>
    <hyperlink r:id="rId67" ref="J61"/>
    <hyperlink r:id="rId68" ref="J62"/>
    <hyperlink r:id="rId69" ref="J63"/>
    <hyperlink r:id="rId70" ref="I64"/>
    <hyperlink r:id="rId71" ref="J64"/>
    <hyperlink r:id="rId72" ref="J65"/>
    <hyperlink r:id="rId73" ref="J66"/>
    <hyperlink r:id="rId74" ref="J67"/>
    <hyperlink r:id="rId75" ref="J68"/>
    <hyperlink r:id="rId76" ref="J69"/>
    <hyperlink r:id="rId77" ref="J70"/>
    <hyperlink r:id="rId78" ref="J71"/>
    <hyperlink r:id="rId79" ref="J72"/>
    <hyperlink r:id="rId80" ref="J73"/>
    <hyperlink r:id="rId81" ref="J74"/>
    <hyperlink r:id="rId82" ref="J75"/>
  </hyperlinks>
  <drawing r:id="rId8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152" t="s">
        <v>75</v>
      </c>
      <c r="D2" s="153" t="s">
        <v>76</v>
      </c>
      <c r="E2" s="153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25" si="1">COUNTA($I$3:$I3)</f>
        <v>1</v>
      </c>
      <c r="B3" s="225" t="s">
        <v>43</v>
      </c>
      <c r="C3" s="225" t="s">
        <v>195</v>
      </c>
      <c r="D3" s="265" t="s">
        <v>92</v>
      </c>
      <c r="E3" s="265" t="s">
        <v>92</v>
      </c>
      <c r="F3" s="212" t="s">
        <v>613</v>
      </c>
      <c r="G3" s="213"/>
      <c r="H3" s="213" t="s">
        <v>2485</v>
      </c>
      <c r="I3" s="213" t="s">
        <v>2486</v>
      </c>
      <c r="J3" s="214" t="s">
        <v>195</v>
      </c>
      <c r="K3" s="215"/>
      <c r="L3" s="216"/>
      <c r="M3" s="216"/>
      <c r="N3" s="217"/>
      <c r="O3" s="210"/>
    </row>
    <row r="4">
      <c r="A4" s="212">
        <f t="shared" si="1"/>
        <v>2</v>
      </c>
      <c r="B4" s="220"/>
      <c r="C4" s="220"/>
      <c r="D4" s="212" t="s">
        <v>1942</v>
      </c>
      <c r="E4" s="265" t="s">
        <v>92</v>
      </c>
      <c r="F4" s="212" t="s">
        <v>613</v>
      </c>
      <c r="G4" s="217"/>
      <c r="H4" s="213" t="s">
        <v>1379</v>
      </c>
      <c r="I4" s="213" t="s">
        <v>2487</v>
      </c>
      <c r="J4" s="214" t="s">
        <v>195</v>
      </c>
      <c r="K4" s="215"/>
      <c r="L4" s="216"/>
      <c r="M4" s="216"/>
      <c r="N4" s="217"/>
      <c r="O4" s="210"/>
    </row>
    <row r="5">
      <c r="A5" s="212">
        <f t="shared" si="1"/>
        <v>3</v>
      </c>
      <c r="B5" s="220"/>
      <c r="C5" s="220"/>
      <c r="D5" s="225" t="s">
        <v>2488</v>
      </c>
      <c r="E5" s="225" t="s">
        <v>2489</v>
      </c>
      <c r="F5" s="212" t="s">
        <v>613</v>
      </c>
      <c r="G5" s="217"/>
      <c r="H5" s="213" t="s">
        <v>1379</v>
      </c>
      <c r="I5" s="213" t="s">
        <v>2490</v>
      </c>
      <c r="J5" s="214" t="s">
        <v>195</v>
      </c>
      <c r="K5" s="215"/>
      <c r="L5" s="216"/>
      <c r="M5" s="216"/>
      <c r="N5" s="217"/>
      <c r="O5" s="210"/>
    </row>
    <row r="6">
      <c r="A6" s="212">
        <f t="shared" si="1"/>
        <v>4</v>
      </c>
      <c r="B6" s="220"/>
      <c r="C6" s="220"/>
      <c r="D6" s="39"/>
      <c r="E6" s="39"/>
      <c r="F6" s="212" t="s">
        <v>613</v>
      </c>
      <c r="G6" s="217"/>
      <c r="H6" s="213" t="s">
        <v>2491</v>
      </c>
      <c r="I6" s="213" t="s">
        <v>2492</v>
      </c>
      <c r="J6" s="214" t="s">
        <v>195</v>
      </c>
      <c r="K6" s="215"/>
      <c r="L6" s="216"/>
      <c r="M6" s="216"/>
      <c r="N6" s="217"/>
      <c r="O6" s="210"/>
    </row>
    <row r="7">
      <c r="A7" s="212">
        <f t="shared" si="1"/>
        <v>5</v>
      </c>
      <c r="B7" s="220"/>
      <c r="C7" s="220"/>
      <c r="D7" s="225" t="s">
        <v>2493</v>
      </c>
      <c r="E7" s="225" t="s">
        <v>2348</v>
      </c>
      <c r="F7" s="212" t="s">
        <v>613</v>
      </c>
      <c r="G7" s="217" t="s">
        <v>2178</v>
      </c>
      <c r="H7" s="213" t="s">
        <v>2491</v>
      </c>
      <c r="I7" s="213" t="s">
        <v>2494</v>
      </c>
      <c r="J7" s="214" t="s">
        <v>195</v>
      </c>
      <c r="K7" s="215"/>
      <c r="L7" s="216"/>
      <c r="M7" s="216"/>
      <c r="N7" s="217"/>
      <c r="O7" s="210"/>
    </row>
    <row r="8">
      <c r="A8" s="212">
        <f t="shared" si="1"/>
        <v>6</v>
      </c>
      <c r="B8" s="220"/>
      <c r="C8" s="220"/>
      <c r="D8" s="220"/>
      <c r="E8" s="220"/>
      <c r="F8" s="277" t="s">
        <v>2495</v>
      </c>
      <c r="G8" s="268" t="s">
        <v>2496</v>
      </c>
      <c r="H8" s="278" t="s">
        <v>2497</v>
      </c>
      <c r="I8" s="268" t="s">
        <v>2498</v>
      </c>
      <c r="J8" s="279" t="s">
        <v>195</v>
      </c>
      <c r="K8" s="280"/>
      <c r="L8" s="281"/>
      <c r="M8" s="282"/>
      <c r="N8" s="268"/>
      <c r="O8" s="210"/>
    </row>
    <row r="9">
      <c r="A9" s="212">
        <f t="shared" si="1"/>
        <v>7</v>
      </c>
      <c r="B9" s="220"/>
      <c r="C9" s="220"/>
      <c r="D9" s="220"/>
      <c r="E9" s="220"/>
      <c r="F9" s="212" t="s">
        <v>2495</v>
      </c>
      <c r="G9" s="217" t="s">
        <v>2178</v>
      </c>
      <c r="H9" s="213" t="s">
        <v>2497</v>
      </c>
      <c r="I9" s="217" t="s">
        <v>2499</v>
      </c>
      <c r="J9" s="214" t="s">
        <v>195</v>
      </c>
      <c r="K9" s="215"/>
      <c r="L9" s="226"/>
      <c r="M9" s="224"/>
      <c r="N9" s="217"/>
      <c r="O9" s="210"/>
    </row>
    <row r="10">
      <c r="A10" s="212">
        <f t="shared" si="1"/>
        <v>8</v>
      </c>
      <c r="B10" s="220"/>
      <c r="C10" s="220"/>
      <c r="D10" s="220"/>
      <c r="E10" s="220"/>
      <c r="F10" s="212" t="s">
        <v>2500</v>
      </c>
      <c r="G10" s="217"/>
      <c r="H10" s="213" t="s">
        <v>2501</v>
      </c>
      <c r="I10" s="217" t="s">
        <v>2502</v>
      </c>
      <c r="J10" s="214" t="s">
        <v>195</v>
      </c>
      <c r="K10" s="215"/>
      <c r="L10" s="226"/>
      <c r="M10" s="224"/>
      <c r="N10" s="217"/>
      <c r="O10" s="210"/>
    </row>
    <row r="11">
      <c r="A11" s="212">
        <f t="shared" si="1"/>
        <v>9</v>
      </c>
      <c r="B11" s="220"/>
      <c r="C11" s="220"/>
      <c r="D11" s="220"/>
      <c r="E11" s="220"/>
      <c r="F11" s="212" t="s">
        <v>2503</v>
      </c>
      <c r="G11" s="217"/>
      <c r="H11" s="213" t="s">
        <v>2504</v>
      </c>
      <c r="I11" s="217" t="s">
        <v>2505</v>
      </c>
      <c r="J11" s="214" t="s">
        <v>195</v>
      </c>
      <c r="K11" s="215"/>
      <c r="L11" s="226"/>
      <c r="M11" s="224"/>
      <c r="N11" s="217"/>
      <c r="O11" s="210"/>
    </row>
    <row r="12">
      <c r="A12" s="212">
        <f t="shared" si="1"/>
        <v>10</v>
      </c>
      <c r="B12" s="220"/>
      <c r="C12" s="220"/>
      <c r="D12" s="220"/>
      <c r="E12" s="220"/>
      <c r="F12" s="212" t="s">
        <v>2503</v>
      </c>
      <c r="G12" s="227"/>
      <c r="H12" s="213" t="s">
        <v>2506</v>
      </c>
      <c r="I12" s="217" t="s">
        <v>2505</v>
      </c>
      <c r="J12" s="214" t="s">
        <v>195</v>
      </c>
      <c r="K12" s="215"/>
      <c r="L12" s="224"/>
      <c r="M12" s="224"/>
      <c r="N12" s="217"/>
      <c r="O12" s="210"/>
    </row>
    <row r="13">
      <c r="A13" s="212">
        <f t="shared" si="1"/>
        <v>11</v>
      </c>
      <c r="B13" s="220"/>
      <c r="C13" s="220"/>
      <c r="D13" s="39"/>
      <c r="E13" s="39"/>
      <c r="F13" s="212" t="s">
        <v>2503</v>
      </c>
      <c r="G13" s="227"/>
      <c r="H13" s="213" t="s">
        <v>2507</v>
      </c>
      <c r="I13" s="217" t="s">
        <v>2505</v>
      </c>
      <c r="J13" s="214" t="s">
        <v>195</v>
      </c>
      <c r="K13" s="215"/>
      <c r="L13" s="224"/>
      <c r="M13" s="224"/>
      <c r="N13" s="217"/>
      <c r="O13" s="210"/>
    </row>
    <row r="14">
      <c r="A14" s="212">
        <f t="shared" si="1"/>
        <v>12</v>
      </c>
      <c r="B14" s="220"/>
      <c r="C14" s="220"/>
      <c r="D14" s="225" t="s">
        <v>2508</v>
      </c>
      <c r="E14" s="265" t="s">
        <v>92</v>
      </c>
      <c r="F14" s="212" t="s">
        <v>613</v>
      </c>
      <c r="G14" s="217"/>
      <c r="H14" s="213" t="s">
        <v>2509</v>
      </c>
      <c r="I14" s="213" t="s">
        <v>2510</v>
      </c>
      <c r="J14" s="214" t="s">
        <v>195</v>
      </c>
      <c r="K14" s="215"/>
      <c r="L14" s="224"/>
      <c r="M14" s="224"/>
      <c r="N14" s="217"/>
      <c r="O14" s="210"/>
    </row>
    <row r="15">
      <c r="A15" s="212">
        <f t="shared" si="1"/>
        <v>13</v>
      </c>
      <c r="B15" s="220"/>
      <c r="C15" s="220"/>
      <c r="D15" s="220"/>
      <c r="E15" s="265" t="s">
        <v>92</v>
      </c>
      <c r="F15" s="212" t="s">
        <v>1973</v>
      </c>
      <c r="G15" s="217"/>
      <c r="H15" s="213" t="s">
        <v>2511</v>
      </c>
      <c r="I15" s="227" t="s">
        <v>2512</v>
      </c>
      <c r="J15" s="214" t="s">
        <v>195</v>
      </c>
      <c r="K15" s="215"/>
      <c r="L15" s="224"/>
      <c r="M15" s="224"/>
      <c r="N15" s="217"/>
      <c r="O15" s="210"/>
    </row>
    <row r="16">
      <c r="A16" s="212">
        <f t="shared" si="1"/>
        <v>14</v>
      </c>
      <c r="B16" s="220"/>
      <c r="C16" s="220"/>
      <c r="D16" s="220"/>
      <c r="E16" s="265" t="s">
        <v>92</v>
      </c>
      <c r="F16" s="225" t="s">
        <v>1945</v>
      </c>
      <c r="G16" s="217"/>
      <c r="H16" s="213" t="s">
        <v>2513</v>
      </c>
      <c r="I16" s="283" t="s">
        <v>2514</v>
      </c>
      <c r="J16" s="214" t="s">
        <v>195</v>
      </c>
      <c r="K16" s="215"/>
      <c r="L16" s="224"/>
      <c r="M16" s="224"/>
      <c r="N16" s="217"/>
      <c r="O16" s="210"/>
    </row>
    <row r="17">
      <c r="A17" s="212">
        <f t="shared" si="1"/>
        <v>15</v>
      </c>
      <c r="B17" s="220"/>
      <c r="C17" s="220"/>
      <c r="D17" s="39"/>
      <c r="E17" s="265" t="s">
        <v>92</v>
      </c>
      <c r="F17" s="225" t="s">
        <v>2515</v>
      </c>
      <c r="G17" s="217"/>
      <c r="H17" s="213" t="s">
        <v>2516</v>
      </c>
      <c r="I17" s="283" t="s">
        <v>2517</v>
      </c>
      <c r="J17" s="214" t="s">
        <v>195</v>
      </c>
      <c r="K17" s="215"/>
      <c r="L17" s="224"/>
      <c r="M17" s="224"/>
      <c r="N17" s="217"/>
      <c r="O17" s="210"/>
    </row>
    <row r="18">
      <c r="A18" s="212">
        <f t="shared" si="1"/>
        <v>16</v>
      </c>
      <c r="B18" s="220"/>
      <c r="C18" s="220"/>
      <c r="D18" s="225" t="s">
        <v>2518</v>
      </c>
      <c r="E18" s="225" t="s">
        <v>2519</v>
      </c>
      <c r="F18" s="212" t="s">
        <v>613</v>
      </c>
      <c r="G18" s="227"/>
      <c r="H18" s="213" t="s">
        <v>1379</v>
      </c>
      <c r="I18" s="227" t="s">
        <v>2520</v>
      </c>
      <c r="J18" s="214" t="s">
        <v>195</v>
      </c>
      <c r="K18" s="215"/>
      <c r="L18" s="224"/>
      <c r="M18" s="224"/>
      <c r="N18" s="217"/>
      <c r="O18" s="210"/>
    </row>
    <row r="19">
      <c r="A19" s="212">
        <f t="shared" si="1"/>
        <v>17</v>
      </c>
      <c r="B19" s="220"/>
      <c r="C19" s="220"/>
      <c r="D19" s="220"/>
      <c r="E19" s="220"/>
      <c r="F19" s="212" t="s">
        <v>613</v>
      </c>
      <c r="G19" s="227"/>
      <c r="H19" s="213" t="s">
        <v>2521</v>
      </c>
      <c r="I19" s="227" t="s">
        <v>2522</v>
      </c>
      <c r="J19" s="214" t="s">
        <v>195</v>
      </c>
      <c r="K19" s="215"/>
      <c r="L19" s="224"/>
      <c r="M19" s="224"/>
      <c r="N19" s="217"/>
      <c r="O19" s="210"/>
    </row>
    <row r="20">
      <c r="A20" s="212">
        <f t="shared" si="1"/>
        <v>18</v>
      </c>
      <c r="B20" s="220"/>
      <c r="C20" s="220"/>
      <c r="D20" s="220"/>
      <c r="E20" s="220"/>
      <c r="F20" s="212" t="s">
        <v>613</v>
      </c>
      <c r="G20" s="227" t="s">
        <v>2523</v>
      </c>
      <c r="H20" s="213" t="s">
        <v>2524</v>
      </c>
      <c r="I20" s="227" t="s">
        <v>2525</v>
      </c>
      <c r="J20" s="214" t="s">
        <v>195</v>
      </c>
      <c r="K20" s="215"/>
      <c r="L20" s="224"/>
      <c r="M20" s="224"/>
      <c r="N20" s="217"/>
      <c r="O20" s="210"/>
    </row>
    <row r="21">
      <c r="A21" s="212">
        <f t="shared" si="1"/>
        <v>19</v>
      </c>
      <c r="B21" s="220"/>
      <c r="C21" s="220"/>
      <c r="D21" s="39"/>
      <c r="E21" s="39"/>
      <c r="F21" s="212" t="s">
        <v>613</v>
      </c>
      <c r="G21" s="227"/>
      <c r="H21" s="213" t="s">
        <v>2526</v>
      </c>
      <c r="I21" s="227" t="s">
        <v>2527</v>
      </c>
      <c r="J21" s="242"/>
      <c r="K21" s="215"/>
      <c r="L21" s="224"/>
      <c r="M21" s="227"/>
      <c r="N21" s="217"/>
      <c r="O21" s="210"/>
    </row>
    <row r="22">
      <c r="A22" s="212">
        <f t="shared" si="1"/>
        <v>20</v>
      </c>
      <c r="B22" s="220"/>
      <c r="C22" s="220"/>
      <c r="D22" s="225" t="s">
        <v>2528</v>
      </c>
      <c r="E22" s="225" t="s">
        <v>2529</v>
      </c>
      <c r="F22" s="212" t="s">
        <v>613</v>
      </c>
      <c r="G22" s="227"/>
      <c r="H22" s="213" t="s">
        <v>1379</v>
      </c>
      <c r="I22" s="227" t="s">
        <v>2530</v>
      </c>
      <c r="J22" s="214" t="s">
        <v>195</v>
      </c>
      <c r="K22" s="215"/>
      <c r="L22" s="224"/>
      <c r="M22" s="227"/>
      <c r="N22" s="217"/>
      <c r="O22" s="210"/>
    </row>
    <row r="23">
      <c r="A23" s="212">
        <f t="shared" si="1"/>
        <v>21</v>
      </c>
      <c r="B23" s="220"/>
      <c r="C23" s="220"/>
      <c r="D23" s="39"/>
      <c r="E23" s="39"/>
      <c r="F23" s="212" t="s">
        <v>613</v>
      </c>
      <c r="G23" s="227"/>
      <c r="H23" s="213" t="s">
        <v>2531</v>
      </c>
      <c r="I23" s="227" t="s">
        <v>2532</v>
      </c>
      <c r="J23" s="214" t="s">
        <v>195</v>
      </c>
      <c r="K23" s="215"/>
      <c r="L23" s="224"/>
      <c r="M23" s="224"/>
      <c r="N23" s="217"/>
      <c r="O23" s="210"/>
    </row>
    <row r="24">
      <c r="A24" s="212">
        <f t="shared" si="1"/>
        <v>22</v>
      </c>
      <c r="B24" s="220"/>
      <c r="C24" s="220"/>
      <c r="D24" s="225" t="s">
        <v>2533</v>
      </c>
      <c r="E24" s="225" t="s">
        <v>2534</v>
      </c>
      <c r="F24" s="212" t="s">
        <v>613</v>
      </c>
      <c r="G24" s="227"/>
      <c r="H24" s="213" t="s">
        <v>1379</v>
      </c>
      <c r="I24" s="227" t="s">
        <v>2535</v>
      </c>
      <c r="J24" s="214" t="s">
        <v>195</v>
      </c>
      <c r="K24" s="215"/>
      <c r="L24" s="224"/>
      <c r="M24" s="224"/>
      <c r="N24" s="217"/>
      <c r="O24" s="210"/>
    </row>
    <row r="25">
      <c r="A25" s="212">
        <f t="shared" si="1"/>
        <v>23</v>
      </c>
      <c r="B25" s="220"/>
      <c r="C25" s="220"/>
      <c r="D25" s="220"/>
      <c r="E25" s="220"/>
      <c r="F25" s="212" t="s">
        <v>613</v>
      </c>
      <c r="G25" s="227"/>
      <c r="H25" s="213" t="s">
        <v>2531</v>
      </c>
      <c r="I25" s="227" t="s">
        <v>2536</v>
      </c>
      <c r="J25" s="214" t="s">
        <v>195</v>
      </c>
      <c r="K25" s="215"/>
      <c r="L25" s="224"/>
      <c r="M25" s="224"/>
      <c r="N25" s="217"/>
      <c r="O25" s="210"/>
    </row>
    <row r="26">
      <c r="A26" s="212"/>
      <c r="B26" s="220"/>
      <c r="C26" s="220"/>
      <c r="D26" s="220"/>
      <c r="E26" s="220"/>
      <c r="F26" s="212" t="s">
        <v>613</v>
      </c>
      <c r="G26" s="227" t="s">
        <v>2537</v>
      </c>
      <c r="H26" s="213" t="s">
        <v>2538</v>
      </c>
      <c r="I26" s="227" t="s">
        <v>2539</v>
      </c>
      <c r="J26" s="214" t="s">
        <v>195</v>
      </c>
      <c r="K26" s="215"/>
      <c r="L26" s="224"/>
      <c r="M26" s="224"/>
      <c r="N26" s="217"/>
      <c r="O26" s="210"/>
    </row>
    <row r="27">
      <c r="A27" s="212"/>
      <c r="B27" s="220"/>
      <c r="C27" s="39"/>
      <c r="D27" s="39"/>
      <c r="E27" s="39"/>
      <c r="F27" s="212" t="s">
        <v>2540</v>
      </c>
      <c r="G27" s="227" t="s">
        <v>2541</v>
      </c>
      <c r="H27" s="213" t="s">
        <v>2542</v>
      </c>
      <c r="I27" s="227" t="s">
        <v>2543</v>
      </c>
      <c r="J27" s="214" t="s">
        <v>195</v>
      </c>
      <c r="K27" s="215"/>
      <c r="L27" s="224"/>
      <c r="M27" s="224"/>
      <c r="N27" s="217"/>
      <c r="O27" s="210"/>
    </row>
    <row r="28">
      <c r="A28" s="212">
        <f t="shared" ref="A28:A71" si="2">COUNTA($I$3:$I28)</f>
        <v>26</v>
      </c>
      <c r="B28" s="220"/>
      <c r="C28" s="225" t="s">
        <v>2544</v>
      </c>
      <c r="D28" s="265" t="s">
        <v>92</v>
      </c>
      <c r="E28" s="265" t="s">
        <v>92</v>
      </c>
      <c r="F28" s="212" t="s">
        <v>613</v>
      </c>
      <c r="G28" s="227"/>
      <c r="H28" s="213" t="s">
        <v>2545</v>
      </c>
      <c r="I28" s="227" t="s">
        <v>2546</v>
      </c>
      <c r="J28" s="214" t="s">
        <v>199</v>
      </c>
      <c r="K28" s="215"/>
      <c r="L28" s="224"/>
      <c r="M28" s="224"/>
      <c r="N28" s="217"/>
      <c r="O28" s="210"/>
    </row>
    <row r="29">
      <c r="A29" s="212">
        <f t="shared" si="2"/>
        <v>27</v>
      </c>
      <c r="B29" s="220"/>
      <c r="C29" s="220"/>
      <c r="D29" s="212" t="s">
        <v>1942</v>
      </c>
      <c r="E29" s="265" t="s">
        <v>92</v>
      </c>
      <c r="F29" s="212" t="s">
        <v>613</v>
      </c>
      <c r="G29" s="227"/>
      <c r="H29" s="213" t="s">
        <v>1379</v>
      </c>
      <c r="I29" s="227" t="s">
        <v>2547</v>
      </c>
      <c r="J29" s="214" t="s">
        <v>199</v>
      </c>
      <c r="K29" s="215"/>
      <c r="L29" s="224"/>
      <c r="M29" s="224"/>
      <c r="N29" s="217"/>
      <c r="O29" s="210"/>
    </row>
    <row r="30">
      <c r="A30" s="212">
        <f t="shared" si="2"/>
        <v>28</v>
      </c>
      <c r="B30" s="220"/>
      <c r="C30" s="220"/>
      <c r="D30" s="225" t="s">
        <v>2302</v>
      </c>
      <c r="E30" s="265" t="s">
        <v>92</v>
      </c>
      <c r="F30" s="212" t="s">
        <v>613</v>
      </c>
      <c r="G30" s="227"/>
      <c r="H30" s="227" t="s">
        <v>2303</v>
      </c>
      <c r="I30" s="227" t="s">
        <v>2548</v>
      </c>
      <c r="J30" s="214" t="s">
        <v>199</v>
      </c>
      <c r="K30" s="215"/>
      <c r="L30" s="224"/>
      <c r="M30" s="224"/>
      <c r="N30" s="217"/>
      <c r="O30" s="210"/>
    </row>
    <row r="31">
      <c r="A31" s="212">
        <f t="shared" si="2"/>
        <v>29</v>
      </c>
      <c r="B31" s="220"/>
      <c r="C31" s="220"/>
      <c r="D31" s="220"/>
      <c r="E31" s="265" t="s">
        <v>92</v>
      </c>
      <c r="F31" s="212" t="s">
        <v>613</v>
      </c>
      <c r="G31" s="227" t="s">
        <v>2549</v>
      </c>
      <c r="H31" s="227" t="s">
        <v>2550</v>
      </c>
      <c r="I31" s="255" t="s">
        <v>2551</v>
      </c>
      <c r="J31" s="214" t="s">
        <v>199</v>
      </c>
      <c r="K31" s="215"/>
      <c r="L31" s="224"/>
      <c r="M31" s="224"/>
      <c r="N31" s="217"/>
      <c r="O31" s="210"/>
    </row>
    <row r="32">
      <c r="A32" s="212">
        <f t="shared" si="2"/>
        <v>30</v>
      </c>
      <c r="B32" s="220"/>
      <c r="C32" s="220"/>
      <c r="D32" s="220"/>
      <c r="E32" s="225" t="s">
        <v>752</v>
      </c>
      <c r="F32" s="212" t="s">
        <v>1955</v>
      </c>
      <c r="G32" s="227" t="s">
        <v>2552</v>
      </c>
      <c r="H32" s="227" t="s">
        <v>2553</v>
      </c>
      <c r="I32" s="227" t="s">
        <v>2554</v>
      </c>
      <c r="J32" s="214" t="s">
        <v>199</v>
      </c>
      <c r="K32" s="215"/>
      <c r="L32" s="224"/>
      <c r="M32" s="224"/>
      <c r="N32" s="217"/>
      <c r="O32" s="210"/>
    </row>
    <row r="33">
      <c r="A33" s="212">
        <f t="shared" si="2"/>
        <v>31</v>
      </c>
      <c r="B33" s="220"/>
      <c r="C33" s="220"/>
      <c r="D33" s="220"/>
      <c r="E33" s="39"/>
      <c r="F33" s="212" t="s">
        <v>1955</v>
      </c>
      <c r="G33" s="227" t="s">
        <v>2552</v>
      </c>
      <c r="H33" s="227" t="s">
        <v>2555</v>
      </c>
      <c r="I33" s="227" t="s">
        <v>2556</v>
      </c>
      <c r="J33" s="214" t="s">
        <v>199</v>
      </c>
      <c r="K33" s="215"/>
      <c r="L33" s="224"/>
      <c r="M33" s="224"/>
      <c r="N33" s="217"/>
      <c r="O33" s="210"/>
    </row>
    <row r="34">
      <c r="A34" s="212">
        <f t="shared" si="2"/>
        <v>32</v>
      </c>
      <c r="B34" s="220"/>
      <c r="C34" s="220"/>
      <c r="D34" s="220"/>
      <c r="E34" s="225" t="s">
        <v>2557</v>
      </c>
      <c r="F34" s="212" t="s">
        <v>2558</v>
      </c>
      <c r="G34" s="227" t="s">
        <v>2552</v>
      </c>
      <c r="H34" s="227" t="s">
        <v>2559</v>
      </c>
      <c r="I34" s="227" t="s">
        <v>2560</v>
      </c>
      <c r="J34" s="214" t="s">
        <v>199</v>
      </c>
      <c r="K34" s="215"/>
      <c r="L34" s="226"/>
      <c r="M34" s="224"/>
      <c r="N34" s="217"/>
      <c r="O34" s="210"/>
    </row>
    <row r="35">
      <c r="A35" s="212">
        <f t="shared" si="2"/>
        <v>33</v>
      </c>
      <c r="B35" s="220"/>
      <c r="C35" s="220"/>
      <c r="D35" s="220"/>
      <c r="E35" s="220"/>
      <c r="F35" s="212" t="s">
        <v>2558</v>
      </c>
      <c r="G35" s="227" t="s">
        <v>2552</v>
      </c>
      <c r="H35" s="227" t="s">
        <v>2561</v>
      </c>
      <c r="I35" s="227" t="s">
        <v>2562</v>
      </c>
      <c r="J35" s="214" t="s">
        <v>199</v>
      </c>
      <c r="K35" s="215"/>
      <c r="L35" s="226"/>
      <c r="M35" s="224"/>
      <c r="N35" s="217"/>
      <c r="O35" s="210"/>
    </row>
    <row r="36">
      <c r="A36" s="212">
        <f t="shared" si="2"/>
        <v>34</v>
      </c>
      <c r="B36" s="220"/>
      <c r="C36" s="220"/>
      <c r="D36" s="220"/>
      <c r="E36" s="39"/>
      <c r="F36" s="212" t="s">
        <v>2558</v>
      </c>
      <c r="G36" s="227" t="s">
        <v>2552</v>
      </c>
      <c r="H36" s="227" t="s">
        <v>2563</v>
      </c>
      <c r="I36" s="227" t="s">
        <v>2564</v>
      </c>
      <c r="J36" s="214" t="s">
        <v>199</v>
      </c>
      <c r="K36" s="215"/>
      <c r="L36" s="226"/>
      <c r="M36" s="227"/>
      <c r="N36" s="217"/>
      <c r="O36" s="210"/>
    </row>
    <row r="37">
      <c r="A37" s="212">
        <f t="shared" si="2"/>
        <v>35</v>
      </c>
      <c r="B37" s="220"/>
      <c r="C37" s="220"/>
      <c r="D37" s="220"/>
      <c r="E37" s="225" t="s">
        <v>2565</v>
      </c>
      <c r="F37" s="212" t="s">
        <v>2566</v>
      </c>
      <c r="G37" s="227" t="s">
        <v>2552</v>
      </c>
      <c r="H37" s="227" t="s">
        <v>2567</v>
      </c>
      <c r="I37" s="227" t="s">
        <v>2568</v>
      </c>
      <c r="J37" s="214" t="s">
        <v>199</v>
      </c>
      <c r="K37" s="215"/>
      <c r="L37" s="224"/>
      <c r="M37" s="224"/>
      <c r="N37" s="217"/>
      <c r="O37" s="210"/>
    </row>
    <row r="38">
      <c r="A38" s="212">
        <f t="shared" si="2"/>
        <v>36</v>
      </c>
      <c r="B38" s="220"/>
      <c r="C38" s="220"/>
      <c r="D38" s="220"/>
      <c r="E38" s="220"/>
      <c r="F38" s="212" t="s">
        <v>2566</v>
      </c>
      <c r="G38" s="227" t="s">
        <v>2552</v>
      </c>
      <c r="H38" s="227" t="s">
        <v>2569</v>
      </c>
      <c r="I38" s="227" t="s">
        <v>2570</v>
      </c>
      <c r="J38" s="214" t="s">
        <v>199</v>
      </c>
      <c r="K38" s="215"/>
      <c r="L38" s="224"/>
      <c r="M38" s="224"/>
      <c r="N38" s="217"/>
      <c r="O38" s="210"/>
    </row>
    <row r="39">
      <c r="A39" s="212">
        <f t="shared" si="2"/>
        <v>37</v>
      </c>
      <c r="B39" s="220"/>
      <c r="C39" s="220"/>
      <c r="D39" s="220"/>
      <c r="E39" s="220"/>
      <c r="F39" s="212" t="s">
        <v>2566</v>
      </c>
      <c r="G39" s="227" t="s">
        <v>2552</v>
      </c>
      <c r="H39" s="227" t="s">
        <v>2571</v>
      </c>
      <c r="I39" s="227" t="s">
        <v>2572</v>
      </c>
      <c r="J39" s="214" t="s">
        <v>199</v>
      </c>
      <c r="K39" s="215"/>
      <c r="L39" s="224"/>
      <c r="M39" s="224"/>
      <c r="N39" s="217"/>
      <c r="O39" s="210"/>
    </row>
    <row r="40">
      <c r="A40" s="212">
        <f t="shared" si="2"/>
        <v>38</v>
      </c>
      <c r="B40" s="220"/>
      <c r="C40" s="220"/>
      <c r="D40" s="220"/>
      <c r="E40" s="220"/>
      <c r="F40" s="212" t="s">
        <v>2566</v>
      </c>
      <c r="G40" s="227" t="s">
        <v>2552</v>
      </c>
      <c r="H40" s="227" t="s">
        <v>2573</v>
      </c>
      <c r="I40" s="227" t="s">
        <v>2574</v>
      </c>
      <c r="J40" s="214" t="s">
        <v>199</v>
      </c>
      <c r="K40" s="215"/>
      <c r="L40" s="224"/>
      <c r="M40" s="224"/>
      <c r="N40" s="217"/>
      <c r="O40" s="210"/>
    </row>
    <row r="41">
      <c r="A41" s="212">
        <f t="shared" si="2"/>
        <v>39</v>
      </c>
      <c r="B41" s="220"/>
      <c r="C41" s="220"/>
      <c r="D41" s="220"/>
      <c r="E41" s="39"/>
      <c r="F41" s="212" t="s">
        <v>2566</v>
      </c>
      <c r="G41" s="227" t="s">
        <v>2552</v>
      </c>
      <c r="H41" s="227" t="s">
        <v>2575</v>
      </c>
      <c r="I41" s="227" t="s">
        <v>2576</v>
      </c>
      <c r="J41" s="214" t="s">
        <v>199</v>
      </c>
      <c r="K41" s="215"/>
      <c r="L41" s="224"/>
      <c r="M41" s="224"/>
      <c r="N41" s="217"/>
      <c r="O41" s="210"/>
    </row>
    <row r="42">
      <c r="A42" s="212">
        <f t="shared" si="2"/>
        <v>40</v>
      </c>
      <c r="B42" s="220"/>
      <c r="C42" s="220"/>
      <c r="D42" s="220"/>
      <c r="E42" s="212" t="s">
        <v>1332</v>
      </c>
      <c r="F42" s="212" t="s">
        <v>718</v>
      </c>
      <c r="G42" s="227" t="s">
        <v>2552</v>
      </c>
      <c r="H42" s="227" t="s">
        <v>2577</v>
      </c>
      <c r="I42" s="227" t="s">
        <v>2578</v>
      </c>
      <c r="J42" s="214" t="s">
        <v>199</v>
      </c>
      <c r="K42" s="215"/>
      <c r="L42" s="224"/>
      <c r="M42" s="224"/>
      <c r="N42" s="217"/>
      <c r="O42" s="210"/>
    </row>
    <row r="43">
      <c r="A43" s="212">
        <f t="shared" si="2"/>
        <v>41</v>
      </c>
      <c r="B43" s="220"/>
      <c r="C43" s="220"/>
      <c r="D43" s="220"/>
      <c r="E43" s="212" t="s">
        <v>2579</v>
      </c>
      <c r="F43" s="212" t="s">
        <v>2580</v>
      </c>
      <c r="G43" s="227" t="s">
        <v>2552</v>
      </c>
      <c r="H43" s="227" t="s">
        <v>2581</v>
      </c>
      <c r="I43" s="227" t="s">
        <v>2582</v>
      </c>
      <c r="J43" s="214" t="s">
        <v>199</v>
      </c>
      <c r="K43" s="215"/>
      <c r="L43" s="224"/>
      <c r="M43" s="224"/>
      <c r="N43" s="217"/>
      <c r="O43" s="210"/>
    </row>
    <row r="44">
      <c r="A44" s="212">
        <f t="shared" si="2"/>
        <v>42</v>
      </c>
      <c r="B44" s="220"/>
      <c r="C44" s="220"/>
      <c r="D44" s="220"/>
      <c r="E44" s="212" t="s">
        <v>1320</v>
      </c>
      <c r="F44" s="212" t="s">
        <v>2583</v>
      </c>
      <c r="G44" s="227" t="s">
        <v>2552</v>
      </c>
      <c r="H44" s="227" t="s">
        <v>2584</v>
      </c>
      <c r="I44" s="227" t="s">
        <v>2585</v>
      </c>
      <c r="J44" s="214" t="s">
        <v>199</v>
      </c>
      <c r="K44" s="215"/>
      <c r="L44" s="224"/>
      <c r="M44" s="224"/>
      <c r="N44" s="217"/>
      <c r="O44" s="210"/>
    </row>
    <row r="45">
      <c r="A45" s="212">
        <f t="shared" si="2"/>
        <v>43</v>
      </c>
      <c r="B45" s="220"/>
      <c r="C45" s="220"/>
      <c r="D45" s="220"/>
      <c r="E45" s="212" t="s">
        <v>2586</v>
      </c>
      <c r="F45" s="212" t="s">
        <v>2587</v>
      </c>
      <c r="G45" s="227" t="s">
        <v>2552</v>
      </c>
      <c r="H45" s="227" t="s">
        <v>2588</v>
      </c>
      <c r="I45" s="227" t="s">
        <v>2589</v>
      </c>
      <c r="J45" s="214" t="s">
        <v>199</v>
      </c>
      <c r="K45" s="215"/>
      <c r="L45" s="224"/>
      <c r="M45" s="224"/>
      <c r="N45" s="217"/>
      <c r="O45" s="210"/>
    </row>
    <row r="46">
      <c r="A46" s="212">
        <f t="shared" si="2"/>
        <v>44</v>
      </c>
      <c r="B46" s="220"/>
      <c r="C46" s="220"/>
      <c r="D46" s="220"/>
      <c r="E46" s="212" t="s">
        <v>2590</v>
      </c>
      <c r="F46" s="212" t="s">
        <v>613</v>
      </c>
      <c r="G46" s="227" t="s">
        <v>2552</v>
      </c>
      <c r="H46" s="227" t="s">
        <v>2591</v>
      </c>
      <c r="I46" s="284" t="s">
        <v>2592</v>
      </c>
      <c r="J46" s="214" t="s">
        <v>199</v>
      </c>
      <c r="K46" s="215"/>
      <c r="L46" s="224"/>
      <c r="M46" s="224"/>
      <c r="N46" s="217"/>
      <c r="O46" s="210"/>
    </row>
    <row r="47">
      <c r="A47" s="212">
        <f t="shared" si="2"/>
        <v>45</v>
      </c>
      <c r="B47" s="220"/>
      <c r="C47" s="220"/>
      <c r="D47" s="220"/>
      <c r="E47" s="212" t="s">
        <v>2593</v>
      </c>
      <c r="F47" s="212" t="s">
        <v>613</v>
      </c>
      <c r="G47" s="227" t="s">
        <v>2552</v>
      </c>
      <c r="H47" s="213" t="s">
        <v>2594</v>
      </c>
      <c r="I47" s="217" t="s">
        <v>2595</v>
      </c>
      <c r="J47" s="214" t="s">
        <v>199</v>
      </c>
      <c r="K47" s="215"/>
      <c r="L47" s="224"/>
      <c r="M47" s="224"/>
      <c r="N47" s="217"/>
      <c r="O47" s="210"/>
    </row>
    <row r="48">
      <c r="A48" s="212">
        <f t="shared" si="2"/>
        <v>46</v>
      </c>
      <c r="B48" s="220"/>
      <c r="C48" s="220"/>
      <c r="D48" s="220"/>
      <c r="E48" s="265" t="s">
        <v>92</v>
      </c>
      <c r="F48" s="212" t="s">
        <v>2596</v>
      </c>
      <c r="G48" s="227"/>
      <c r="H48" s="227" t="s">
        <v>2597</v>
      </c>
      <c r="I48" s="255" t="s">
        <v>2598</v>
      </c>
      <c r="J48" s="214" t="s">
        <v>199</v>
      </c>
      <c r="K48" s="215"/>
      <c r="L48" s="224"/>
      <c r="M48" s="224"/>
      <c r="N48" s="217"/>
      <c r="O48" s="210"/>
    </row>
    <row r="49">
      <c r="A49" s="212">
        <f t="shared" si="2"/>
        <v>47</v>
      </c>
      <c r="B49" s="220"/>
      <c r="C49" s="220"/>
      <c r="D49" s="220"/>
      <c r="E49" s="265" t="s">
        <v>92</v>
      </c>
      <c r="F49" s="212" t="s">
        <v>1945</v>
      </c>
      <c r="G49" s="217"/>
      <c r="H49" s="213" t="s">
        <v>2599</v>
      </c>
      <c r="I49" s="284" t="s">
        <v>2600</v>
      </c>
      <c r="J49" s="214" t="s">
        <v>199</v>
      </c>
      <c r="K49" s="215"/>
      <c r="L49" s="224"/>
      <c r="M49" s="224"/>
      <c r="N49" s="217"/>
      <c r="O49" s="210"/>
    </row>
    <row r="50">
      <c r="A50" s="212">
        <f t="shared" si="2"/>
        <v>48</v>
      </c>
      <c r="B50" s="220"/>
      <c r="C50" s="220"/>
      <c r="D50" s="220"/>
      <c r="E50" s="265" t="s">
        <v>92</v>
      </c>
      <c r="F50" s="212" t="s">
        <v>1945</v>
      </c>
      <c r="G50" s="217"/>
      <c r="H50" s="213" t="s">
        <v>2601</v>
      </c>
      <c r="I50" s="213" t="s">
        <v>2602</v>
      </c>
      <c r="J50" s="214" t="s">
        <v>199</v>
      </c>
      <c r="K50" s="215"/>
      <c r="L50" s="224"/>
      <c r="M50" s="224"/>
      <c r="N50" s="217"/>
      <c r="O50" s="210"/>
    </row>
    <row r="51">
      <c r="A51" s="212">
        <f t="shared" si="2"/>
        <v>49</v>
      </c>
      <c r="B51" s="220"/>
      <c r="C51" s="220"/>
      <c r="D51" s="39"/>
      <c r="E51" s="265" t="s">
        <v>92</v>
      </c>
      <c r="F51" s="212" t="s">
        <v>1973</v>
      </c>
      <c r="G51" s="217"/>
      <c r="H51" s="213" t="s">
        <v>1479</v>
      </c>
      <c r="I51" s="217" t="s">
        <v>2603</v>
      </c>
      <c r="J51" s="214" t="s">
        <v>199</v>
      </c>
      <c r="K51" s="215"/>
      <c r="L51" s="224"/>
      <c r="M51" s="224"/>
      <c r="N51" s="217"/>
      <c r="O51" s="210"/>
    </row>
    <row r="52">
      <c r="A52" s="212">
        <f t="shared" si="2"/>
        <v>50</v>
      </c>
      <c r="B52" s="220"/>
      <c r="C52" s="220"/>
      <c r="D52" s="225" t="s">
        <v>2305</v>
      </c>
      <c r="E52" s="225" t="s">
        <v>2604</v>
      </c>
      <c r="F52" s="212" t="s">
        <v>613</v>
      </c>
      <c r="G52" s="227"/>
      <c r="H52" s="213" t="s">
        <v>2605</v>
      </c>
      <c r="I52" s="217" t="s">
        <v>2606</v>
      </c>
      <c r="J52" s="214" t="s">
        <v>199</v>
      </c>
      <c r="K52" s="215"/>
      <c r="L52" s="224"/>
      <c r="M52" s="224"/>
      <c r="N52" s="217"/>
      <c r="O52" s="210"/>
    </row>
    <row r="53">
      <c r="A53" s="212">
        <f t="shared" si="2"/>
        <v>51</v>
      </c>
      <c r="B53" s="220"/>
      <c r="C53" s="220"/>
      <c r="D53" s="220"/>
      <c r="E53" s="220"/>
      <c r="F53" s="212" t="s">
        <v>613</v>
      </c>
      <c r="G53" s="227"/>
      <c r="H53" s="213" t="s">
        <v>2605</v>
      </c>
      <c r="I53" s="255" t="s">
        <v>2607</v>
      </c>
      <c r="J53" s="214" t="s">
        <v>199</v>
      </c>
      <c r="K53" s="215"/>
      <c r="L53" s="224"/>
      <c r="M53" s="224"/>
      <c r="N53" s="217"/>
      <c r="O53" s="210"/>
    </row>
    <row r="54">
      <c r="A54" s="212">
        <f t="shared" si="2"/>
        <v>52</v>
      </c>
      <c r="B54" s="220"/>
      <c r="C54" s="39"/>
      <c r="D54" s="39"/>
      <c r="E54" s="39"/>
      <c r="F54" s="212" t="s">
        <v>613</v>
      </c>
      <c r="G54" s="227" t="s">
        <v>2608</v>
      </c>
      <c r="H54" s="213" t="s">
        <v>2605</v>
      </c>
      <c r="I54" s="227" t="s">
        <v>2609</v>
      </c>
      <c r="J54" s="259"/>
      <c r="K54" s="215"/>
      <c r="L54" s="226"/>
      <c r="M54" s="224"/>
      <c r="N54" s="217"/>
      <c r="O54" s="210"/>
    </row>
    <row r="55">
      <c r="A55" s="212">
        <f t="shared" si="2"/>
        <v>53</v>
      </c>
      <c r="B55" s="220"/>
      <c r="C55" s="225" t="s">
        <v>202</v>
      </c>
      <c r="D55" s="265" t="s">
        <v>92</v>
      </c>
      <c r="E55" s="265" t="s">
        <v>92</v>
      </c>
      <c r="F55" s="212" t="s">
        <v>613</v>
      </c>
      <c r="G55" s="227"/>
      <c r="H55" s="213" t="s">
        <v>2610</v>
      </c>
      <c r="I55" s="227" t="s">
        <v>2611</v>
      </c>
      <c r="J55" s="256" t="s">
        <v>202</v>
      </c>
      <c r="K55" s="215"/>
      <c r="L55" s="226"/>
      <c r="M55" s="224"/>
      <c r="N55" s="217"/>
      <c r="O55" s="210"/>
    </row>
    <row r="56">
      <c r="A56" s="212">
        <f t="shared" si="2"/>
        <v>54</v>
      </c>
      <c r="B56" s="220"/>
      <c r="C56" s="220"/>
      <c r="D56" s="212" t="s">
        <v>1942</v>
      </c>
      <c r="E56" s="265" t="s">
        <v>92</v>
      </c>
      <c r="F56" s="212" t="s">
        <v>613</v>
      </c>
      <c r="G56" s="227"/>
      <c r="H56" s="213" t="s">
        <v>1379</v>
      </c>
      <c r="I56" s="227" t="s">
        <v>2612</v>
      </c>
      <c r="J56" s="256" t="s">
        <v>202</v>
      </c>
      <c r="K56" s="215"/>
      <c r="L56" s="226"/>
      <c r="M56" s="224"/>
      <c r="N56" s="217"/>
      <c r="O56" s="210"/>
    </row>
    <row r="57">
      <c r="A57" s="212">
        <f t="shared" si="2"/>
        <v>55</v>
      </c>
      <c r="B57" s="220"/>
      <c r="C57" s="220"/>
      <c r="D57" s="225" t="s">
        <v>2302</v>
      </c>
      <c r="E57" s="265" t="s">
        <v>92</v>
      </c>
      <c r="F57" s="212" t="s">
        <v>613</v>
      </c>
      <c r="G57" s="227"/>
      <c r="H57" s="227" t="s">
        <v>2303</v>
      </c>
      <c r="I57" s="227" t="s">
        <v>2613</v>
      </c>
      <c r="J57" s="256" t="s">
        <v>202</v>
      </c>
      <c r="K57" s="215"/>
      <c r="L57" s="226"/>
      <c r="M57" s="224"/>
      <c r="N57" s="217"/>
      <c r="O57" s="210"/>
    </row>
    <row r="58">
      <c r="A58" s="212">
        <f t="shared" si="2"/>
        <v>56</v>
      </c>
      <c r="B58" s="220"/>
      <c r="C58" s="220"/>
      <c r="D58" s="220"/>
      <c r="E58" s="265" t="s">
        <v>92</v>
      </c>
      <c r="F58" s="212" t="s">
        <v>613</v>
      </c>
      <c r="G58" s="227" t="s">
        <v>2549</v>
      </c>
      <c r="H58" s="227" t="s">
        <v>2550</v>
      </c>
      <c r="I58" s="255" t="s">
        <v>2551</v>
      </c>
      <c r="J58" s="256" t="s">
        <v>202</v>
      </c>
      <c r="K58" s="215"/>
      <c r="L58" s="224"/>
      <c r="M58" s="224"/>
      <c r="N58" s="217"/>
      <c r="O58" s="210"/>
    </row>
    <row r="59">
      <c r="A59" s="212">
        <f t="shared" si="2"/>
        <v>57</v>
      </c>
      <c r="B59" s="220"/>
      <c r="C59" s="220"/>
      <c r="D59" s="220"/>
      <c r="E59" s="225" t="s">
        <v>752</v>
      </c>
      <c r="F59" s="212" t="s">
        <v>1955</v>
      </c>
      <c r="G59" s="227" t="s">
        <v>2552</v>
      </c>
      <c r="H59" s="227" t="s">
        <v>2553</v>
      </c>
      <c r="I59" s="227" t="s">
        <v>2614</v>
      </c>
      <c r="J59" s="256" t="s">
        <v>202</v>
      </c>
      <c r="K59" s="215"/>
      <c r="L59" s="224"/>
      <c r="M59" s="224"/>
      <c r="N59" s="217"/>
      <c r="O59" s="210"/>
    </row>
    <row r="60">
      <c r="A60" s="212">
        <f t="shared" si="2"/>
        <v>58</v>
      </c>
      <c r="B60" s="220"/>
      <c r="C60" s="220"/>
      <c r="D60" s="220"/>
      <c r="E60" s="39"/>
      <c r="F60" s="212" t="s">
        <v>1955</v>
      </c>
      <c r="G60" s="227" t="s">
        <v>2552</v>
      </c>
      <c r="H60" s="227" t="s">
        <v>2555</v>
      </c>
      <c r="I60" s="227" t="s">
        <v>2615</v>
      </c>
      <c r="J60" s="256" t="s">
        <v>202</v>
      </c>
      <c r="K60" s="215"/>
      <c r="L60" s="224"/>
      <c r="M60" s="224"/>
      <c r="N60" s="217"/>
      <c r="O60" s="210"/>
    </row>
    <row r="61">
      <c r="A61" s="212">
        <f t="shared" si="2"/>
        <v>59</v>
      </c>
      <c r="B61" s="220"/>
      <c r="C61" s="220"/>
      <c r="D61" s="220"/>
      <c r="E61" s="225" t="s">
        <v>2565</v>
      </c>
      <c r="F61" s="212" t="s">
        <v>2566</v>
      </c>
      <c r="G61" s="227" t="s">
        <v>2552</v>
      </c>
      <c r="H61" s="227" t="s">
        <v>2567</v>
      </c>
      <c r="I61" s="227" t="s">
        <v>2616</v>
      </c>
      <c r="J61" s="256" t="s">
        <v>202</v>
      </c>
      <c r="K61" s="215"/>
      <c r="L61" s="226"/>
      <c r="M61" s="227"/>
      <c r="N61" s="217"/>
      <c r="O61" s="210"/>
    </row>
    <row r="62">
      <c r="A62" s="212">
        <f t="shared" si="2"/>
        <v>60</v>
      </c>
      <c r="B62" s="220"/>
      <c r="C62" s="220"/>
      <c r="D62" s="220"/>
      <c r="E62" s="220"/>
      <c r="F62" s="212" t="s">
        <v>2566</v>
      </c>
      <c r="G62" s="227" t="s">
        <v>2552</v>
      </c>
      <c r="H62" s="227" t="s">
        <v>2569</v>
      </c>
      <c r="I62" s="227" t="s">
        <v>2617</v>
      </c>
      <c r="J62" s="256" t="s">
        <v>202</v>
      </c>
      <c r="K62" s="215"/>
      <c r="L62" s="224"/>
      <c r="M62" s="227"/>
      <c r="N62" s="217"/>
      <c r="O62" s="210"/>
    </row>
    <row r="63">
      <c r="A63" s="212">
        <f t="shared" si="2"/>
        <v>61</v>
      </c>
      <c r="B63" s="220"/>
      <c r="C63" s="220"/>
      <c r="D63" s="220"/>
      <c r="E63" s="220"/>
      <c r="F63" s="212" t="s">
        <v>2566</v>
      </c>
      <c r="G63" s="227" t="s">
        <v>2552</v>
      </c>
      <c r="H63" s="227" t="s">
        <v>2571</v>
      </c>
      <c r="I63" s="227" t="s">
        <v>2618</v>
      </c>
      <c r="J63" s="256" t="s">
        <v>202</v>
      </c>
      <c r="K63" s="215"/>
      <c r="L63" s="224"/>
      <c r="M63" s="224"/>
      <c r="N63" s="217"/>
      <c r="O63" s="210"/>
    </row>
    <row r="64">
      <c r="A64" s="212">
        <f t="shared" si="2"/>
        <v>62</v>
      </c>
      <c r="B64" s="220"/>
      <c r="C64" s="220"/>
      <c r="D64" s="220"/>
      <c r="E64" s="220"/>
      <c r="F64" s="212" t="s">
        <v>2566</v>
      </c>
      <c r="G64" s="227" t="s">
        <v>2552</v>
      </c>
      <c r="H64" s="227" t="s">
        <v>2573</v>
      </c>
      <c r="I64" s="227" t="s">
        <v>2619</v>
      </c>
      <c r="J64" s="256" t="s">
        <v>202</v>
      </c>
      <c r="K64" s="215"/>
      <c r="L64" s="224"/>
      <c r="M64" s="224"/>
      <c r="N64" s="217"/>
      <c r="O64" s="210"/>
    </row>
    <row r="65">
      <c r="A65" s="212">
        <f t="shared" si="2"/>
        <v>63</v>
      </c>
      <c r="B65" s="220"/>
      <c r="C65" s="220"/>
      <c r="D65" s="220"/>
      <c r="E65" s="39"/>
      <c r="F65" s="212" t="s">
        <v>2566</v>
      </c>
      <c r="G65" s="227" t="s">
        <v>2552</v>
      </c>
      <c r="H65" s="227" t="s">
        <v>2575</v>
      </c>
      <c r="I65" s="227" t="s">
        <v>2620</v>
      </c>
      <c r="J65" s="256" t="s">
        <v>202</v>
      </c>
      <c r="K65" s="215"/>
      <c r="L65" s="224"/>
      <c r="M65" s="224"/>
      <c r="N65" s="217"/>
      <c r="O65" s="210"/>
    </row>
    <row r="66">
      <c r="A66" s="212">
        <f t="shared" si="2"/>
        <v>64</v>
      </c>
      <c r="B66" s="220"/>
      <c r="C66" s="220"/>
      <c r="D66" s="220"/>
      <c r="E66" s="225" t="s">
        <v>1210</v>
      </c>
      <c r="F66" s="212" t="s">
        <v>2621</v>
      </c>
      <c r="G66" s="227" t="s">
        <v>2552</v>
      </c>
      <c r="H66" s="227" t="s">
        <v>2622</v>
      </c>
      <c r="I66" s="217" t="s">
        <v>2623</v>
      </c>
      <c r="J66" s="256" t="s">
        <v>202</v>
      </c>
      <c r="K66" s="215"/>
      <c r="L66" s="224"/>
      <c r="M66" s="224"/>
      <c r="N66" s="217"/>
      <c r="O66" s="210"/>
    </row>
    <row r="67">
      <c r="A67" s="212">
        <f t="shared" si="2"/>
        <v>65</v>
      </c>
      <c r="B67" s="220"/>
      <c r="C67" s="220"/>
      <c r="D67" s="220"/>
      <c r="E67" s="39"/>
      <c r="F67" s="212" t="s">
        <v>2621</v>
      </c>
      <c r="G67" s="227" t="s">
        <v>2552</v>
      </c>
      <c r="H67" s="227" t="s">
        <v>2624</v>
      </c>
      <c r="I67" s="217" t="s">
        <v>2625</v>
      </c>
      <c r="J67" s="256" t="s">
        <v>202</v>
      </c>
      <c r="K67" s="215"/>
      <c r="L67" s="224"/>
      <c r="M67" s="224"/>
      <c r="N67" s="217"/>
      <c r="O67" s="210"/>
    </row>
    <row r="68">
      <c r="A68" s="212">
        <f t="shared" si="2"/>
        <v>66</v>
      </c>
      <c r="B68" s="220"/>
      <c r="C68" s="220"/>
      <c r="D68" s="220"/>
      <c r="E68" s="212" t="s">
        <v>2626</v>
      </c>
      <c r="F68" s="212" t="s">
        <v>2627</v>
      </c>
      <c r="G68" s="227" t="s">
        <v>2552</v>
      </c>
      <c r="H68" s="227" t="s">
        <v>2628</v>
      </c>
      <c r="I68" s="217" t="s">
        <v>2629</v>
      </c>
      <c r="J68" s="256" t="s">
        <v>202</v>
      </c>
      <c r="K68" s="215"/>
      <c r="L68" s="224"/>
      <c r="M68" s="224"/>
      <c r="N68" s="217"/>
      <c r="O68" s="210"/>
    </row>
    <row r="69">
      <c r="A69" s="212">
        <f t="shared" si="2"/>
        <v>67</v>
      </c>
      <c r="B69" s="220"/>
      <c r="C69" s="220"/>
      <c r="D69" s="220"/>
      <c r="E69" s="225" t="s">
        <v>1204</v>
      </c>
      <c r="F69" s="212" t="s">
        <v>2630</v>
      </c>
      <c r="G69" s="227"/>
      <c r="H69" s="213" t="s">
        <v>2631</v>
      </c>
      <c r="I69" s="227" t="s">
        <v>2632</v>
      </c>
      <c r="J69" s="256" t="s">
        <v>202</v>
      </c>
      <c r="K69" s="215"/>
      <c r="L69" s="226"/>
      <c r="M69" s="224"/>
      <c r="N69" s="217"/>
      <c r="O69" s="210"/>
    </row>
    <row r="70">
      <c r="A70" s="212">
        <f t="shared" si="2"/>
        <v>68</v>
      </c>
      <c r="B70" s="220"/>
      <c r="C70" s="220"/>
      <c r="D70" s="220"/>
      <c r="E70" s="220"/>
      <c r="F70" s="212" t="s">
        <v>2630</v>
      </c>
      <c r="G70" s="227"/>
      <c r="H70" s="213" t="s">
        <v>2633</v>
      </c>
      <c r="I70" s="227" t="s">
        <v>2632</v>
      </c>
      <c r="J70" s="256" t="s">
        <v>202</v>
      </c>
      <c r="K70" s="215"/>
      <c r="L70" s="226"/>
      <c r="M70" s="224"/>
      <c r="N70" s="217"/>
      <c r="O70" s="210"/>
    </row>
    <row r="71">
      <c r="A71" s="212">
        <f t="shared" si="2"/>
        <v>69</v>
      </c>
      <c r="B71" s="220"/>
      <c r="C71" s="220"/>
      <c r="D71" s="220"/>
      <c r="E71" s="220"/>
      <c r="F71" s="212" t="s">
        <v>2634</v>
      </c>
      <c r="G71" s="227"/>
      <c r="H71" s="213" t="s">
        <v>2635</v>
      </c>
      <c r="I71" s="227" t="s">
        <v>2636</v>
      </c>
      <c r="J71" s="256" t="s">
        <v>202</v>
      </c>
      <c r="K71" s="215"/>
      <c r="L71" s="226"/>
      <c r="M71" s="224"/>
      <c r="N71" s="217"/>
      <c r="O71" s="210"/>
    </row>
    <row r="72">
      <c r="A72" s="212"/>
      <c r="B72" s="220"/>
      <c r="C72" s="220"/>
      <c r="D72" s="220"/>
      <c r="E72" s="220"/>
      <c r="F72" s="212" t="s">
        <v>2634</v>
      </c>
      <c r="G72" s="227" t="s">
        <v>2637</v>
      </c>
      <c r="H72" s="227" t="s">
        <v>2638</v>
      </c>
      <c r="I72" s="227" t="s">
        <v>2639</v>
      </c>
      <c r="J72" s="259"/>
      <c r="K72" s="215"/>
      <c r="L72" s="224"/>
      <c r="M72" s="224"/>
      <c r="N72" s="217"/>
      <c r="O72" s="210"/>
    </row>
    <row r="73">
      <c r="A73" s="212"/>
      <c r="B73" s="220"/>
      <c r="C73" s="220"/>
      <c r="D73" s="220"/>
      <c r="E73" s="39"/>
      <c r="F73" s="212" t="s">
        <v>2634</v>
      </c>
      <c r="G73" s="227" t="s">
        <v>2640</v>
      </c>
      <c r="H73" s="227" t="s">
        <v>2641</v>
      </c>
      <c r="I73" s="227" t="s">
        <v>2642</v>
      </c>
      <c r="J73" s="259"/>
      <c r="K73" s="215"/>
      <c r="L73" s="224"/>
      <c r="M73" s="224"/>
      <c r="N73" s="217"/>
      <c r="O73" s="210"/>
    </row>
    <row r="74">
      <c r="A74" s="212">
        <f t="shared" ref="A74:A81" si="3">COUNTA($I$3:$I74)</f>
        <v>72</v>
      </c>
      <c r="B74" s="220"/>
      <c r="C74" s="220"/>
      <c r="D74" s="220"/>
      <c r="E74" s="212" t="s">
        <v>2586</v>
      </c>
      <c r="F74" s="212" t="s">
        <v>2587</v>
      </c>
      <c r="G74" s="227" t="s">
        <v>2552</v>
      </c>
      <c r="H74" s="227" t="s">
        <v>2588</v>
      </c>
      <c r="I74" s="227" t="s">
        <v>2643</v>
      </c>
      <c r="J74" s="256" t="s">
        <v>202</v>
      </c>
      <c r="K74" s="215"/>
      <c r="L74" s="224"/>
      <c r="M74" s="224"/>
      <c r="N74" s="217"/>
      <c r="O74" s="210"/>
    </row>
    <row r="75">
      <c r="A75" s="212">
        <f t="shared" si="3"/>
        <v>73</v>
      </c>
      <c r="B75" s="220"/>
      <c r="C75" s="220"/>
      <c r="D75" s="220"/>
      <c r="E75" s="212"/>
      <c r="F75" s="212" t="s">
        <v>2596</v>
      </c>
      <c r="G75" s="224"/>
      <c r="H75" s="227" t="s">
        <v>2644</v>
      </c>
      <c r="I75" s="255" t="s">
        <v>2598</v>
      </c>
      <c r="J75" s="256" t="s">
        <v>202</v>
      </c>
      <c r="K75" s="215"/>
      <c r="L75" s="224"/>
      <c r="M75" s="224"/>
      <c r="N75" s="217"/>
      <c r="O75" s="210"/>
    </row>
    <row r="76">
      <c r="A76" s="212">
        <f t="shared" si="3"/>
        <v>74</v>
      </c>
      <c r="B76" s="220"/>
      <c r="C76" s="220"/>
      <c r="D76" s="220"/>
      <c r="E76" s="212"/>
      <c r="F76" s="212" t="s">
        <v>1945</v>
      </c>
      <c r="G76" s="217"/>
      <c r="H76" s="213" t="s">
        <v>2599</v>
      </c>
      <c r="I76" s="284" t="s">
        <v>2600</v>
      </c>
      <c r="J76" s="256" t="s">
        <v>202</v>
      </c>
      <c r="K76" s="215"/>
      <c r="L76" s="224"/>
      <c r="M76" s="224"/>
      <c r="N76" s="217"/>
      <c r="O76" s="210"/>
    </row>
    <row r="77">
      <c r="A77" s="212">
        <f t="shared" si="3"/>
        <v>75</v>
      </c>
      <c r="B77" s="220"/>
      <c r="C77" s="220"/>
      <c r="D77" s="39"/>
      <c r="E77" s="212"/>
      <c r="F77" s="212" t="s">
        <v>1973</v>
      </c>
      <c r="G77" s="217"/>
      <c r="H77" s="213" t="s">
        <v>1479</v>
      </c>
      <c r="I77" s="217" t="s">
        <v>2645</v>
      </c>
      <c r="J77" s="256" t="s">
        <v>202</v>
      </c>
      <c r="K77" s="215"/>
      <c r="L77" s="224"/>
      <c r="M77" s="224"/>
      <c r="N77" s="217"/>
      <c r="O77" s="210"/>
    </row>
    <row r="78">
      <c r="A78" s="212">
        <f t="shared" si="3"/>
        <v>76</v>
      </c>
      <c r="B78" s="220"/>
      <c r="C78" s="220"/>
      <c r="D78" s="225" t="s">
        <v>2305</v>
      </c>
      <c r="E78" s="212"/>
      <c r="F78" s="212" t="s">
        <v>613</v>
      </c>
      <c r="G78" s="227" t="s">
        <v>2552</v>
      </c>
      <c r="H78" s="213" t="s">
        <v>2605</v>
      </c>
      <c r="I78" s="217" t="s">
        <v>2646</v>
      </c>
      <c r="J78" s="256" t="s">
        <v>202</v>
      </c>
      <c r="K78" s="215"/>
      <c r="L78" s="226"/>
      <c r="M78" s="227"/>
      <c r="N78" s="217"/>
      <c r="O78" s="210"/>
    </row>
    <row r="79">
      <c r="A79" s="212">
        <f t="shared" si="3"/>
        <v>77</v>
      </c>
      <c r="B79" s="220"/>
      <c r="C79" s="39"/>
      <c r="D79" s="39"/>
      <c r="E79" s="212"/>
      <c r="F79" s="212" t="s">
        <v>613</v>
      </c>
      <c r="G79" s="227" t="s">
        <v>2552</v>
      </c>
      <c r="H79" s="213" t="s">
        <v>2605</v>
      </c>
      <c r="I79" s="255" t="s">
        <v>2607</v>
      </c>
      <c r="J79" s="256" t="s">
        <v>202</v>
      </c>
      <c r="K79" s="215"/>
      <c r="L79" s="224"/>
      <c r="M79" s="227"/>
      <c r="N79" s="217"/>
      <c r="O79" s="210"/>
    </row>
    <row r="80">
      <c r="A80" s="212">
        <f t="shared" si="3"/>
        <v>78</v>
      </c>
      <c r="B80" s="220"/>
      <c r="C80" s="225" t="s">
        <v>204</v>
      </c>
      <c r="D80" s="265" t="s">
        <v>92</v>
      </c>
      <c r="E80" s="212"/>
      <c r="F80" s="212" t="s">
        <v>613</v>
      </c>
      <c r="G80" s="224"/>
      <c r="H80" s="227" t="s">
        <v>2647</v>
      </c>
      <c r="I80" s="213" t="s">
        <v>2648</v>
      </c>
      <c r="J80" s="256" t="s">
        <v>204</v>
      </c>
      <c r="K80" s="215"/>
      <c r="L80" s="224"/>
      <c r="M80" s="224"/>
      <c r="N80" s="217"/>
      <c r="O80" s="210"/>
    </row>
    <row r="81">
      <c r="A81" s="212">
        <f t="shared" si="3"/>
        <v>79</v>
      </c>
      <c r="B81" s="220"/>
      <c r="C81" s="220"/>
      <c r="D81" s="212" t="s">
        <v>1942</v>
      </c>
      <c r="E81" s="212"/>
      <c r="F81" s="212" t="s">
        <v>613</v>
      </c>
      <c r="G81" s="227"/>
      <c r="H81" s="213" t="s">
        <v>1379</v>
      </c>
      <c r="I81" s="227" t="s">
        <v>2649</v>
      </c>
      <c r="J81" s="256" t="s">
        <v>204</v>
      </c>
      <c r="K81" s="215"/>
      <c r="L81" s="224"/>
      <c r="M81" s="224"/>
      <c r="N81" s="217"/>
      <c r="O81" s="210"/>
    </row>
    <row r="82">
      <c r="A82" s="212"/>
      <c r="B82" s="220"/>
      <c r="C82" s="220"/>
      <c r="D82" s="225" t="s">
        <v>2302</v>
      </c>
      <c r="E82" s="212"/>
      <c r="F82" s="212" t="s">
        <v>613</v>
      </c>
      <c r="G82" s="224"/>
      <c r="H82" s="227" t="s">
        <v>2303</v>
      </c>
      <c r="I82" s="227" t="s">
        <v>2650</v>
      </c>
      <c r="J82" s="256" t="s">
        <v>204</v>
      </c>
      <c r="K82" s="215"/>
      <c r="L82" s="224"/>
      <c r="M82" s="224"/>
      <c r="N82" s="217"/>
      <c r="O82" s="210"/>
    </row>
    <row r="83">
      <c r="A83" s="212">
        <f t="shared" ref="A83:A185" si="4">COUNTA($I$3:$I83)</f>
        <v>81</v>
      </c>
      <c r="B83" s="220"/>
      <c r="C83" s="220"/>
      <c r="D83" s="220"/>
      <c r="E83" s="212"/>
      <c r="F83" s="212" t="s">
        <v>2651</v>
      </c>
      <c r="G83" s="224"/>
      <c r="H83" s="213" t="s">
        <v>2652</v>
      </c>
      <c r="I83" s="227" t="s">
        <v>2653</v>
      </c>
      <c r="J83" s="256" t="s">
        <v>204</v>
      </c>
      <c r="K83" s="215"/>
      <c r="L83" s="224"/>
      <c r="M83" s="224"/>
      <c r="N83" s="217"/>
      <c r="O83" s="210"/>
    </row>
    <row r="84">
      <c r="A84" s="212">
        <f t="shared" si="4"/>
        <v>82</v>
      </c>
      <c r="B84" s="220"/>
      <c r="C84" s="220"/>
      <c r="D84" s="220"/>
      <c r="E84" s="212"/>
      <c r="F84" s="212" t="s">
        <v>1955</v>
      </c>
      <c r="G84" s="227" t="s">
        <v>2552</v>
      </c>
      <c r="H84" s="227" t="s">
        <v>2654</v>
      </c>
      <c r="I84" s="227" t="s">
        <v>2655</v>
      </c>
      <c r="J84" s="256" t="s">
        <v>204</v>
      </c>
      <c r="K84" s="215"/>
      <c r="L84" s="224"/>
      <c r="M84" s="224"/>
      <c r="N84" s="217"/>
      <c r="O84" s="210"/>
    </row>
    <row r="85">
      <c r="A85" s="212">
        <f t="shared" si="4"/>
        <v>83</v>
      </c>
      <c r="B85" s="220"/>
      <c r="C85" s="220"/>
      <c r="D85" s="220"/>
      <c r="E85" s="212"/>
      <c r="F85" s="212" t="s">
        <v>1955</v>
      </c>
      <c r="G85" s="227" t="s">
        <v>2552</v>
      </c>
      <c r="H85" s="227" t="s">
        <v>2656</v>
      </c>
      <c r="I85" s="227" t="s">
        <v>2657</v>
      </c>
      <c r="J85" s="256" t="s">
        <v>204</v>
      </c>
      <c r="K85" s="215"/>
      <c r="L85" s="224"/>
      <c r="M85" s="224"/>
      <c r="N85" s="217"/>
      <c r="O85" s="210"/>
    </row>
    <row r="86">
      <c r="A86" s="212">
        <f t="shared" si="4"/>
        <v>84</v>
      </c>
      <c r="B86" s="220"/>
      <c r="C86" s="220"/>
      <c r="D86" s="220"/>
      <c r="E86" s="212"/>
      <c r="F86" s="212" t="s">
        <v>2621</v>
      </c>
      <c r="G86" s="227" t="s">
        <v>2552</v>
      </c>
      <c r="H86" s="213" t="s">
        <v>2658</v>
      </c>
      <c r="I86" s="255" t="s">
        <v>2659</v>
      </c>
      <c r="J86" s="256" t="s">
        <v>204</v>
      </c>
      <c r="K86" s="215"/>
      <c r="L86" s="226"/>
      <c r="M86" s="224"/>
      <c r="N86" s="217"/>
      <c r="O86" s="210"/>
    </row>
    <row r="87">
      <c r="A87" s="212">
        <f t="shared" si="4"/>
        <v>85</v>
      </c>
      <c r="B87" s="220"/>
      <c r="C87" s="220"/>
      <c r="D87" s="220"/>
      <c r="E87" s="212"/>
      <c r="F87" s="212" t="s">
        <v>2621</v>
      </c>
      <c r="G87" s="227" t="s">
        <v>2552</v>
      </c>
      <c r="H87" s="227" t="s">
        <v>2660</v>
      </c>
      <c r="I87" s="227" t="s">
        <v>2661</v>
      </c>
      <c r="J87" s="256" t="s">
        <v>204</v>
      </c>
      <c r="K87" s="215"/>
      <c r="L87" s="226"/>
      <c r="M87" s="224"/>
      <c r="N87" s="217"/>
      <c r="O87" s="210"/>
    </row>
    <row r="88">
      <c r="A88" s="212">
        <f t="shared" si="4"/>
        <v>86</v>
      </c>
      <c r="B88" s="220"/>
      <c r="C88" s="220"/>
      <c r="D88" s="220"/>
      <c r="E88" s="212"/>
      <c r="F88" s="212" t="s">
        <v>2621</v>
      </c>
      <c r="G88" s="227" t="s">
        <v>2552</v>
      </c>
      <c r="H88" s="227" t="s">
        <v>2662</v>
      </c>
      <c r="I88" s="217" t="s">
        <v>2663</v>
      </c>
      <c r="J88" s="256" t="s">
        <v>204</v>
      </c>
      <c r="K88" s="215"/>
      <c r="L88" s="226"/>
      <c r="M88" s="224"/>
      <c r="N88" s="217"/>
      <c r="O88" s="210"/>
    </row>
    <row r="89">
      <c r="A89" s="212">
        <f t="shared" si="4"/>
        <v>87</v>
      </c>
      <c r="B89" s="220"/>
      <c r="C89" s="220"/>
      <c r="D89" s="220"/>
      <c r="E89" s="212"/>
      <c r="F89" s="212" t="s">
        <v>2627</v>
      </c>
      <c r="G89" s="227" t="s">
        <v>2552</v>
      </c>
      <c r="H89" s="227" t="s">
        <v>2628</v>
      </c>
      <c r="I89" s="217" t="s">
        <v>2629</v>
      </c>
      <c r="J89" s="256" t="s">
        <v>204</v>
      </c>
      <c r="K89" s="215"/>
      <c r="L89" s="224"/>
      <c r="M89" s="224"/>
      <c r="N89" s="217"/>
      <c r="O89" s="210"/>
    </row>
    <row r="90">
      <c r="A90" s="212">
        <f t="shared" si="4"/>
        <v>88</v>
      </c>
      <c r="B90" s="220"/>
      <c r="C90" s="220"/>
      <c r="D90" s="220"/>
      <c r="E90" s="212"/>
      <c r="F90" s="212" t="s">
        <v>2664</v>
      </c>
      <c r="G90" s="224"/>
      <c r="H90" s="213" t="s">
        <v>2665</v>
      </c>
      <c r="I90" s="227" t="s">
        <v>2666</v>
      </c>
      <c r="J90" s="256" t="s">
        <v>204</v>
      </c>
      <c r="K90" s="215"/>
      <c r="L90" s="224"/>
      <c r="M90" s="224"/>
      <c r="N90" s="217"/>
      <c r="O90" s="210"/>
    </row>
    <row r="91">
      <c r="A91" s="212">
        <f t="shared" si="4"/>
        <v>89</v>
      </c>
      <c r="B91" s="220"/>
      <c r="C91" s="220"/>
      <c r="D91" s="220"/>
      <c r="E91" s="212"/>
      <c r="F91" s="212" t="s">
        <v>2667</v>
      </c>
      <c r="G91" s="227"/>
      <c r="H91" s="213" t="s">
        <v>2668</v>
      </c>
      <c r="I91" s="227" t="s">
        <v>2669</v>
      </c>
      <c r="J91" s="256" t="s">
        <v>204</v>
      </c>
      <c r="K91" s="215"/>
      <c r="L91" s="226"/>
      <c r="M91" s="224"/>
      <c r="N91" s="217"/>
      <c r="O91" s="210"/>
    </row>
    <row r="92">
      <c r="A92" s="212">
        <f t="shared" si="4"/>
        <v>90</v>
      </c>
      <c r="B92" s="220"/>
      <c r="C92" s="220"/>
      <c r="D92" s="220"/>
      <c r="E92" s="212"/>
      <c r="F92" s="212" t="s">
        <v>2670</v>
      </c>
      <c r="G92" s="224"/>
      <c r="H92" s="213" t="s">
        <v>2671</v>
      </c>
      <c r="I92" s="227" t="s">
        <v>2672</v>
      </c>
      <c r="J92" s="256" t="s">
        <v>204</v>
      </c>
      <c r="K92" s="215"/>
      <c r="L92" s="224"/>
      <c r="M92" s="224"/>
      <c r="N92" s="217"/>
      <c r="O92" s="210"/>
    </row>
    <row r="93">
      <c r="A93" s="212">
        <f t="shared" si="4"/>
        <v>91</v>
      </c>
      <c r="B93" s="220"/>
      <c r="C93" s="220"/>
      <c r="D93" s="220"/>
      <c r="E93" s="212"/>
      <c r="F93" s="212" t="s">
        <v>2673</v>
      </c>
      <c r="G93" s="224"/>
      <c r="H93" s="213" t="s">
        <v>2674</v>
      </c>
      <c r="I93" s="227" t="s">
        <v>2675</v>
      </c>
      <c r="J93" s="256" t="s">
        <v>204</v>
      </c>
      <c r="K93" s="215"/>
      <c r="L93" s="224"/>
      <c r="M93" s="224"/>
      <c r="N93" s="217"/>
      <c r="O93" s="210"/>
    </row>
    <row r="94">
      <c r="A94" s="212">
        <f t="shared" si="4"/>
        <v>92</v>
      </c>
      <c r="B94" s="220"/>
      <c r="C94" s="220"/>
      <c r="D94" s="220"/>
      <c r="E94" s="212"/>
      <c r="F94" s="212" t="s">
        <v>2676</v>
      </c>
      <c r="G94" s="224"/>
      <c r="H94" s="213" t="s">
        <v>2677</v>
      </c>
      <c r="I94" s="227" t="s">
        <v>2678</v>
      </c>
      <c r="J94" s="256" t="s">
        <v>204</v>
      </c>
      <c r="K94" s="215"/>
      <c r="L94" s="224"/>
      <c r="M94" s="224"/>
      <c r="N94" s="217"/>
      <c r="O94" s="210"/>
    </row>
    <row r="95">
      <c r="A95" s="212">
        <f t="shared" si="4"/>
        <v>93</v>
      </c>
      <c r="B95" s="220"/>
      <c r="C95" s="220"/>
      <c r="D95" s="220"/>
      <c r="E95" s="212"/>
      <c r="F95" s="212" t="s">
        <v>2630</v>
      </c>
      <c r="G95" s="227"/>
      <c r="H95" s="213" t="s">
        <v>2631</v>
      </c>
      <c r="I95" s="227" t="s">
        <v>2632</v>
      </c>
      <c r="J95" s="256" t="s">
        <v>204</v>
      </c>
      <c r="K95" s="215"/>
      <c r="L95" s="224"/>
      <c r="M95" s="224"/>
      <c r="N95" s="217"/>
      <c r="O95" s="210"/>
    </row>
    <row r="96">
      <c r="A96" s="212">
        <f t="shared" si="4"/>
        <v>94</v>
      </c>
      <c r="B96" s="220"/>
      <c r="C96" s="220"/>
      <c r="D96" s="220"/>
      <c r="E96" s="212"/>
      <c r="F96" s="212" t="s">
        <v>2630</v>
      </c>
      <c r="G96" s="227"/>
      <c r="H96" s="213" t="s">
        <v>2633</v>
      </c>
      <c r="I96" s="227" t="s">
        <v>2632</v>
      </c>
      <c r="J96" s="256" t="s">
        <v>204</v>
      </c>
      <c r="K96" s="215"/>
      <c r="L96" s="226"/>
      <c r="M96" s="224"/>
      <c r="N96" s="217"/>
      <c r="O96" s="210"/>
    </row>
    <row r="97">
      <c r="A97" s="212">
        <f t="shared" si="4"/>
        <v>95</v>
      </c>
      <c r="B97" s="220"/>
      <c r="C97" s="220"/>
      <c r="D97" s="220"/>
      <c r="E97" s="212"/>
      <c r="F97" s="212" t="s">
        <v>2634</v>
      </c>
      <c r="G97" s="227"/>
      <c r="H97" s="213" t="s">
        <v>2635</v>
      </c>
      <c r="I97" s="227" t="s">
        <v>2679</v>
      </c>
      <c r="J97" s="256" t="s">
        <v>204</v>
      </c>
      <c r="K97" s="215"/>
      <c r="L97" s="224"/>
      <c r="M97" s="224"/>
      <c r="N97" s="217"/>
      <c r="O97" s="210"/>
    </row>
    <row r="98">
      <c r="A98" s="212">
        <f t="shared" si="4"/>
        <v>96</v>
      </c>
      <c r="B98" s="220"/>
      <c r="C98" s="220"/>
      <c r="D98" s="220"/>
      <c r="E98" s="212"/>
      <c r="F98" s="212" t="s">
        <v>2587</v>
      </c>
      <c r="G98" s="227"/>
      <c r="H98" s="227" t="s">
        <v>2588</v>
      </c>
      <c r="I98" s="227" t="s">
        <v>2680</v>
      </c>
      <c r="J98" s="256" t="s">
        <v>204</v>
      </c>
      <c r="K98" s="215"/>
      <c r="L98" s="226"/>
      <c r="M98" s="224"/>
      <c r="N98" s="217"/>
      <c r="O98" s="210"/>
    </row>
    <row r="99">
      <c r="A99" s="212">
        <f t="shared" si="4"/>
        <v>97</v>
      </c>
      <c r="B99" s="220"/>
      <c r="C99" s="220"/>
      <c r="D99" s="220"/>
      <c r="E99" s="212"/>
      <c r="F99" s="212" t="s">
        <v>1945</v>
      </c>
      <c r="G99" s="227"/>
      <c r="H99" s="227" t="s">
        <v>2681</v>
      </c>
      <c r="I99" s="255" t="s">
        <v>2682</v>
      </c>
      <c r="J99" s="256" t="s">
        <v>204</v>
      </c>
      <c r="K99" s="215"/>
      <c r="L99" s="224"/>
      <c r="M99" s="224"/>
      <c r="N99" s="217"/>
      <c r="O99" s="210"/>
    </row>
    <row r="100">
      <c r="A100" s="212">
        <f t="shared" si="4"/>
        <v>98</v>
      </c>
      <c r="B100" s="220"/>
      <c r="C100" s="220"/>
      <c r="D100" s="220"/>
      <c r="E100" s="212"/>
      <c r="F100" s="212" t="s">
        <v>2596</v>
      </c>
      <c r="G100" s="224"/>
      <c r="H100" s="227" t="s">
        <v>2683</v>
      </c>
      <c r="I100" s="255" t="s">
        <v>2598</v>
      </c>
      <c r="J100" s="256" t="s">
        <v>204</v>
      </c>
      <c r="K100" s="215"/>
      <c r="L100" s="226"/>
      <c r="M100" s="224"/>
      <c r="N100" s="217"/>
      <c r="O100" s="210"/>
    </row>
    <row r="101">
      <c r="A101" s="212">
        <f t="shared" si="4"/>
        <v>99</v>
      </c>
      <c r="B101" s="220"/>
      <c r="C101" s="220"/>
      <c r="D101" s="39"/>
      <c r="E101" s="212"/>
      <c r="F101" s="212" t="s">
        <v>1973</v>
      </c>
      <c r="G101" s="217"/>
      <c r="H101" s="213" t="s">
        <v>1479</v>
      </c>
      <c r="I101" s="217" t="s">
        <v>2684</v>
      </c>
      <c r="J101" s="256" t="s">
        <v>204</v>
      </c>
      <c r="K101" s="215"/>
      <c r="L101" s="226"/>
      <c r="M101" s="224"/>
      <c r="N101" s="217"/>
      <c r="O101" s="210"/>
    </row>
    <row r="102">
      <c r="A102" s="212">
        <f t="shared" si="4"/>
        <v>100</v>
      </c>
      <c r="B102" s="220"/>
      <c r="C102" s="220"/>
      <c r="D102" s="225" t="s">
        <v>2305</v>
      </c>
      <c r="E102" s="212"/>
      <c r="F102" s="212" t="s">
        <v>613</v>
      </c>
      <c r="G102" s="227" t="s">
        <v>2552</v>
      </c>
      <c r="H102" s="213" t="s">
        <v>2685</v>
      </c>
      <c r="I102" s="217" t="s">
        <v>2686</v>
      </c>
      <c r="J102" s="256" t="s">
        <v>204</v>
      </c>
      <c r="K102" s="215"/>
      <c r="L102" s="224"/>
      <c r="M102" s="224"/>
      <c r="N102" s="217"/>
      <c r="O102" s="210"/>
    </row>
    <row r="103">
      <c r="A103" s="212">
        <f t="shared" si="4"/>
        <v>101</v>
      </c>
      <c r="B103" s="39"/>
      <c r="C103" s="39"/>
      <c r="D103" s="39"/>
      <c r="E103" s="212"/>
      <c r="F103" s="212" t="s">
        <v>613</v>
      </c>
      <c r="G103" s="227" t="s">
        <v>2552</v>
      </c>
      <c r="H103" s="213" t="s">
        <v>2685</v>
      </c>
      <c r="I103" s="255" t="s">
        <v>2607</v>
      </c>
      <c r="J103" s="256" t="s">
        <v>204</v>
      </c>
      <c r="K103" s="215"/>
      <c r="L103" s="224"/>
      <c r="M103" s="224"/>
      <c r="N103" s="217"/>
      <c r="O103" s="210"/>
    </row>
    <row r="104">
      <c r="A104" s="212">
        <f t="shared" si="4"/>
        <v>101</v>
      </c>
      <c r="B104" s="228"/>
      <c r="C104" s="212"/>
      <c r="D104" s="212"/>
      <c r="E104" s="212"/>
      <c r="F104" s="212"/>
      <c r="G104" s="224"/>
      <c r="H104" s="227"/>
      <c r="I104" s="227"/>
      <c r="J104" s="259"/>
      <c r="K104" s="215"/>
      <c r="L104" s="226"/>
      <c r="M104" s="224"/>
      <c r="N104" s="217"/>
      <c r="O104" s="210"/>
    </row>
    <row r="105">
      <c r="A105" s="212">
        <f t="shared" si="4"/>
        <v>101</v>
      </c>
      <c r="B105" s="228"/>
      <c r="C105" s="212"/>
      <c r="D105" s="212"/>
      <c r="E105" s="212"/>
      <c r="F105" s="212"/>
      <c r="G105" s="224"/>
      <c r="H105" s="227"/>
      <c r="I105" s="227"/>
      <c r="J105" s="259"/>
      <c r="K105" s="215"/>
      <c r="L105" s="224"/>
      <c r="M105" s="224"/>
      <c r="N105" s="217"/>
      <c r="O105" s="210"/>
    </row>
    <row r="106">
      <c r="A106" s="212">
        <f t="shared" si="4"/>
        <v>101</v>
      </c>
      <c r="B106" s="228"/>
      <c r="C106" s="212"/>
      <c r="D106" s="212"/>
      <c r="E106" s="212"/>
      <c r="F106" s="212"/>
      <c r="G106" s="224"/>
      <c r="H106" s="227"/>
      <c r="I106" s="227"/>
      <c r="J106" s="259"/>
      <c r="K106" s="215"/>
      <c r="L106" s="224"/>
      <c r="M106" s="224"/>
      <c r="N106" s="217"/>
      <c r="O106" s="210"/>
    </row>
    <row r="107">
      <c r="A107" s="212">
        <f t="shared" si="4"/>
        <v>101</v>
      </c>
      <c r="B107" s="228"/>
      <c r="C107" s="212"/>
      <c r="D107" s="212"/>
      <c r="E107" s="212"/>
      <c r="F107" s="212"/>
      <c r="G107" s="224"/>
      <c r="H107" s="227"/>
      <c r="I107" s="227"/>
      <c r="J107" s="259"/>
      <c r="K107" s="215"/>
      <c r="L107" s="226"/>
      <c r="M107" s="227"/>
      <c r="N107" s="217"/>
      <c r="O107" s="210"/>
    </row>
    <row r="108">
      <c r="A108" s="212">
        <f t="shared" si="4"/>
        <v>101</v>
      </c>
      <c r="B108" s="228"/>
      <c r="C108" s="212"/>
      <c r="D108" s="212"/>
      <c r="E108" s="212"/>
      <c r="F108" s="212"/>
      <c r="G108" s="273"/>
      <c r="H108" s="274"/>
      <c r="I108" s="257"/>
      <c r="J108" s="275"/>
      <c r="K108" s="215"/>
      <c r="L108" s="224"/>
      <c r="M108" s="224"/>
      <c r="N108" s="217"/>
      <c r="O108" s="210"/>
    </row>
    <row r="109">
      <c r="A109" s="212">
        <f t="shared" si="4"/>
        <v>101</v>
      </c>
      <c r="B109" s="228"/>
      <c r="C109" s="212"/>
      <c r="D109" s="212"/>
      <c r="E109" s="212"/>
      <c r="F109" s="212"/>
      <c r="G109" s="224"/>
      <c r="H109" s="227"/>
      <c r="I109" s="213"/>
      <c r="J109" s="259"/>
      <c r="K109" s="215"/>
      <c r="L109" s="224"/>
      <c r="M109" s="224"/>
      <c r="N109" s="227"/>
      <c r="O109" s="210"/>
    </row>
    <row r="110">
      <c r="A110" s="212">
        <f t="shared" si="4"/>
        <v>101</v>
      </c>
      <c r="B110" s="228"/>
      <c r="C110" s="212"/>
      <c r="D110" s="212"/>
      <c r="E110" s="212"/>
      <c r="F110" s="212"/>
      <c r="G110" s="224"/>
      <c r="H110" s="227"/>
      <c r="I110" s="271"/>
      <c r="J110" s="259"/>
      <c r="K110" s="215"/>
      <c r="L110" s="224"/>
      <c r="M110" s="224"/>
      <c r="N110" s="227"/>
      <c r="O110" s="210"/>
    </row>
    <row r="111">
      <c r="A111" s="212">
        <f t="shared" si="4"/>
        <v>101</v>
      </c>
      <c r="B111" s="228"/>
      <c r="C111" s="212"/>
      <c r="D111" s="212"/>
      <c r="E111" s="212"/>
      <c r="F111" s="212"/>
      <c r="G111" s="224"/>
      <c r="H111" s="227"/>
      <c r="I111" s="227"/>
      <c r="J111" s="259"/>
      <c r="K111" s="215"/>
      <c r="L111" s="224"/>
      <c r="M111" s="224"/>
      <c r="N111" s="227"/>
      <c r="O111" s="210"/>
    </row>
    <row r="112">
      <c r="A112" s="212">
        <f t="shared" si="4"/>
        <v>101</v>
      </c>
      <c r="B112" s="228"/>
      <c r="C112" s="212"/>
      <c r="D112" s="212"/>
      <c r="E112" s="212"/>
      <c r="F112" s="212"/>
      <c r="G112" s="227"/>
      <c r="H112" s="227"/>
      <c r="I112" s="227"/>
      <c r="J112" s="259"/>
      <c r="K112" s="215"/>
      <c r="L112" s="224"/>
      <c r="M112" s="224"/>
      <c r="N112" s="227"/>
      <c r="O112" s="210"/>
    </row>
    <row r="113">
      <c r="A113" s="212">
        <f t="shared" si="4"/>
        <v>101</v>
      </c>
      <c r="B113" s="228"/>
      <c r="C113" s="212"/>
      <c r="D113" s="212"/>
      <c r="E113" s="212"/>
      <c r="F113" s="212"/>
      <c r="G113" s="227"/>
      <c r="H113" s="227"/>
      <c r="I113" s="227"/>
      <c r="J113" s="259"/>
      <c r="K113" s="215"/>
      <c r="L113" s="224"/>
      <c r="M113" s="224"/>
      <c r="N113" s="227"/>
      <c r="O113" s="210"/>
    </row>
    <row r="114">
      <c r="A114" s="212">
        <f t="shared" si="4"/>
        <v>101</v>
      </c>
      <c r="B114" s="228"/>
      <c r="C114" s="212"/>
      <c r="D114" s="212"/>
      <c r="E114" s="212"/>
      <c r="F114" s="212"/>
      <c r="G114" s="227"/>
      <c r="H114" s="227"/>
      <c r="I114" s="227"/>
      <c r="J114" s="259"/>
      <c r="K114" s="215"/>
      <c r="L114" s="224"/>
      <c r="M114" s="224"/>
      <c r="N114" s="227"/>
      <c r="O114" s="210"/>
    </row>
    <row r="115">
      <c r="A115" s="212">
        <f t="shared" si="4"/>
        <v>101</v>
      </c>
      <c r="B115" s="228"/>
      <c r="C115" s="212"/>
      <c r="D115" s="212"/>
      <c r="E115" s="212"/>
      <c r="F115" s="212"/>
      <c r="G115" s="224"/>
      <c r="H115" s="227"/>
      <c r="I115" s="227"/>
      <c r="J115" s="259"/>
      <c r="K115" s="215"/>
      <c r="L115" s="224"/>
      <c r="M115" s="224"/>
      <c r="N115" s="227"/>
      <c r="O115" s="210"/>
    </row>
    <row r="116">
      <c r="A116" s="212">
        <f t="shared" si="4"/>
        <v>101</v>
      </c>
      <c r="B116" s="228"/>
      <c r="C116" s="212"/>
      <c r="D116" s="212"/>
      <c r="E116" s="212"/>
      <c r="F116" s="212"/>
      <c r="G116" s="227"/>
      <c r="H116" s="227"/>
      <c r="I116" s="227"/>
      <c r="J116" s="259"/>
      <c r="K116" s="215"/>
      <c r="L116" s="224"/>
      <c r="M116" s="224"/>
      <c r="N116" s="227"/>
      <c r="O116" s="210"/>
    </row>
    <row r="117">
      <c r="A117" s="212">
        <f t="shared" si="4"/>
        <v>101</v>
      </c>
      <c r="B117" s="228"/>
      <c r="C117" s="212"/>
      <c r="D117" s="212"/>
      <c r="E117" s="212"/>
      <c r="F117" s="212"/>
      <c r="G117" s="227"/>
      <c r="H117" s="227"/>
      <c r="I117" s="227"/>
      <c r="J117" s="259"/>
      <c r="K117" s="215"/>
      <c r="L117" s="224"/>
      <c r="M117" s="224"/>
      <c r="N117" s="227"/>
      <c r="O117" s="210"/>
    </row>
    <row r="118">
      <c r="A118" s="212">
        <f t="shared" si="4"/>
        <v>101</v>
      </c>
      <c r="B118" s="228"/>
      <c r="C118" s="212"/>
      <c r="D118" s="212"/>
      <c r="E118" s="212"/>
      <c r="F118" s="212"/>
      <c r="G118" s="227"/>
      <c r="H118" s="227"/>
      <c r="I118" s="227"/>
      <c r="J118" s="259"/>
      <c r="K118" s="215"/>
      <c r="L118" s="224"/>
      <c r="M118" s="224"/>
      <c r="N118" s="227"/>
      <c r="O118" s="210"/>
    </row>
    <row r="119">
      <c r="A119" s="212">
        <f t="shared" si="4"/>
        <v>101</v>
      </c>
      <c r="B119" s="228"/>
      <c r="C119" s="212"/>
      <c r="D119" s="212"/>
      <c r="E119" s="212"/>
      <c r="F119" s="212"/>
      <c r="G119" s="224"/>
      <c r="H119" s="227"/>
      <c r="I119" s="227"/>
      <c r="J119" s="259"/>
      <c r="K119" s="215"/>
      <c r="L119" s="226"/>
      <c r="M119" s="224"/>
      <c r="N119" s="227"/>
      <c r="O119" s="210"/>
    </row>
    <row r="120">
      <c r="A120" s="212">
        <f t="shared" si="4"/>
        <v>101</v>
      </c>
      <c r="B120" s="228"/>
      <c r="C120" s="212"/>
      <c r="D120" s="212"/>
      <c r="E120" s="212"/>
      <c r="F120" s="212"/>
      <c r="G120" s="227"/>
      <c r="H120" s="213"/>
      <c r="I120" s="227"/>
      <c r="J120" s="259"/>
      <c r="K120" s="215"/>
      <c r="L120" s="226"/>
      <c r="M120" s="224"/>
      <c r="N120" s="227"/>
      <c r="O120" s="210"/>
    </row>
    <row r="121">
      <c r="A121" s="212">
        <f t="shared" si="4"/>
        <v>101</v>
      </c>
      <c r="B121" s="228"/>
      <c r="C121" s="212"/>
      <c r="D121" s="212"/>
      <c r="E121" s="212"/>
      <c r="F121" s="212"/>
      <c r="G121" s="227"/>
      <c r="H121" s="213"/>
      <c r="I121" s="227"/>
      <c r="J121" s="259"/>
      <c r="K121" s="215"/>
      <c r="L121" s="226"/>
      <c r="M121" s="224"/>
      <c r="N121" s="227"/>
      <c r="O121" s="210"/>
    </row>
    <row r="122">
      <c r="A122" s="212">
        <f t="shared" si="4"/>
        <v>101</v>
      </c>
      <c r="B122" s="228"/>
      <c r="C122" s="212"/>
      <c r="D122" s="212"/>
      <c r="E122" s="212"/>
      <c r="F122" s="212"/>
      <c r="G122" s="224"/>
      <c r="H122" s="227"/>
      <c r="I122" s="227"/>
      <c r="J122" s="259"/>
      <c r="K122" s="215"/>
      <c r="L122" s="224"/>
      <c r="M122" s="224"/>
      <c r="N122" s="227"/>
      <c r="O122" s="210"/>
    </row>
    <row r="123">
      <c r="A123" s="212">
        <f t="shared" si="4"/>
        <v>101</v>
      </c>
      <c r="B123" s="228"/>
      <c r="C123" s="212"/>
      <c r="D123" s="212"/>
      <c r="E123" s="212"/>
      <c r="F123" s="212"/>
      <c r="G123" s="224"/>
      <c r="H123" s="227"/>
      <c r="I123" s="227"/>
      <c r="J123" s="259"/>
      <c r="K123" s="215"/>
      <c r="L123" s="224"/>
      <c r="M123" s="224"/>
      <c r="N123" s="227"/>
      <c r="O123" s="210"/>
    </row>
    <row r="124">
      <c r="A124" s="212">
        <f t="shared" si="4"/>
        <v>101</v>
      </c>
      <c r="B124" s="228"/>
      <c r="C124" s="212"/>
      <c r="D124" s="212"/>
      <c r="E124" s="212"/>
      <c r="F124" s="212"/>
      <c r="G124" s="224"/>
      <c r="H124" s="227"/>
      <c r="I124" s="227"/>
      <c r="J124" s="259"/>
      <c r="K124" s="215"/>
      <c r="L124" s="224"/>
      <c r="M124" s="224"/>
      <c r="N124" s="227"/>
      <c r="O124" s="210"/>
    </row>
    <row r="125">
      <c r="A125" s="212">
        <f t="shared" si="4"/>
        <v>101</v>
      </c>
      <c r="B125" s="228"/>
      <c r="C125" s="212"/>
      <c r="D125" s="212"/>
      <c r="E125" s="212"/>
      <c r="F125" s="212"/>
      <c r="G125" s="224"/>
      <c r="H125" s="227"/>
      <c r="I125" s="227"/>
      <c r="J125" s="259"/>
      <c r="K125" s="215"/>
      <c r="L125" s="224"/>
      <c r="M125" s="224"/>
      <c r="N125" s="227"/>
      <c r="O125" s="210"/>
    </row>
    <row r="126">
      <c r="A126" s="212">
        <f t="shared" si="4"/>
        <v>101</v>
      </c>
      <c r="B126" s="228"/>
      <c r="C126" s="212"/>
      <c r="D126" s="212"/>
      <c r="E126" s="212"/>
      <c r="F126" s="212"/>
      <c r="G126" s="224"/>
      <c r="H126" s="227"/>
      <c r="I126" s="227"/>
      <c r="J126" s="259"/>
      <c r="K126" s="215"/>
      <c r="L126" s="224"/>
      <c r="M126" s="224"/>
      <c r="N126" s="227"/>
      <c r="O126" s="210"/>
    </row>
    <row r="127">
      <c r="A127" s="212">
        <f t="shared" si="4"/>
        <v>101</v>
      </c>
      <c r="B127" s="228"/>
      <c r="C127" s="212"/>
      <c r="D127" s="212"/>
      <c r="E127" s="212"/>
      <c r="F127" s="212"/>
      <c r="G127" s="227"/>
      <c r="H127" s="227"/>
      <c r="I127" s="227"/>
      <c r="J127" s="259"/>
      <c r="K127" s="215"/>
      <c r="L127" s="224"/>
      <c r="M127" s="224"/>
      <c r="N127" s="227"/>
      <c r="O127" s="210"/>
    </row>
    <row r="128">
      <c r="A128" s="212">
        <f t="shared" si="4"/>
        <v>101</v>
      </c>
      <c r="B128" s="228"/>
      <c r="C128" s="212"/>
      <c r="D128" s="212"/>
      <c r="E128" s="212"/>
      <c r="F128" s="212"/>
      <c r="G128" s="227"/>
      <c r="H128" s="227"/>
      <c r="I128" s="227"/>
      <c r="J128" s="259"/>
      <c r="K128" s="215"/>
      <c r="L128" s="224"/>
      <c r="M128" s="224"/>
      <c r="N128" s="227"/>
      <c r="O128" s="210"/>
    </row>
    <row r="129">
      <c r="A129" s="212">
        <f t="shared" si="4"/>
        <v>101</v>
      </c>
      <c r="B129" s="228"/>
      <c r="C129" s="212"/>
      <c r="D129" s="212"/>
      <c r="E129" s="212"/>
      <c r="F129" s="212"/>
      <c r="G129" s="227"/>
      <c r="H129" s="227"/>
      <c r="I129" s="227"/>
      <c r="J129" s="259"/>
      <c r="K129" s="215"/>
      <c r="L129" s="224"/>
      <c r="M129" s="224"/>
      <c r="N129" s="227"/>
      <c r="O129" s="210"/>
    </row>
    <row r="130">
      <c r="A130" s="212">
        <f t="shared" si="4"/>
        <v>101</v>
      </c>
      <c r="B130" s="228"/>
      <c r="C130" s="212"/>
      <c r="D130" s="212"/>
      <c r="E130" s="212"/>
      <c r="F130" s="212"/>
      <c r="G130" s="224"/>
      <c r="H130" s="227"/>
      <c r="I130" s="227"/>
      <c r="J130" s="259"/>
      <c r="K130" s="215"/>
      <c r="L130" s="224"/>
      <c r="M130" s="224"/>
      <c r="N130" s="227"/>
      <c r="O130" s="210"/>
    </row>
    <row r="131">
      <c r="A131" s="212">
        <f t="shared" si="4"/>
        <v>101</v>
      </c>
      <c r="B131" s="228"/>
      <c r="C131" s="212"/>
      <c r="D131" s="212"/>
      <c r="E131" s="212"/>
      <c r="F131" s="212"/>
      <c r="G131" s="227"/>
      <c r="H131" s="227"/>
      <c r="I131" s="227"/>
      <c r="J131" s="259"/>
      <c r="K131" s="215"/>
      <c r="L131" s="224"/>
      <c r="M131" s="224"/>
      <c r="N131" s="227"/>
      <c r="O131" s="210"/>
    </row>
    <row r="132">
      <c r="A132" s="212">
        <f t="shared" si="4"/>
        <v>101</v>
      </c>
      <c r="B132" s="228"/>
      <c r="C132" s="212"/>
      <c r="D132" s="212"/>
      <c r="E132" s="212"/>
      <c r="F132" s="212"/>
      <c r="G132" s="227"/>
      <c r="H132" s="227"/>
      <c r="I132" s="227"/>
      <c r="J132" s="259"/>
      <c r="K132" s="215"/>
      <c r="L132" s="224"/>
      <c r="M132" s="224"/>
      <c r="N132" s="227"/>
      <c r="O132" s="210"/>
    </row>
    <row r="133">
      <c r="A133" s="212">
        <f t="shared" si="4"/>
        <v>101</v>
      </c>
      <c r="B133" s="228"/>
      <c r="C133" s="212"/>
      <c r="D133" s="212"/>
      <c r="E133" s="212"/>
      <c r="F133" s="212"/>
      <c r="G133" s="273"/>
      <c r="H133" s="257"/>
      <c r="I133" s="257"/>
      <c r="J133" s="259"/>
      <c r="K133" s="215"/>
      <c r="L133" s="224"/>
      <c r="M133" s="224"/>
      <c r="N133" s="227"/>
      <c r="O133" s="210"/>
    </row>
    <row r="134">
      <c r="A134" s="212">
        <f t="shared" si="4"/>
        <v>101</v>
      </c>
      <c r="B134" s="228"/>
      <c r="C134" s="212"/>
      <c r="D134" s="212"/>
      <c r="E134" s="212"/>
      <c r="F134" s="212"/>
      <c r="G134" s="257"/>
      <c r="H134" s="257"/>
      <c r="I134" s="257"/>
      <c r="J134" s="259"/>
      <c r="K134" s="215"/>
      <c r="L134" s="224"/>
      <c r="M134" s="224"/>
      <c r="N134" s="227"/>
      <c r="O134" s="210"/>
    </row>
    <row r="135">
      <c r="A135" s="212">
        <f t="shared" si="4"/>
        <v>101</v>
      </c>
      <c r="B135" s="228"/>
      <c r="C135" s="212"/>
      <c r="D135" s="212"/>
      <c r="E135" s="212"/>
      <c r="F135" s="212"/>
      <c r="G135" s="257"/>
      <c r="H135" s="257"/>
      <c r="I135" s="274"/>
      <c r="J135" s="259"/>
      <c r="K135" s="215"/>
      <c r="L135" s="224"/>
      <c r="M135" s="224"/>
      <c r="N135" s="227"/>
      <c r="O135" s="210"/>
    </row>
    <row r="136">
      <c r="A136" s="212">
        <f t="shared" si="4"/>
        <v>101</v>
      </c>
      <c r="B136" s="228"/>
      <c r="C136" s="212"/>
      <c r="D136" s="212"/>
      <c r="E136" s="212"/>
      <c r="F136" s="212"/>
      <c r="G136" s="227"/>
      <c r="H136" s="227"/>
      <c r="I136" s="227"/>
      <c r="J136" s="259"/>
      <c r="K136" s="215"/>
      <c r="L136" s="224"/>
      <c r="M136" s="224"/>
      <c r="N136" s="227"/>
      <c r="O136" s="210"/>
    </row>
    <row r="137">
      <c r="A137" s="212">
        <f t="shared" si="4"/>
        <v>101</v>
      </c>
      <c r="B137" s="228"/>
      <c r="C137" s="212"/>
      <c r="D137" s="212"/>
      <c r="E137" s="212"/>
      <c r="F137" s="212"/>
      <c r="G137" s="224"/>
      <c r="H137" s="227"/>
      <c r="I137" s="227"/>
      <c r="J137" s="259"/>
      <c r="K137" s="215"/>
      <c r="L137" s="224"/>
      <c r="M137" s="224"/>
      <c r="N137" s="227"/>
      <c r="O137" s="210"/>
    </row>
    <row r="138">
      <c r="A138" s="212">
        <f t="shared" si="4"/>
        <v>101</v>
      </c>
      <c r="B138" s="228"/>
      <c r="C138" s="212"/>
      <c r="D138" s="212"/>
      <c r="E138" s="212"/>
      <c r="F138" s="212"/>
      <c r="G138" s="224"/>
      <c r="H138" s="227"/>
      <c r="I138" s="227"/>
      <c r="J138" s="259"/>
      <c r="K138" s="215"/>
      <c r="L138" s="224"/>
      <c r="M138" s="224"/>
      <c r="N138" s="227"/>
      <c r="O138" s="210"/>
    </row>
    <row r="139">
      <c r="A139" s="212">
        <f t="shared" si="4"/>
        <v>101</v>
      </c>
      <c r="B139" s="228"/>
      <c r="C139" s="212"/>
      <c r="D139" s="212"/>
      <c r="E139" s="212"/>
      <c r="F139" s="212"/>
      <c r="G139" s="224"/>
      <c r="H139" s="227"/>
      <c r="I139" s="271"/>
      <c r="J139" s="259"/>
      <c r="K139" s="215"/>
      <c r="L139" s="224"/>
      <c r="M139" s="224"/>
      <c r="N139" s="227"/>
      <c r="O139" s="210"/>
    </row>
    <row r="140">
      <c r="A140" s="212">
        <f t="shared" si="4"/>
        <v>101</v>
      </c>
      <c r="B140" s="228"/>
      <c r="C140" s="212"/>
      <c r="D140" s="212"/>
      <c r="E140" s="212"/>
      <c r="F140" s="212"/>
      <c r="G140" s="224"/>
      <c r="H140" s="227"/>
      <c r="I140" s="227"/>
      <c r="J140" s="259"/>
      <c r="K140" s="215"/>
      <c r="L140" s="224"/>
      <c r="M140" s="224"/>
      <c r="N140" s="227"/>
      <c r="O140" s="210"/>
    </row>
    <row r="141">
      <c r="A141" s="212">
        <f t="shared" si="4"/>
        <v>101</v>
      </c>
      <c r="B141" s="228"/>
      <c r="C141" s="212"/>
      <c r="D141" s="212"/>
      <c r="E141" s="212"/>
      <c r="F141" s="212"/>
      <c r="G141" s="227"/>
      <c r="H141" s="227"/>
      <c r="I141" s="227"/>
      <c r="J141" s="259"/>
      <c r="K141" s="215"/>
      <c r="L141" s="224"/>
      <c r="M141" s="224"/>
      <c r="N141" s="227"/>
      <c r="O141" s="210"/>
    </row>
    <row r="142">
      <c r="A142" s="212">
        <f t="shared" si="4"/>
        <v>101</v>
      </c>
      <c r="B142" s="228"/>
      <c r="C142" s="212"/>
      <c r="D142" s="212"/>
      <c r="E142" s="212"/>
      <c r="F142" s="212"/>
      <c r="G142" s="227"/>
      <c r="H142" s="227"/>
      <c r="I142" s="227"/>
      <c r="J142" s="259"/>
      <c r="K142" s="215"/>
      <c r="L142" s="224"/>
      <c r="M142" s="224"/>
      <c r="N142" s="227"/>
      <c r="O142" s="210"/>
    </row>
    <row r="143">
      <c r="A143" s="212">
        <f t="shared" si="4"/>
        <v>101</v>
      </c>
      <c r="B143" s="228"/>
      <c r="C143" s="212"/>
      <c r="D143" s="212"/>
      <c r="E143" s="212"/>
      <c r="F143" s="212"/>
      <c r="G143" s="227"/>
      <c r="H143" s="227"/>
      <c r="I143" s="227"/>
      <c r="J143" s="259"/>
      <c r="K143" s="215"/>
      <c r="L143" s="224"/>
      <c r="M143" s="224"/>
      <c r="N143" s="227"/>
      <c r="O143" s="210"/>
    </row>
    <row r="144">
      <c r="A144" s="212">
        <f t="shared" si="4"/>
        <v>101</v>
      </c>
      <c r="B144" s="228"/>
      <c r="C144" s="212"/>
      <c r="D144" s="212"/>
      <c r="E144" s="212"/>
      <c r="F144" s="212"/>
      <c r="G144" s="227"/>
      <c r="H144" s="227"/>
      <c r="I144" s="227"/>
      <c r="J144" s="259"/>
      <c r="K144" s="215"/>
      <c r="L144" s="224"/>
      <c r="M144" s="224"/>
      <c r="N144" s="227"/>
      <c r="O144" s="210"/>
    </row>
    <row r="145">
      <c r="A145" s="212">
        <f t="shared" si="4"/>
        <v>101</v>
      </c>
      <c r="B145" s="228"/>
      <c r="C145" s="212"/>
      <c r="D145" s="212"/>
      <c r="E145" s="212"/>
      <c r="F145" s="212"/>
      <c r="G145" s="227"/>
      <c r="H145" s="227"/>
      <c r="I145" s="227"/>
      <c r="J145" s="259"/>
      <c r="K145" s="215"/>
      <c r="L145" s="224"/>
      <c r="M145" s="224"/>
      <c r="N145" s="227"/>
      <c r="O145" s="210"/>
    </row>
    <row r="146">
      <c r="A146" s="212">
        <f t="shared" si="4"/>
        <v>101</v>
      </c>
      <c r="B146" s="228"/>
      <c r="C146" s="212"/>
      <c r="D146" s="212"/>
      <c r="E146" s="212"/>
      <c r="F146" s="212"/>
      <c r="G146" s="227"/>
      <c r="H146" s="227"/>
      <c r="I146" s="227"/>
      <c r="J146" s="259"/>
      <c r="K146" s="215"/>
      <c r="L146" s="224"/>
      <c r="M146" s="224"/>
      <c r="N146" s="227"/>
      <c r="O146" s="210"/>
    </row>
    <row r="147">
      <c r="A147" s="212">
        <f t="shared" si="4"/>
        <v>101</v>
      </c>
      <c r="B147" s="228"/>
      <c r="C147" s="212"/>
      <c r="D147" s="212"/>
      <c r="E147" s="212"/>
      <c r="F147" s="212"/>
      <c r="G147" s="227"/>
      <c r="H147" s="227"/>
      <c r="I147" s="227"/>
      <c r="J147" s="259"/>
      <c r="K147" s="215"/>
      <c r="L147" s="224"/>
      <c r="M147" s="227"/>
      <c r="N147" s="227"/>
      <c r="O147" s="210"/>
    </row>
    <row r="148">
      <c r="A148" s="212">
        <f t="shared" si="4"/>
        <v>101</v>
      </c>
      <c r="B148" s="228"/>
      <c r="C148" s="212"/>
      <c r="D148" s="212"/>
      <c r="E148" s="212"/>
      <c r="F148" s="212"/>
      <c r="G148" s="273"/>
      <c r="H148" s="257"/>
      <c r="I148" s="257"/>
      <c r="J148" s="259"/>
      <c r="K148" s="215"/>
      <c r="L148" s="224"/>
      <c r="M148" s="224"/>
      <c r="N148" s="227"/>
      <c r="O148" s="210"/>
    </row>
    <row r="149">
      <c r="A149" s="212">
        <f t="shared" si="4"/>
        <v>101</v>
      </c>
      <c r="B149" s="228"/>
      <c r="C149" s="212"/>
      <c r="D149" s="212"/>
      <c r="E149" s="212"/>
      <c r="F149" s="212"/>
      <c r="G149" s="257"/>
      <c r="H149" s="257"/>
      <c r="I149" s="257"/>
      <c r="J149" s="259"/>
      <c r="K149" s="215"/>
      <c r="L149" s="224"/>
      <c r="M149" s="224"/>
      <c r="N149" s="227"/>
      <c r="O149" s="210"/>
    </row>
    <row r="150">
      <c r="A150" s="212">
        <f t="shared" si="4"/>
        <v>101</v>
      </c>
      <c r="B150" s="228"/>
      <c r="C150" s="212"/>
      <c r="D150" s="212"/>
      <c r="E150" s="212"/>
      <c r="F150" s="212"/>
      <c r="G150" s="257"/>
      <c r="H150" s="257"/>
      <c r="I150" s="274"/>
      <c r="J150" s="259"/>
      <c r="K150" s="215"/>
      <c r="L150" s="226"/>
      <c r="M150" s="227"/>
      <c r="N150" s="227"/>
      <c r="O150" s="210"/>
    </row>
    <row r="151">
      <c r="A151" s="212">
        <f t="shared" si="4"/>
        <v>101</v>
      </c>
      <c r="B151" s="228"/>
      <c r="C151" s="212"/>
      <c r="D151" s="212"/>
      <c r="E151" s="212"/>
      <c r="F151" s="212"/>
      <c r="G151" s="227"/>
      <c r="H151" s="227"/>
      <c r="I151" s="227"/>
      <c r="J151" s="259"/>
      <c r="K151" s="215"/>
      <c r="L151" s="224"/>
      <c r="M151" s="224"/>
      <c r="N151" s="227"/>
      <c r="O151" s="210"/>
    </row>
    <row r="152">
      <c r="A152" s="212">
        <f t="shared" si="4"/>
        <v>101</v>
      </c>
      <c r="B152" s="228"/>
      <c r="C152" s="212"/>
      <c r="D152" s="212"/>
      <c r="E152" s="212"/>
      <c r="F152" s="212"/>
      <c r="G152" s="224"/>
      <c r="H152" s="227"/>
      <c r="I152" s="227"/>
      <c r="J152" s="259"/>
      <c r="K152" s="215"/>
      <c r="L152" s="224"/>
      <c r="M152" s="224"/>
      <c r="N152" s="227"/>
      <c r="O152" s="210"/>
    </row>
    <row r="153">
      <c r="A153" s="212">
        <f t="shared" si="4"/>
        <v>101</v>
      </c>
      <c r="B153" s="228"/>
      <c r="C153" s="212"/>
      <c r="D153" s="212"/>
      <c r="E153" s="212"/>
      <c r="F153" s="212"/>
      <c r="G153" s="227"/>
      <c r="H153" s="227"/>
      <c r="I153" s="227"/>
      <c r="J153" s="259"/>
      <c r="K153" s="215"/>
      <c r="L153" s="224"/>
      <c r="M153" s="224"/>
      <c r="N153" s="227"/>
      <c r="O153" s="210"/>
    </row>
    <row r="154">
      <c r="A154" s="212">
        <f t="shared" si="4"/>
        <v>101</v>
      </c>
      <c r="B154" s="228"/>
      <c r="C154" s="212"/>
      <c r="D154" s="212"/>
      <c r="E154" s="212"/>
      <c r="F154" s="212"/>
      <c r="G154" s="227"/>
      <c r="H154" s="227"/>
      <c r="I154" s="227"/>
      <c r="J154" s="259"/>
      <c r="K154" s="215"/>
      <c r="L154" s="224"/>
      <c r="M154" s="224"/>
      <c r="N154" s="227"/>
      <c r="O154" s="210"/>
    </row>
    <row r="155">
      <c r="A155" s="212">
        <f t="shared" si="4"/>
        <v>101</v>
      </c>
      <c r="B155" s="228"/>
      <c r="C155" s="212"/>
      <c r="D155" s="212"/>
      <c r="E155" s="212"/>
      <c r="F155" s="212"/>
      <c r="G155" s="227"/>
      <c r="H155" s="227"/>
      <c r="I155" s="227"/>
      <c r="J155" s="259"/>
      <c r="K155" s="215"/>
      <c r="L155" s="224"/>
      <c r="M155" s="224"/>
      <c r="N155" s="227"/>
      <c r="O155" s="210"/>
    </row>
    <row r="156">
      <c r="A156" s="212">
        <f t="shared" si="4"/>
        <v>101</v>
      </c>
      <c r="B156" s="228"/>
      <c r="C156" s="212"/>
      <c r="D156" s="212"/>
      <c r="E156" s="212"/>
      <c r="F156" s="212"/>
      <c r="G156" s="224"/>
      <c r="H156" s="227"/>
      <c r="I156" s="227"/>
      <c r="J156" s="259"/>
      <c r="K156" s="215"/>
      <c r="L156" s="224"/>
      <c r="M156" s="224"/>
      <c r="N156" s="227"/>
      <c r="O156" s="210"/>
    </row>
    <row r="157">
      <c r="A157" s="212">
        <f t="shared" si="4"/>
        <v>101</v>
      </c>
      <c r="B157" s="228"/>
      <c r="C157" s="212"/>
      <c r="D157" s="212"/>
      <c r="E157" s="212"/>
      <c r="F157" s="212"/>
      <c r="G157" s="224"/>
      <c r="H157" s="227"/>
      <c r="I157" s="227"/>
      <c r="J157" s="259"/>
      <c r="K157" s="215"/>
      <c r="L157" s="224"/>
      <c r="M157" s="224"/>
      <c r="N157" s="227"/>
      <c r="O157" s="210"/>
    </row>
    <row r="158">
      <c r="A158" s="212">
        <f t="shared" si="4"/>
        <v>101</v>
      </c>
      <c r="B158" s="228"/>
      <c r="C158" s="212"/>
      <c r="D158" s="212"/>
      <c r="E158" s="212"/>
      <c r="F158" s="212"/>
      <c r="G158" s="227"/>
      <c r="H158" s="227"/>
      <c r="I158" s="227"/>
      <c r="J158" s="259"/>
      <c r="K158" s="215"/>
      <c r="L158" s="224"/>
      <c r="M158" s="224"/>
      <c r="N158" s="227"/>
      <c r="O158" s="210"/>
    </row>
    <row r="159">
      <c r="A159" s="212">
        <f t="shared" si="4"/>
        <v>101</v>
      </c>
      <c r="B159" s="228"/>
      <c r="C159" s="212"/>
      <c r="D159" s="212"/>
      <c r="E159" s="212"/>
      <c r="F159" s="212"/>
      <c r="G159" s="227"/>
      <c r="H159" s="227"/>
      <c r="I159" s="227"/>
      <c r="J159" s="259"/>
      <c r="K159" s="215"/>
      <c r="L159" s="226"/>
      <c r="M159" s="224"/>
      <c r="N159" s="227"/>
      <c r="O159" s="210"/>
    </row>
    <row r="160">
      <c r="A160" s="212">
        <f t="shared" si="4"/>
        <v>101</v>
      </c>
      <c r="B160" s="228"/>
      <c r="C160" s="212"/>
      <c r="D160" s="212"/>
      <c r="E160" s="212"/>
      <c r="F160" s="212"/>
      <c r="G160" s="224"/>
      <c r="H160" s="227"/>
      <c r="I160" s="213"/>
      <c r="J160" s="259"/>
      <c r="K160" s="215"/>
      <c r="L160" s="224"/>
      <c r="M160" s="224"/>
      <c r="N160" s="227"/>
      <c r="O160" s="210"/>
    </row>
    <row r="161">
      <c r="A161" s="212">
        <f t="shared" si="4"/>
        <v>101</v>
      </c>
      <c r="B161" s="228"/>
      <c r="C161" s="212"/>
      <c r="D161" s="212"/>
      <c r="E161" s="212"/>
      <c r="F161" s="212"/>
      <c r="G161" s="224"/>
      <c r="H161" s="227"/>
      <c r="I161" s="213"/>
      <c r="J161" s="259"/>
      <c r="K161" s="215"/>
      <c r="L161" s="224"/>
      <c r="M161" s="224"/>
      <c r="N161" s="227"/>
      <c r="O161" s="210"/>
    </row>
    <row r="162">
      <c r="A162" s="212">
        <f t="shared" si="4"/>
        <v>101</v>
      </c>
      <c r="B162" s="228"/>
      <c r="C162" s="212"/>
      <c r="D162" s="212"/>
      <c r="E162" s="212"/>
      <c r="F162" s="212"/>
      <c r="G162" s="224"/>
      <c r="H162" s="227"/>
      <c r="I162" s="227"/>
      <c r="J162" s="259"/>
      <c r="K162" s="215"/>
      <c r="L162" s="224"/>
      <c r="M162" s="224"/>
      <c r="N162" s="227"/>
      <c r="O162" s="210"/>
    </row>
    <row r="163">
      <c r="A163" s="212">
        <f t="shared" si="4"/>
        <v>101</v>
      </c>
      <c r="B163" s="228"/>
      <c r="C163" s="212"/>
      <c r="D163" s="212"/>
      <c r="E163" s="212"/>
      <c r="F163" s="212"/>
      <c r="G163" s="227"/>
      <c r="H163" s="227"/>
      <c r="I163" s="227"/>
      <c r="J163" s="259"/>
      <c r="K163" s="215"/>
      <c r="L163" s="224"/>
      <c r="M163" s="224"/>
      <c r="N163" s="227"/>
      <c r="O163" s="210"/>
    </row>
    <row r="164">
      <c r="A164" s="212">
        <f t="shared" si="4"/>
        <v>101</v>
      </c>
      <c r="B164" s="228"/>
      <c r="C164" s="212"/>
      <c r="D164" s="212"/>
      <c r="E164" s="212"/>
      <c r="F164" s="212"/>
      <c r="G164" s="224"/>
      <c r="H164" s="227"/>
      <c r="I164" s="227"/>
      <c r="J164" s="259"/>
      <c r="K164" s="215"/>
      <c r="L164" s="224"/>
      <c r="M164" s="224"/>
      <c r="N164" s="227"/>
      <c r="O164" s="210"/>
    </row>
    <row r="165">
      <c r="A165" s="212">
        <f t="shared" si="4"/>
        <v>101</v>
      </c>
      <c r="B165" s="228"/>
      <c r="C165" s="212"/>
      <c r="D165" s="212"/>
      <c r="E165" s="212"/>
      <c r="F165" s="212"/>
      <c r="G165" s="227"/>
      <c r="H165" s="227"/>
      <c r="I165" s="227"/>
      <c r="J165" s="259"/>
      <c r="K165" s="215"/>
      <c r="L165" s="224"/>
      <c r="M165" s="224"/>
      <c r="N165" s="227"/>
      <c r="O165" s="210"/>
    </row>
    <row r="166">
      <c r="A166" s="212">
        <f t="shared" si="4"/>
        <v>101</v>
      </c>
      <c r="B166" s="228"/>
      <c r="C166" s="212"/>
      <c r="D166" s="212"/>
      <c r="E166" s="212"/>
      <c r="F166" s="212"/>
      <c r="G166" s="224"/>
      <c r="H166" s="227"/>
      <c r="I166" s="227"/>
      <c r="J166" s="259"/>
      <c r="K166" s="215"/>
      <c r="L166" s="226"/>
      <c r="M166" s="224"/>
      <c r="N166" s="227"/>
      <c r="O166" s="210"/>
    </row>
    <row r="167">
      <c r="A167" s="212">
        <f t="shared" si="4"/>
        <v>101</v>
      </c>
      <c r="B167" s="228"/>
      <c r="C167" s="212"/>
      <c r="D167" s="212"/>
      <c r="E167" s="212"/>
      <c r="F167" s="212"/>
      <c r="G167" s="227"/>
      <c r="H167" s="227"/>
      <c r="I167" s="227"/>
      <c r="J167" s="259"/>
      <c r="K167" s="215"/>
      <c r="L167" s="224"/>
      <c r="M167" s="224"/>
      <c r="N167" s="227"/>
      <c r="O167" s="210"/>
    </row>
    <row r="168">
      <c r="A168" s="212">
        <f t="shared" si="4"/>
        <v>101</v>
      </c>
      <c r="B168" s="228"/>
      <c r="C168" s="212"/>
      <c r="D168" s="212"/>
      <c r="E168" s="212"/>
      <c r="F168" s="212"/>
      <c r="G168" s="227"/>
      <c r="H168" s="227"/>
      <c r="I168" s="227"/>
      <c r="J168" s="259"/>
      <c r="K168" s="215"/>
      <c r="L168" s="224"/>
      <c r="M168" s="224"/>
      <c r="N168" s="227"/>
      <c r="O168" s="210"/>
    </row>
    <row r="169">
      <c r="A169" s="212">
        <f t="shared" si="4"/>
        <v>101</v>
      </c>
      <c r="B169" s="228"/>
      <c r="C169" s="212"/>
      <c r="D169" s="212"/>
      <c r="E169" s="212"/>
      <c r="F169" s="212"/>
      <c r="G169" s="227"/>
      <c r="H169" s="227"/>
      <c r="I169" s="227"/>
      <c r="J169" s="259"/>
      <c r="K169" s="215"/>
      <c r="L169" s="224"/>
      <c r="M169" s="224"/>
      <c r="N169" s="227"/>
      <c r="O169" s="210"/>
    </row>
    <row r="170">
      <c r="A170" s="212">
        <f t="shared" si="4"/>
        <v>101</v>
      </c>
      <c r="B170" s="228"/>
      <c r="C170" s="212"/>
      <c r="D170" s="212"/>
      <c r="E170" s="212"/>
      <c r="F170" s="212"/>
      <c r="G170" s="227"/>
      <c r="H170" s="227"/>
      <c r="I170" s="227"/>
      <c r="J170" s="259"/>
      <c r="K170" s="215"/>
      <c r="L170" s="224"/>
      <c r="M170" s="224"/>
      <c r="N170" s="227"/>
      <c r="O170" s="210"/>
    </row>
    <row r="171">
      <c r="A171" s="212">
        <f t="shared" si="4"/>
        <v>101</v>
      </c>
      <c r="B171" s="228"/>
      <c r="C171" s="212"/>
      <c r="D171" s="212"/>
      <c r="E171" s="212"/>
      <c r="F171" s="212"/>
      <c r="G171" s="224"/>
      <c r="H171" s="227"/>
      <c r="I171" s="227"/>
      <c r="J171" s="259"/>
      <c r="K171" s="215"/>
      <c r="L171" s="276"/>
      <c r="M171" s="224"/>
      <c r="N171" s="227"/>
      <c r="O171" s="210"/>
    </row>
    <row r="172">
      <c r="A172" s="212">
        <f t="shared" si="4"/>
        <v>101</v>
      </c>
      <c r="B172" s="228"/>
      <c r="C172" s="212"/>
      <c r="D172" s="212"/>
      <c r="E172" s="212"/>
      <c r="F172" s="212"/>
      <c r="G172" s="227"/>
      <c r="H172" s="227"/>
      <c r="I172" s="227"/>
      <c r="J172" s="259"/>
      <c r="K172" s="215"/>
      <c r="L172" s="224"/>
      <c r="M172" s="224"/>
      <c r="N172" s="227"/>
      <c r="O172" s="210"/>
    </row>
    <row r="173">
      <c r="A173" s="212">
        <f t="shared" si="4"/>
        <v>101</v>
      </c>
      <c r="B173" s="228"/>
      <c r="C173" s="212"/>
      <c r="D173" s="212"/>
      <c r="E173" s="212"/>
      <c r="F173" s="212"/>
      <c r="G173" s="254"/>
      <c r="H173" s="227"/>
      <c r="I173" s="227"/>
      <c r="J173" s="259"/>
      <c r="K173" s="215"/>
      <c r="L173" s="224"/>
      <c r="M173" s="224"/>
      <c r="N173" s="227"/>
      <c r="O173" s="210"/>
    </row>
    <row r="174">
      <c r="A174" s="212">
        <f t="shared" si="4"/>
        <v>101</v>
      </c>
      <c r="B174" s="228"/>
      <c r="C174" s="212"/>
      <c r="D174" s="212"/>
      <c r="E174" s="212"/>
      <c r="F174" s="212"/>
      <c r="G174" s="220"/>
      <c r="H174" s="227"/>
      <c r="I174" s="227"/>
      <c r="J174" s="259"/>
      <c r="K174" s="215"/>
      <c r="L174" s="224"/>
      <c r="M174" s="224"/>
      <c r="N174" s="227"/>
      <c r="O174" s="210"/>
    </row>
    <row r="175">
      <c r="A175" s="212">
        <f t="shared" si="4"/>
        <v>101</v>
      </c>
      <c r="B175" s="228"/>
      <c r="C175" s="212"/>
      <c r="D175" s="212"/>
      <c r="E175" s="212"/>
      <c r="F175" s="212"/>
      <c r="G175" s="39"/>
      <c r="H175" s="227"/>
      <c r="I175" s="227"/>
      <c r="J175" s="259"/>
      <c r="K175" s="215"/>
      <c r="L175" s="224"/>
      <c r="M175" s="224"/>
      <c r="N175" s="227"/>
      <c r="O175" s="210"/>
    </row>
    <row r="176">
      <c r="A176" s="212">
        <f t="shared" si="4"/>
        <v>101</v>
      </c>
      <c r="B176" s="228"/>
      <c r="C176" s="212"/>
      <c r="D176" s="212"/>
      <c r="E176" s="212"/>
      <c r="F176" s="212"/>
      <c r="G176" s="224"/>
      <c r="H176" s="227"/>
      <c r="I176" s="227"/>
      <c r="J176" s="259"/>
      <c r="K176" s="215"/>
      <c r="L176" s="224"/>
      <c r="M176" s="224"/>
      <c r="N176" s="227"/>
      <c r="O176" s="210"/>
    </row>
    <row r="177">
      <c r="A177" s="212">
        <f t="shared" si="4"/>
        <v>101</v>
      </c>
      <c r="B177" s="228"/>
      <c r="C177" s="212"/>
      <c r="D177" s="212"/>
      <c r="E177" s="212"/>
      <c r="F177" s="212"/>
      <c r="G177" s="224"/>
      <c r="H177" s="227"/>
      <c r="I177" s="227"/>
      <c r="J177" s="259"/>
      <c r="K177" s="215"/>
      <c r="L177" s="224"/>
      <c r="M177" s="224"/>
      <c r="N177" s="227"/>
      <c r="O177" s="210"/>
    </row>
    <row r="178">
      <c r="A178" s="212">
        <f t="shared" si="4"/>
        <v>101</v>
      </c>
      <c r="B178" s="228"/>
      <c r="C178" s="212"/>
      <c r="D178" s="212"/>
      <c r="E178" s="212"/>
      <c r="F178" s="212"/>
      <c r="G178" s="224"/>
      <c r="H178" s="227"/>
      <c r="I178" s="227"/>
      <c r="J178" s="259"/>
      <c r="K178" s="215"/>
      <c r="L178" s="224"/>
      <c r="M178" s="224"/>
      <c r="N178" s="227"/>
      <c r="O178" s="210"/>
    </row>
    <row r="179">
      <c r="A179" s="212">
        <f t="shared" si="4"/>
        <v>101</v>
      </c>
      <c r="B179" s="228"/>
      <c r="C179" s="212"/>
      <c r="D179" s="212"/>
      <c r="E179" s="212"/>
      <c r="F179" s="212"/>
      <c r="G179" s="224"/>
      <c r="H179" s="227"/>
      <c r="I179" s="227"/>
      <c r="J179" s="259"/>
      <c r="K179" s="215"/>
      <c r="L179" s="224"/>
      <c r="M179" s="224"/>
      <c r="N179" s="227"/>
      <c r="O179" s="210"/>
    </row>
    <row r="180">
      <c r="A180" s="212">
        <f t="shared" si="4"/>
        <v>101</v>
      </c>
      <c r="B180" s="228"/>
      <c r="C180" s="212"/>
      <c r="D180" s="212"/>
      <c r="E180" s="212"/>
      <c r="F180" s="212"/>
      <c r="G180" s="227"/>
      <c r="H180" s="227"/>
      <c r="I180" s="227"/>
      <c r="J180" s="259"/>
      <c r="K180" s="215"/>
      <c r="L180" s="224"/>
      <c r="M180" s="224"/>
      <c r="N180" s="227"/>
      <c r="O180" s="210"/>
    </row>
    <row r="181">
      <c r="A181" s="212">
        <f t="shared" si="4"/>
        <v>101</v>
      </c>
      <c r="B181" s="228"/>
      <c r="C181" s="212"/>
      <c r="D181" s="212"/>
      <c r="E181" s="212"/>
      <c r="F181" s="212"/>
      <c r="G181" s="227"/>
      <c r="H181" s="227"/>
      <c r="I181" s="227"/>
      <c r="J181" s="259"/>
      <c r="K181" s="215"/>
      <c r="L181" s="226"/>
      <c r="M181" s="224"/>
      <c r="N181" s="227"/>
      <c r="O181" s="210"/>
    </row>
    <row r="182">
      <c r="A182" s="212">
        <f t="shared" si="4"/>
        <v>101</v>
      </c>
      <c r="B182" s="228"/>
      <c r="C182" s="212"/>
      <c r="D182" s="212"/>
      <c r="E182" s="212"/>
      <c r="F182" s="212"/>
      <c r="G182" s="227"/>
      <c r="H182" s="227"/>
      <c r="I182" s="227"/>
      <c r="J182" s="259"/>
      <c r="K182" s="215"/>
      <c r="L182" s="224"/>
      <c r="M182" s="224"/>
      <c r="N182" s="227"/>
      <c r="O182" s="210"/>
    </row>
    <row r="183">
      <c r="A183" s="212">
        <f t="shared" si="4"/>
        <v>101</v>
      </c>
      <c r="B183" s="228"/>
      <c r="C183" s="212"/>
      <c r="D183" s="212"/>
      <c r="E183" s="212"/>
      <c r="F183" s="212"/>
      <c r="G183" s="224"/>
      <c r="H183" s="227"/>
      <c r="I183" s="271"/>
      <c r="J183" s="259"/>
      <c r="K183" s="215"/>
      <c r="L183" s="226"/>
      <c r="M183" s="224"/>
      <c r="N183" s="227"/>
      <c r="O183" s="210"/>
    </row>
    <row r="184">
      <c r="A184" s="212">
        <f t="shared" si="4"/>
        <v>101</v>
      </c>
      <c r="B184" s="228"/>
      <c r="C184" s="212"/>
      <c r="D184" s="212"/>
      <c r="E184" s="212"/>
      <c r="F184" s="212"/>
      <c r="G184" s="224"/>
      <c r="H184" s="227"/>
      <c r="I184" s="227"/>
      <c r="J184" s="259"/>
      <c r="K184" s="215"/>
      <c r="L184" s="224"/>
      <c r="M184" s="224"/>
      <c r="N184" s="227"/>
      <c r="O184" s="210"/>
    </row>
    <row r="185">
      <c r="A185" s="212">
        <f t="shared" si="4"/>
        <v>101</v>
      </c>
      <c r="B185" s="228"/>
      <c r="C185" s="212"/>
      <c r="D185" s="212"/>
      <c r="E185" s="212"/>
      <c r="F185" s="212"/>
      <c r="G185" s="273"/>
      <c r="H185" s="274"/>
      <c r="I185" s="257"/>
      <c r="J185" s="259"/>
      <c r="K185" s="215"/>
      <c r="L185" s="224"/>
      <c r="M185" s="224"/>
      <c r="N185" s="227"/>
      <c r="O185" s="210"/>
    </row>
    <row r="186">
      <c r="A186" s="224"/>
      <c r="B186" s="228"/>
      <c r="C186" s="212"/>
      <c r="D186" s="212"/>
      <c r="E186" s="212"/>
      <c r="F186" s="212"/>
      <c r="G186" s="224"/>
      <c r="H186" s="224"/>
      <c r="I186" s="224"/>
      <c r="J186" s="228"/>
      <c r="K186" s="224"/>
      <c r="L186" s="224"/>
      <c r="M186" s="224"/>
      <c r="N186" s="224"/>
      <c r="O186" s="210"/>
    </row>
    <row r="187">
      <c r="A187" s="224"/>
      <c r="B187" s="228"/>
      <c r="C187" s="228"/>
      <c r="D187" s="228"/>
      <c r="E187" s="228"/>
      <c r="F187" s="228"/>
      <c r="G187" s="224"/>
      <c r="H187" s="224"/>
      <c r="I187" s="224"/>
      <c r="J187" s="228"/>
      <c r="K187" s="224"/>
      <c r="L187" s="224"/>
      <c r="M187" s="224"/>
      <c r="N187" s="224"/>
      <c r="O187" s="210"/>
    </row>
  </sheetData>
  <mergeCells count="42">
    <mergeCell ref="C1:E1"/>
    <mergeCell ref="C3:C27"/>
    <mergeCell ref="D5:D6"/>
    <mergeCell ref="E5:E6"/>
    <mergeCell ref="D7:D13"/>
    <mergeCell ref="E7:E13"/>
    <mergeCell ref="D14:D17"/>
    <mergeCell ref="C55:C79"/>
    <mergeCell ref="D57:D77"/>
    <mergeCell ref="D78:D79"/>
    <mergeCell ref="E59:E60"/>
    <mergeCell ref="E61:E65"/>
    <mergeCell ref="E66:E67"/>
    <mergeCell ref="E69:E73"/>
    <mergeCell ref="G173:G175"/>
    <mergeCell ref="C80:C103"/>
    <mergeCell ref="D82:D101"/>
    <mergeCell ref="D102:D103"/>
    <mergeCell ref="A1:A2"/>
    <mergeCell ref="F1:F2"/>
    <mergeCell ref="G1:G2"/>
    <mergeCell ref="H1:H2"/>
    <mergeCell ref="I1:I2"/>
    <mergeCell ref="J1:J2"/>
    <mergeCell ref="B3:B103"/>
    <mergeCell ref="K1:K2"/>
    <mergeCell ref="L1:L2"/>
    <mergeCell ref="M1:M2"/>
    <mergeCell ref="N1:N2"/>
    <mergeCell ref="D18:D21"/>
    <mergeCell ref="E18:E21"/>
    <mergeCell ref="D22:D23"/>
    <mergeCell ref="E22:E23"/>
    <mergeCell ref="D24:D27"/>
    <mergeCell ref="E24:E27"/>
    <mergeCell ref="C28:C54"/>
    <mergeCell ref="D30:D51"/>
    <mergeCell ref="D52:D54"/>
    <mergeCell ref="E32:E33"/>
    <mergeCell ref="E34:E36"/>
    <mergeCell ref="E37:E41"/>
    <mergeCell ref="E52:E54"/>
  </mergeCells>
  <conditionalFormatting sqref="K3:K185">
    <cfRule type="cellIs" dxfId="4" priority="1" operator="equal">
      <formula>"PASS"</formula>
    </cfRule>
  </conditionalFormatting>
  <conditionalFormatting sqref="K3:K185">
    <cfRule type="cellIs" dxfId="5" priority="2" operator="equal">
      <formula>"FAIL"</formula>
    </cfRule>
  </conditionalFormatting>
  <conditionalFormatting sqref="K3:K185">
    <cfRule type="cellIs" dxfId="6" priority="3" operator="equal">
      <formula>"N/A"</formula>
    </cfRule>
  </conditionalFormatting>
  <conditionalFormatting sqref="K3:K185">
    <cfRule type="cellIs" dxfId="7" priority="4" operator="equal">
      <formula>"N/T"</formula>
    </cfRule>
  </conditionalFormatting>
  <dataValidations>
    <dataValidation type="list" allowBlank="1" sqref="K3:K185">
      <formula1>"PASS,FAIL,N/A,N/T"</formula1>
    </dataValidation>
  </dataValidation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2"/>
    <hyperlink r:id="rId20" ref="J23"/>
    <hyperlink r:id="rId21" ref="J24"/>
    <hyperlink r:id="rId22" ref="J25"/>
    <hyperlink r:id="rId23" ref="J26"/>
    <hyperlink r:id="rId24" ref="J27"/>
    <hyperlink r:id="rId25" ref="J28"/>
    <hyperlink r:id="rId26" ref="J29"/>
    <hyperlink r:id="rId27" ref="J30"/>
    <hyperlink r:id="rId28" ref="J31"/>
    <hyperlink r:id="rId29" ref="J32"/>
    <hyperlink r:id="rId30" ref="J33"/>
    <hyperlink r:id="rId31" ref="J34"/>
    <hyperlink r:id="rId32" ref="J35"/>
    <hyperlink r:id="rId33" ref="J36"/>
    <hyperlink r:id="rId34" ref="J37"/>
    <hyperlink r:id="rId35" ref="J38"/>
    <hyperlink r:id="rId36" ref="J39"/>
    <hyperlink r:id="rId37" ref="J40"/>
    <hyperlink r:id="rId38" ref="J41"/>
    <hyperlink r:id="rId39" ref="J42"/>
    <hyperlink r:id="rId40" ref="J43"/>
    <hyperlink r:id="rId41" ref="J44"/>
    <hyperlink r:id="rId42" ref="J45"/>
    <hyperlink r:id="rId43" ref="J46"/>
    <hyperlink r:id="rId44" ref="J47"/>
    <hyperlink r:id="rId45" ref="J48"/>
    <hyperlink r:id="rId46" ref="J49"/>
    <hyperlink r:id="rId47" ref="J50"/>
    <hyperlink r:id="rId48" ref="J51"/>
    <hyperlink r:id="rId49" ref="J52"/>
    <hyperlink r:id="rId50" ref="J53"/>
    <hyperlink r:id="rId51" ref="J55"/>
    <hyperlink r:id="rId52" ref="J56"/>
    <hyperlink r:id="rId53" ref="J57"/>
    <hyperlink r:id="rId54" ref="J58"/>
    <hyperlink r:id="rId55" ref="J59"/>
    <hyperlink r:id="rId56" ref="J60"/>
    <hyperlink r:id="rId57" ref="J61"/>
    <hyperlink r:id="rId58" ref="J62"/>
    <hyperlink r:id="rId59" ref="J63"/>
    <hyperlink r:id="rId60" ref="J64"/>
    <hyperlink r:id="rId61" ref="J65"/>
    <hyperlink r:id="rId62" ref="J66"/>
    <hyperlink r:id="rId63" ref="J67"/>
    <hyperlink r:id="rId64" ref="J68"/>
    <hyperlink r:id="rId65" ref="J69"/>
    <hyperlink r:id="rId66" ref="J70"/>
    <hyperlink r:id="rId67" ref="J71"/>
    <hyperlink r:id="rId68" ref="J74"/>
    <hyperlink r:id="rId69" ref="J75"/>
    <hyperlink r:id="rId70" ref="J76"/>
    <hyperlink r:id="rId71" ref="J77"/>
    <hyperlink r:id="rId72" ref="J78"/>
    <hyperlink r:id="rId73" ref="J79"/>
    <hyperlink r:id="rId74" ref="J80"/>
    <hyperlink r:id="rId75" ref="J81"/>
    <hyperlink r:id="rId76" ref="J82"/>
    <hyperlink r:id="rId77" ref="J83"/>
    <hyperlink r:id="rId78" ref="J84"/>
    <hyperlink r:id="rId79" ref="J85"/>
    <hyperlink r:id="rId80" ref="J86"/>
    <hyperlink r:id="rId81" ref="J87"/>
    <hyperlink r:id="rId82" ref="J88"/>
    <hyperlink r:id="rId83" ref="J89"/>
    <hyperlink r:id="rId84" ref="J90"/>
    <hyperlink r:id="rId85" ref="J91"/>
    <hyperlink r:id="rId86" ref="J92"/>
    <hyperlink r:id="rId87" ref="J93"/>
    <hyperlink r:id="rId88" ref="J94"/>
    <hyperlink r:id="rId89" ref="J95"/>
    <hyperlink r:id="rId90" ref="J96"/>
    <hyperlink r:id="rId91" ref="J97"/>
    <hyperlink r:id="rId92" ref="J98"/>
    <hyperlink r:id="rId93" ref="J99"/>
    <hyperlink r:id="rId94" ref="J100"/>
    <hyperlink r:id="rId95" ref="J101"/>
    <hyperlink r:id="rId96" ref="J102"/>
    <hyperlink r:id="rId97" ref="J103"/>
  </hyperlinks>
  <drawing r:id="rId98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152" t="s">
        <v>75</v>
      </c>
      <c r="D2" s="153" t="s">
        <v>76</v>
      </c>
      <c r="E2" s="153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91" si="1">COUNTA($I$3:$I3)</f>
        <v>1</v>
      </c>
      <c r="B3" s="212" t="s">
        <v>44</v>
      </c>
      <c r="C3" s="212" t="s">
        <v>44</v>
      </c>
      <c r="D3" s="212" t="s">
        <v>92</v>
      </c>
      <c r="E3" s="212" t="s">
        <v>92</v>
      </c>
      <c r="F3" s="212" t="s">
        <v>1370</v>
      </c>
      <c r="G3" s="213" t="s">
        <v>92</v>
      </c>
      <c r="H3" s="213" t="s">
        <v>2687</v>
      </c>
      <c r="I3" s="213" t="s">
        <v>2688</v>
      </c>
      <c r="J3" s="214" t="s">
        <v>44</v>
      </c>
      <c r="K3" s="215" t="s">
        <v>33</v>
      </c>
      <c r="L3" s="226"/>
      <c r="M3" s="227"/>
      <c r="N3" s="224"/>
      <c r="O3" s="210"/>
    </row>
    <row r="4">
      <c r="A4" s="212">
        <f t="shared" si="1"/>
        <v>2</v>
      </c>
      <c r="B4" s="212" t="s">
        <v>44</v>
      </c>
      <c r="C4" s="212" t="s">
        <v>206</v>
      </c>
      <c r="D4" s="212" t="s">
        <v>92</v>
      </c>
      <c r="E4" s="212" t="s">
        <v>92</v>
      </c>
      <c r="F4" s="212" t="s">
        <v>613</v>
      </c>
      <c r="G4" s="217" t="s">
        <v>92</v>
      </c>
      <c r="H4" s="213" t="s">
        <v>2689</v>
      </c>
      <c r="I4" s="213" t="s">
        <v>2690</v>
      </c>
      <c r="J4" s="214" t="s">
        <v>206</v>
      </c>
      <c r="K4" s="215" t="s">
        <v>33</v>
      </c>
      <c r="L4" s="226"/>
      <c r="M4" s="227"/>
      <c r="N4" s="224"/>
      <c r="O4" s="210"/>
    </row>
    <row r="5">
      <c r="A5" s="212">
        <f t="shared" si="1"/>
        <v>3</v>
      </c>
      <c r="B5" s="212" t="s">
        <v>44</v>
      </c>
      <c r="C5" s="212" t="s">
        <v>206</v>
      </c>
      <c r="D5" s="212" t="s">
        <v>92</v>
      </c>
      <c r="E5" s="212" t="s">
        <v>92</v>
      </c>
      <c r="F5" s="212" t="s">
        <v>1378</v>
      </c>
      <c r="G5" s="217" t="s">
        <v>92</v>
      </c>
      <c r="H5" s="217" t="s">
        <v>2691</v>
      </c>
      <c r="I5" s="217" t="s">
        <v>2692</v>
      </c>
      <c r="J5" s="214" t="s">
        <v>206</v>
      </c>
      <c r="K5" s="215" t="s">
        <v>33</v>
      </c>
      <c r="L5" s="226"/>
      <c r="M5" s="227"/>
      <c r="N5" s="224"/>
      <c r="O5" s="210"/>
    </row>
    <row r="6">
      <c r="A6" s="212">
        <f t="shared" si="1"/>
        <v>4</v>
      </c>
      <c r="B6" s="212" t="s">
        <v>44</v>
      </c>
      <c r="C6" s="212" t="s">
        <v>206</v>
      </c>
      <c r="D6" s="225" t="s">
        <v>2693</v>
      </c>
      <c r="E6" s="212" t="s">
        <v>92</v>
      </c>
      <c r="F6" s="212" t="s">
        <v>613</v>
      </c>
      <c r="G6" s="217" t="s">
        <v>92</v>
      </c>
      <c r="H6" s="217" t="s">
        <v>2694</v>
      </c>
      <c r="I6" s="217" t="s">
        <v>2695</v>
      </c>
      <c r="J6" s="214" t="s">
        <v>206</v>
      </c>
      <c r="K6" s="215" t="s">
        <v>33</v>
      </c>
      <c r="L6" s="226"/>
      <c r="M6" s="227"/>
      <c r="N6" s="224"/>
      <c r="O6" s="210"/>
    </row>
    <row r="7">
      <c r="A7" s="212">
        <f t="shared" si="1"/>
        <v>5</v>
      </c>
      <c r="B7" s="212" t="s">
        <v>44</v>
      </c>
      <c r="C7" s="212" t="s">
        <v>206</v>
      </c>
      <c r="D7" s="220"/>
      <c r="E7" s="225" t="s">
        <v>2696</v>
      </c>
      <c r="F7" s="212" t="s">
        <v>613</v>
      </c>
      <c r="G7" s="217" t="s">
        <v>92</v>
      </c>
      <c r="H7" s="217" t="s">
        <v>2697</v>
      </c>
      <c r="I7" s="217" t="s">
        <v>2698</v>
      </c>
      <c r="J7" s="214" t="s">
        <v>206</v>
      </c>
      <c r="K7" s="215" t="s">
        <v>33</v>
      </c>
      <c r="L7" s="240" t="s">
        <v>2699</v>
      </c>
      <c r="M7" s="227" t="s">
        <v>2700</v>
      </c>
      <c r="N7" s="224"/>
      <c r="O7" s="210"/>
    </row>
    <row r="8">
      <c r="A8" s="212">
        <f t="shared" si="1"/>
        <v>6</v>
      </c>
      <c r="B8" s="212" t="s">
        <v>44</v>
      </c>
      <c r="C8" s="212" t="s">
        <v>206</v>
      </c>
      <c r="D8" s="220"/>
      <c r="E8" s="220"/>
      <c r="F8" s="212" t="s">
        <v>2701</v>
      </c>
      <c r="G8" s="217" t="s">
        <v>92</v>
      </c>
      <c r="H8" s="217" t="s">
        <v>2702</v>
      </c>
      <c r="I8" s="217" t="s">
        <v>2703</v>
      </c>
      <c r="J8" s="214" t="s">
        <v>206</v>
      </c>
      <c r="K8" s="215" t="s">
        <v>33</v>
      </c>
      <c r="L8" s="226"/>
      <c r="M8" s="227"/>
      <c r="N8" s="224"/>
      <c r="O8" s="210"/>
    </row>
    <row r="9">
      <c r="A9" s="212">
        <f t="shared" si="1"/>
        <v>7</v>
      </c>
      <c r="B9" s="212" t="s">
        <v>44</v>
      </c>
      <c r="C9" s="212" t="s">
        <v>206</v>
      </c>
      <c r="D9" s="220"/>
      <c r="E9" s="220"/>
      <c r="F9" s="225" t="s">
        <v>2704</v>
      </c>
      <c r="G9" s="217" t="s">
        <v>2705</v>
      </c>
      <c r="H9" s="217" t="s">
        <v>2706</v>
      </c>
      <c r="I9" s="217" t="s">
        <v>2707</v>
      </c>
      <c r="J9" s="214" t="s">
        <v>206</v>
      </c>
      <c r="K9" s="215" t="s">
        <v>33</v>
      </c>
      <c r="L9" s="226"/>
      <c r="M9" s="227"/>
      <c r="N9" s="224"/>
      <c r="O9" s="210"/>
    </row>
    <row r="10">
      <c r="A10" s="212">
        <f t="shared" si="1"/>
        <v>8</v>
      </c>
      <c r="B10" s="212" t="s">
        <v>44</v>
      </c>
      <c r="C10" s="212" t="s">
        <v>206</v>
      </c>
      <c r="D10" s="220"/>
      <c r="E10" s="220"/>
      <c r="F10" s="39"/>
      <c r="G10" s="217" t="s">
        <v>2708</v>
      </c>
      <c r="H10" s="217" t="s">
        <v>2706</v>
      </c>
      <c r="I10" s="217" t="s">
        <v>2709</v>
      </c>
      <c r="J10" s="214" t="s">
        <v>206</v>
      </c>
      <c r="K10" s="215" t="s">
        <v>33</v>
      </c>
      <c r="L10" s="226"/>
      <c r="M10" s="227"/>
      <c r="N10" s="224"/>
      <c r="O10" s="210"/>
    </row>
    <row r="11">
      <c r="A11" s="212">
        <f t="shared" si="1"/>
        <v>9</v>
      </c>
      <c r="B11" s="212" t="s">
        <v>44</v>
      </c>
      <c r="C11" s="212" t="s">
        <v>206</v>
      </c>
      <c r="D11" s="220"/>
      <c r="E11" s="220"/>
      <c r="F11" s="225" t="s">
        <v>2710</v>
      </c>
      <c r="G11" s="217" t="s">
        <v>2711</v>
      </c>
      <c r="H11" s="217" t="s">
        <v>2712</v>
      </c>
      <c r="I11" s="217" t="s">
        <v>2713</v>
      </c>
      <c r="J11" s="214" t="s">
        <v>206</v>
      </c>
      <c r="K11" s="215" t="s">
        <v>33</v>
      </c>
      <c r="L11" s="226"/>
      <c r="M11" s="227"/>
      <c r="N11" s="224"/>
      <c r="O11" s="210"/>
    </row>
    <row r="12">
      <c r="A12" s="212">
        <f t="shared" si="1"/>
        <v>10</v>
      </c>
      <c r="B12" s="212" t="s">
        <v>44</v>
      </c>
      <c r="C12" s="212" t="s">
        <v>206</v>
      </c>
      <c r="D12" s="220"/>
      <c r="E12" s="220"/>
      <c r="F12" s="39"/>
      <c r="G12" s="217" t="s">
        <v>2714</v>
      </c>
      <c r="H12" s="217" t="s">
        <v>2712</v>
      </c>
      <c r="I12" s="217" t="s">
        <v>2715</v>
      </c>
      <c r="J12" s="214" t="s">
        <v>206</v>
      </c>
      <c r="K12" s="215" t="s">
        <v>33</v>
      </c>
      <c r="L12" s="226"/>
      <c r="M12" s="227"/>
      <c r="N12" s="224"/>
      <c r="O12" s="210"/>
    </row>
    <row r="13">
      <c r="A13" s="212">
        <f t="shared" si="1"/>
        <v>11</v>
      </c>
      <c r="B13" s="212" t="s">
        <v>44</v>
      </c>
      <c r="C13" s="212" t="s">
        <v>206</v>
      </c>
      <c r="D13" s="220"/>
      <c r="E13" s="39"/>
      <c r="F13" s="212" t="s">
        <v>2716</v>
      </c>
      <c r="G13" s="217" t="s">
        <v>92</v>
      </c>
      <c r="H13" s="217" t="s">
        <v>2717</v>
      </c>
      <c r="I13" s="217" t="s">
        <v>2718</v>
      </c>
      <c r="J13" s="214" t="s">
        <v>206</v>
      </c>
      <c r="K13" s="215" t="s">
        <v>33</v>
      </c>
      <c r="L13" s="226"/>
      <c r="M13" s="227"/>
      <c r="N13" s="224"/>
      <c r="O13" s="210"/>
    </row>
    <row r="14">
      <c r="A14" s="212">
        <f t="shared" si="1"/>
        <v>12</v>
      </c>
      <c r="B14" s="212" t="s">
        <v>44</v>
      </c>
      <c r="C14" s="212" t="s">
        <v>206</v>
      </c>
      <c r="D14" s="220"/>
      <c r="E14" s="225" t="s">
        <v>2719</v>
      </c>
      <c r="F14" s="212" t="s">
        <v>613</v>
      </c>
      <c r="G14" s="217" t="s">
        <v>92</v>
      </c>
      <c r="H14" s="217" t="s">
        <v>2720</v>
      </c>
      <c r="I14" s="217" t="s">
        <v>2721</v>
      </c>
      <c r="J14" s="214" t="s">
        <v>206</v>
      </c>
      <c r="K14" s="215" t="s">
        <v>33</v>
      </c>
      <c r="L14" s="240" t="s">
        <v>2699</v>
      </c>
      <c r="M14" s="227" t="s">
        <v>2700</v>
      </c>
      <c r="N14" s="224"/>
      <c r="O14" s="210"/>
    </row>
    <row r="15">
      <c r="A15" s="212">
        <f t="shared" si="1"/>
        <v>13</v>
      </c>
      <c r="B15" s="212" t="s">
        <v>44</v>
      </c>
      <c r="C15" s="212" t="s">
        <v>206</v>
      </c>
      <c r="D15" s="220"/>
      <c r="E15" s="220"/>
      <c r="F15" s="212" t="s">
        <v>2701</v>
      </c>
      <c r="G15" s="217" t="s">
        <v>92</v>
      </c>
      <c r="H15" s="217" t="s">
        <v>2702</v>
      </c>
      <c r="I15" s="217" t="s">
        <v>2722</v>
      </c>
      <c r="J15" s="214" t="s">
        <v>206</v>
      </c>
      <c r="K15" s="215" t="s">
        <v>33</v>
      </c>
      <c r="L15" s="226"/>
      <c r="M15" s="227"/>
      <c r="N15" s="224"/>
      <c r="O15" s="210"/>
    </row>
    <row r="16">
      <c r="A16" s="212">
        <f t="shared" si="1"/>
        <v>14</v>
      </c>
      <c r="B16" s="212" t="s">
        <v>44</v>
      </c>
      <c r="C16" s="212" t="s">
        <v>206</v>
      </c>
      <c r="D16" s="220"/>
      <c r="E16" s="220"/>
      <c r="F16" s="225" t="s">
        <v>2723</v>
      </c>
      <c r="G16" s="217" t="s">
        <v>2705</v>
      </c>
      <c r="H16" s="217" t="s">
        <v>2724</v>
      </c>
      <c r="I16" s="217" t="s">
        <v>2725</v>
      </c>
      <c r="J16" s="214" t="s">
        <v>206</v>
      </c>
      <c r="K16" s="215" t="s">
        <v>33</v>
      </c>
      <c r="L16" s="226"/>
      <c r="M16" s="227"/>
      <c r="N16" s="224"/>
      <c r="O16" s="210"/>
    </row>
    <row r="17">
      <c r="A17" s="212">
        <f t="shared" si="1"/>
        <v>15</v>
      </c>
      <c r="B17" s="212" t="s">
        <v>44</v>
      </c>
      <c r="C17" s="212" t="s">
        <v>206</v>
      </c>
      <c r="D17" s="220"/>
      <c r="E17" s="220"/>
      <c r="F17" s="39"/>
      <c r="G17" s="217" t="s">
        <v>2711</v>
      </c>
      <c r="H17" s="217" t="s">
        <v>2724</v>
      </c>
      <c r="I17" s="217" t="s">
        <v>2725</v>
      </c>
      <c r="J17" s="214" t="s">
        <v>206</v>
      </c>
      <c r="K17" s="215" t="s">
        <v>33</v>
      </c>
      <c r="L17" s="226"/>
      <c r="M17" s="227"/>
      <c r="N17" s="224"/>
      <c r="O17" s="210"/>
    </row>
    <row r="18">
      <c r="A18" s="212">
        <f t="shared" si="1"/>
        <v>16</v>
      </c>
      <c r="B18" s="212" t="s">
        <v>44</v>
      </c>
      <c r="C18" s="212" t="s">
        <v>206</v>
      </c>
      <c r="D18" s="220"/>
      <c r="E18" s="220"/>
      <c r="F18" s="225" t="s">
        <v>2726</v>
      </c>
      <c r="G18" s="217" t="s">
        <v>2727</v>
      </c>
      <c r="H18" s="217" t="s">
        <v>2728</v>
      </c>
      <c r="I18" s="217" t="s">
        <v>2729</v>
      </c>
      <c r="J18" s="214" t="s">
        <v>206</v>
      </c>
      <c r="K18" s="215" t="s">
        <v>33</v>
      </c>
      <c r="L18" s="226"/>
      <c r="M18" s="227"/>
      <c r="N18" s="224"/>
      <c r="O18" s="210"/>
    </row>
    <row r="19">
      <c r="A19" s="212">
        <f t="shared" si="1"/>
        <v>17</v>
      </c>
      <c r="B19" s="212" t="s">
        <v>44</v>
      </c>
      <c r="C19" s="212" t="s">
        <v>206</v>
      </c>
      <c r="D19" s="220"/>
      <c r="E19" s="39"/>
      <c r="F19" s="39"/>
      <c r="G19" s="217" t="s">
        <v>2730</v>
      </c>
      <c r="H19" s="217" t="s">
        <v>2728</v>
      </c>
      <c r="I19" s="217" t="s">
        <v>2729</v>
      </c>
      <c r="J19" s="214" t="s">
        <v>206</v>
      </c>
      <c r="K19" s="215" t="s">
        <v>33</v>
      </c>
      <c r="L19" s="226"/>
      <c r="M19" s="227"/>
      <c r="N19" s="224"/>
      <c r="O19" s="210"/>
    </row>
    <row r="20">
      <c r="A20" s="212">
        <f t="shared" si="1"/>
        <v>18</v>
      </c>
      <c r="B20" s="212" t="s">
        <v>44</v>
      </c>
      <c r="C20" s="212" t="s">
        <v>206</v>
      </c>
      <c r="D20" s="220"/>
      <c r="E20" s="225" t="s">
        <v>2731</v>
      </c>
      <c r="F20" s="212" t="s">
        <v>613</v>
      </c>
      <c r="G20" s="217" t="s">
        <v>92</v>
      </c>
      <c r="H20" s="217" t="s">
        <v>2732</v>
      </c>
      <c r="I20" s="217" t="s">
        <v>2733</v>
      </c>
      <c r="J20" s="214" t="s">
        <v>206</v>
      </c>
      <c r="K20" s="215" t="s">
        <v>33</v>
      </c>
      <c r="L20" s="240" t="s">
        <v>2699</v>
      </c>
      <c r="M20" s="227" t="s">
        <v>2700</v>
      </c>
      <c r="N20" s="224"/>
      <c r="O20" s="210"/>
    </row>
    <row r="21">
      <c r="A21" s="212">
        <f t="shared" si="1"/>
        <v>19</v>
      </c>
      <c r="B21" s="212" t="s">
        <v>44</v>
      </c>
      <c r="C21" s="212" t="s">
        <v>206</v>
      </c>
      <c r="D21" s="220"/>
      <c r="E21" s="220"/>
      <c r="F21" s="212" t="s">
        <v>2701</v>
      </c>
      <c r="G21" s="217" t="s">
        <v>92</v>
      </c>
      <c r="H21" s="217" t="s">
        <v>2702</v>
      </c>
      <c r="I21" s="217" t="s">
        <v>2722</v>
      </c>
      <c r="J21" s="214" t="s">
        <v>206</v>
      </c>
      <c r="K21" s="215" t="s">
        <v>33</v>
      </c>
      <c r="L21" s="226"/>
      <c r="M21" s="227"/>
      <c r="N21" s="224"/>
      <c r="O21" s="210"/>
    </row>
    <row r="22">
      <c r="A22" s="212">
        <f t="shared" si="1"/>
        <v>20</v>
      </c>
      <c r="B22" s="212" t="s">
        <v>44</v>
      </c>
      <c r="C22" s="212" t="s">
        <v>206</v>
      </c>
      <c r="D22" s="220"/>
      <c r="E22" s="220"/>
      <c r="F22" s="225" t="s">
        <v>2734</v>
      </c>
      <c r="G22" s="217" t="s">
        <v>2705</v>
      </c>
      <c r="H22" s="217" t="s">
        <v>2735</v>
      </c>
      <c r="I22" s="217" t="s">
        <v>2736</v>
      </c>
      <c r="J22" s="214" t="s">
        <v>206</v>
      </c>
      <c r="K22" s="215" t="s">
        <v>33</v>
      </c>
      <c r="L22" s="226"/>
      <c r="M22" s="227"/>
      <c r="N22" s="224"/>
      <c r="O22" s="210"/>
    </row>
    <row r="23">
      <c r="A23" s="212">
        <f t="shared" si="1"/>
        <v>21</v>
      </c>
      <c r="B23" s="212" t="s">
        <v>44</v>
      </c>
      <c r="C23" s="212" t="s">
        <v>206</v>
      </c>
      <c r="D23" s="220"/>
      <c r="E23" s="220"/>
      <c r="F23" s="220"/>
      <c r="G23" s="217" t="s">
        <v>2711</v>
      </c>
      <c r="H23" s="217" t="s">
        <v>2735</v>
      </c>
      <c r="I23" s="217" t="s">
        <v>2736</v>
      </c>
      <c r="J23" s="214" t="s">
        <v>206</v>
      </c>
      <c r="K23" s="215" t="s">
        <v>33</v>
      </c>
      <c r="L23" s="226"/>
      <c r="M23" s="227"/>
      <c r="N23" s="224"/>
      <c r="O23" s="210"/>
    </row>
    <row r="24">
      <c r="A24" s="212">
        <f t="shared" si="1"/>
        <v>22</v>
      </c>
      <c r="B24" s="212" t="s">
        <v>44</v>
      </c>
      <c r="C24" s="212" t="s">
        <v>206</v>
      </c>
      <c r="D24" s="220"/>
      <c r="E24" s="220"/>
      <c r="F24" s="220"/>
      <c r="G24" s="217" t="s">
        <v>2737</v>
      </c>
      <c r="H24" s="217" t="s">
        <v>2738</v>
      </c>
      <c r="I24" s="217" t="s">
        <v>2739</v>
      </c>
      <c r="J24" s="214" t="s">
        <v>206</v>
      </c>
      <c r="K24" s="215" t="s">
        <v>33</v>
      </c>
      <c r="L24" s="226"/>
      <c r="M24" s="227"/>
      <c r="N24" s="224"/>
      <c r="O24" s="210"/>
    </row>
    <row r="25">
      <c r="A25" s="212">
        <f t="shared" si="1"/>
        <v>23</v>
      </c>
      <c r="B25" s="212" t="s">
        <v>44</v>
      </c>
      <c r="C25" s="212" t="s">
        <v>206</v>
      </c>
      <c r="D25" s="220"/>
      <c r="E25" s="220"/>
      <c r="F25" s="220"/>
      <c r="G25" s="217" t="s">
        <v>2740</v>
      </c>
      <c r="H25" s="217" t="s">
        <v>2738</v>
      </c>
      <c r="I25" s="217" t="s">
        <v>2739</v>
      </c>
      <c r="J25" s="214" t="s">
        <v>206</v>
      </c>
      <c r="K25" s="215" t="s">
        <v>33</v>
      </c>
      <c r="L25" s="226"/>
      <c r="M25" s="227"/>
      <c r="N25" s="224"/>
      <c r="O25" s="210"/>
    </row>
    <row r="26">
      <c r="A26" s="212">
        <f t="shared" si="1"/>
        <v>24</v>
      </c>
      <c r="B26" s="212" t="s">
        <v>44</v>
      </c>
      <c r="C26" s="212" t="s">
        <v>206</v>
      </c>
      <c r="D26" s="39"/>
      <c r="E26" s="39"/>
      <c r="F26" s="39"/>
      <c r="G26" s="217" t="s">
        <v>2741</v>
      </c>
      <c r="H26" s="217" t="s">
        <v>2738</v>
      </c>
      <c r="I26" s="217" t="s">
        <v>2742</v>
      </c>
      <c r="J26" s="214" t="s">
        <v>206</v>
      </c>
      <c r="K26" s="215" t="s">
        <v>33</v>
      </c>
      <c r="L26" s="226"/>
      <c r="M26" s="227"/>
      <c r="N26" s="224"/>
      <c r="O26" s="210"/>
    </row>
    <row r="27">
      <c r="A27" s="212">
        <f t="shared" si="1"/>
        <v>25</v>
      </c>
      <c r="B27" s="212" t="s">
        <v>44</v>
      </c>
      <c r="C27" s="212" t="s">
        <v>206</v>
      </c>
      <c r="D27" s="225" t="s">
        <v>2743</v>
      </c>
      <c r="E27" s="212" t="s">
        <v>92</v>
      </c>
      <c r="F27" s="212" t="s">
        <v>613</v>
      </c>
      <c r="G27" s="217" t="s">
        <v>92</v>
      </c>
      <c r="H27" s="217" t="s">
        <v>1856</v>
      </c>
      <c r="I27" s="217" t="s">
        <v>2744</v>
      </c>
      <c r="J27" s="214" t="s">
        <v>206</v>
      </c>
      <c r="K27" s="215" t="s">
        <v>33</v>
      </c>
      <c r="L27" s="226"/>
      <c r="M27" s="227"/>
      <c r="N27" s="224"/>
      <c r="O27" s="210"/>
    </row>
    <row r="28">
      <c r="A28" s="212">
        <f t="shared" si="1"/>
        <v>26</v>
      </c>
      <c r="B28" s="212" t="s">
        <v>44</v>
      </c>
      <c r="C28" s="212" t="s">
        <v>206</v>
      </c>
      <c r="D28" s="220"/>
      <c r="E28" s="212" t="s">
        <v>92</v>
      </c>
      <c r="F28" s="212" t="s">
        <v>2745</v>
      </c>
      <c r="G28" s="217" t="s">
        <v>92</v>
      </c>
      <c r="H28" s="217" t="s">
        <v>2746</v>
      </c>
      <c r="I28" s="217" t="s">
        <v>2747</v>
      </c>
      <c r="J28" s="214" t="s">
        <v>206</v>
      </c>
      <c r="K28" s="215" t="s">
        <v>33</v>
      </c>
      <c r="L28" s="226"/>
      <c r="M28" s="227"/>
      <c r="N28" s="224"/>
      <c r="O28" s="210"/>
    </row>
    <row r="29">
      <c r="A29" s="212">
        <f t="shared" si="1"/>
        <v>27</v>
      </c>
      <c r="B29" s="212" t="s">
        <v>44</v>
      </c>
      <c r="C29" s="212" t="s">
        <v>206</v>
      </c>
      <c r="D29" s="220"/>
      <c r="E29" s="212" t="s">
        <v>92</v>
      </c>
      <c r="F29" s="212" t="s">
        <v>2748</v>
      </c>
      <c r="G29" s="217" t="s">
        <v>92</v>
      </c>
      <c r="H29" s="217" t="s">
        <v>2749</v>
      </c>
      <c r="I29" s="217" t="s">
        <v>2750</v>
      </c>
      <c r="J29" s="214" t="s">
        <v>206</v>
      </c>
      <c r="K29" s="215" t="s">
        <v>33</v>
      </c>
      <c r="L29" s="240" t="s">
        <v>2751</v>
      </c>
      <c r="M29" s="227" t="s">
        <v>2752</v>
      </c>
      <c r="N29" s="224"/>
      <c r="O29" s="210"/>
    </row>
    <row r="30">
      <c r="A30" s="212">
        <f t="shared" si="1"/>
        <v>28</v>
      </c>
      <c r="B30" s="212" t="s">
        <v>44</v>
      </c>
      <c r="C30" s="212" t="s">
        <v>206</v>
      </c>
      <c r="D30" s="220"/>
      <c r="E30" s="212" t="s">
        <v>92</v>
      </c>
      <c r="F30" s="225" t="s">
        <v>608</v>
      </c>
      <c r="G30" s="217" t="s">
        <v>2753</v>
      </c>
      <c r="H30" s="217" t="s">
        <v>1479</v>
      </c>
      <c r="I30" s="217" t="s">
        <v>2754</v>
      </c>
      <c r="J30" s="214" t="s">
        <v>206</v>
      </c>
      <c r="K30" s="215" t="s">
        <v>33</v>
      </c>
      <c r="L30" s="226"/>
      <c r="M30" s="227"/>
      <c r="N30" s="224"/>
      <c r="O30" s="210"/>
    </row>
    <row r="31">
      <c r="A31" s="212">
        <f t="shared" si="1"/>
        <v>29</v>
      </c>
      <c r="B31" s="212" t="s">
        <v>44</v>
      </c>
      <c r="C31" s="212" t="s">
        <v>206</v>
      </c>
      <c r="D31" s="220"/>
      <c r="E31" s="212" t="s">
        <v>92</v>
      </c>
      <c r="F31" s="39"/>
      <c r="G31" s="217" t="s">
        <v>2755</v>
      </c>
      <c r="H31" s="217" t="s">
        <v>1479</v>
      </c>
      <c r="I31" s="217" t="s">
        <v>2756</v>
      </c>
      <c r="J31" s="214" t="s">
        <v>206</v>
      </c>
      <c r="K31" s="215" t="s">
        <v>33</v>
      </c>
      <c r="L31" s="226"/>
      <c r="M31" s="227"/>
      <c r="N31" s="224"/>
      <c r="O31" s="210"/>
    </row>
    <row r="32">
      <c r="A32" s="212">
        <f t="shared" si="1"/>
        <v>30</v>
      </c>
      <c r="B32" s="212" t="s">
        <v>44</v>
      </c>
      <c r="C32" s="212" t="s">
        <v>206</v>
      </c>
      <c r="D32" s="39"/>
      <c r="E32" s="212" t="s">
        <v>92</v>
      </c>
      <c r="F32" s="212" t="s">
        <v>1310</v>
      </c>
      <c r="G32" s="217" t="s">
        <v>2757</v>
      </c>
      <c r="H32" s="217" t="s">
        <v>1863</v>
      </c>
      <c r="I32" s="217" t="s">
        <v>2758</v>
      </c>
      <c r="J32" s="214" t="s">
        <v>206</v>
      </c>
      <c r="K32" s="215" t="s">
        <v>33</v>
      </c>
      <c r="L32" s="226"/>
      <c r="M32" s="227"/>
      <c r="N32" s="224"/>
      <c r="O32" s="210"/>
    </row>
    <row r="33">
      <c r="A33" s="212">
        <f t="shared" si="1"/>
        <v>31</v>
      </c>
      <c r="B33" s="212" t="s">
        <v>44</v>
      </c>
      <c r="C33" s="212" t="s">
        <v>206</v>
      </c>
      <c r="D33" s="225" t="s">
        <v>2759</v>
      </c>
      <c r="E33" s="212" t="s">
        <v>92</v>
      </c>
      <c r="F33" s="212" t="s">
        <v>613</v>
      </c>
      <c r="G33" s="217" t="s">
        <v>92</v>
      </c>
      <c r="H33" s="217" t="s">
        <v>2760</v>
      </c>
      <c r="I33" s="217" t="s">
        <v>2761</v>
      </c>
      <c r="J33" s="214" t="s">
        <v>206</v>
      </c>
      <c r="K33" s="215" t="s">
        <v>33</v>
      </c>
      <c r="L33" s="240" t="s">
        <v>2762</v>
      </c>
      <c r="M33" s="227" t="s">
        <v>2763</v>
      </c>
      <c r="N33" s="224"/>
      <c r="O33" s="210"/>
    </row>
    <row r="34">
      <c r="A34" s="212">
        <f t="shared" si="1"/>
        <v>32</v>
      </c>
      <c r="B34" s="212" t="s">
        <v>44</v>
      </c>
      <c r="C34" s="212" t="s">
        <v>206</v>
      </c>
      <c r="D34" s="220"/>
      <c r="E34" s="212" t="s">
        <v>92</v>
      </c>
      <c r="F34" s="212" t="s">
        <v>1378</v>
      </c>
      <c r="G34" s="217" t="s">
        <v>92</v>
      </c>
      <c r="H34" s="217" t="s">
        <v>1379</v>
      </c>
      <c r="I34" s="217" t="s">
        <v>2764</v>
      </c>
      <c r="J34" s="214" t="s">
        <v>206</v>
      </c>
      <c r="K34" s="215" t="s">
        <v>33</v>
      </c>
      <c r="L34" s="240" t="s">
        <v>2762</v>
      </c>
      <c r="M34" s="227" t="s">
        <v>2763</v>
      </c>
      <c r="N34" s="224"/>
      <c r="O34" s="210"/>
    </row>
    <row r="35">
      <c r="A35" s="212">
        <f t="shared" si="1"/>
        <v>33</v>
      </c>
      <c r="B35" s="212" t="s">
        <v>44</v>
      </c>
      <c r="C35" s="212" t="s">
        <v>206</v>
      </c>
      <c r="D35" s="220"/>
      <c r="E35" s="225" t="s">
        <v>2765</v>
      </c>
      <c r="F35" s="225" t="s">
        <v>2766</v>
      </c>
      <c r="G35" s="217" t="s">
        <v>92</v>
      </c>
      <c r="H35" s="217" t="s">
        <v>2767</v>
      </c>
      <c r="I35" s="217" t="s">
        <v>2768</v>
      </c>
      <c r="J35" s="214" t="s">
        <v>206</v>
      </c>
      <c r="K35" s="215" t="s">
        <v>33</v>
      </c>
      <c r="L35" s="226"/>
      <c r="M35" s="227"/>
      <c r="N35" s="224"/>
      <c r="O35" s="210"/>
    </row>
    <row r="36">
      <c r="A36" s="212">
        <f t="shared" si="1"/>
        <v>34</v>
      </c>
      <c r="B36" s="212" t="s">
        <v>44</v>
      </c>
      <c r="C36" s="212" t="s">
        <v>206</v>
      </c>
      <c r="D36" s="220"/>
      <c r="E36" s="220"/>
      <c r="F36" s="220"/>
      <c r="G36" s="217" t="s">
        <v>2769</v>
      </c>
      <c r="H36" s="217" t="s">
        <v>2770</v>
      </c>
      <c r="I36" s="217" t="s">
        <v>2771</v>
      </c>
      <c r="J36" s="214" t="s">
        <v>206</v>
      </c>
      <c r="K36" s="215" t="s">
        <v>35</v>
      </c>
      <c r="L36" s="226"/>
      <c r="M36" s="227" t="s">
        <v>2772</v>
      </c>
      <c r="N36" s="224"/>
      <c r="O36" s="210"/>
    </row>
    <row r="37">
      <c r="A37" s="212">
        <f t="shared" si="1"/>
        <v>35</v>
      </c>
      <c r="B37" s="212" t="s">
        <v>44</v>
      </c>
      <c r="C37" s="212" t="s">
        <v>206</v>
      </c>
      <c r="D37" s="220"/>
      <c r="E37" s="220"/>
      <c r="F37" s="39"/>
      <c r="G37" s="217" t="s">
        <v>2773</v>
      </c>
      <c r="H37" s="217" t="s">
        <v>2770</v>
      </c>
      <c r="I37" s="217" t="s">
        <v>2774</v>
      </c>
      <c r="J37" s="214" t="s">
        <v>206</v>
      </c>
      <c r="K37" s="215" t="s">
        <v>33</v>
      </c>
      <c r="L37" s="226"/>
      <c r="M37" s="227"/>
      <c r="N37" s="224"/>
      <c r="O37" s="210"/>
    </row>
    <row r="38">
      <c r="A38" s="212">
        <f t="shared" si="1"/>
        <v>36</v>
      </c>
      <c r="B38" s="212" t="s">
        <v>44</v>
      </c>
      <c r="C38" s="212" t="s">
        <v>206</v>
      </c>
      <c r="D38" s="220"/>
      <c r="E38" s="220"/>
      <c r="F38" s="212" t="s">
        <v>2723</v>
      </c>
      <c r="G38" s="217" t="s">
        <v>92</v>
      </c>
      <c r="H38" s="217" t="s">
        <v>2775</v>
      </c>
      <c r="I38" s="217" t="s">
        <v>2776</v>
      </c>
      <c r="J38" s="214" t="s">
        <v>206</v>
      </c>
      <c r="K38" s="215" t="s">
        <v>33</v>
      </c>
      <c r="L38" s="226"/>
      <c r="M38" s="227"/>
      <c r="N38" s="224"/>
      <c r="O38" s="210"/>
    </row>
    <row r="39">
      <c r="A39" s="212">
        <f t="shared" si="1"/>
        <v>37</v>
      </c>
      <c r="B39" s="212" t="s">
        <v>44</v>
      </c>
      <c r="C39" s="212" t="s">
        <v>206</v>
      </c>
      <c r="D39" s="220"/>
      <c r="E39" s="220"/>
      <c r="F39" s="212" t="s">
        <v>2710</v>
      </c>
      <c r="G39" s="217" t="s">
        <v>92</v>
      </c>
      <c r="H39" s="217" t="s">
        <v>2777</v>
      </c>
      <c r="I39" s="217" t="s">
        <v>2778</v>
      </c>
      <c r="J39" s="214" t="s">
        <v>206</v>
      </c>
      <c r="K39" s="215" t="s">
        <v>33</v>
      </c>
      <c r="L39" s="226"/>
      <c r="M39" s="227"/>
      <c r="N39" s="224"/>
      <c r="O39" s="210"/>
    </row>
    <row r="40">
      <c r="A40" s="212">
        <f t="shared" si="1"/>
        <v>38</v>
      </c>
      <c r="B40" s="212" t="s">
        <v>44</v>
      </c>
      <c r="C40" s="212" t="s">
        <v>206</v>
      </c>
      <c r="D40" s="220"/>
      <c r="E40" s="39"/>
      <c r="F40" s="212" t="s">
        <v>2779</v>
      </c>
      <c r="G40" s="217" t="s">
        <v>92</v>
      </c>
      <c r="H40" s="217" t="s">
        <v>2780</v>
      </c>
      <c r="I40" s="217" t="s">
        <v>2781</v>
      </c>
      <c r="J40" s="214" t="s">
        <v>206</v>
      </c>
      <c r="K40" s="215" t="s">
        <v>33</v>
      </c>
      <c r="L40" s="226"/>
      <c r="M40" s="227"/>
      <c r="N40" s="224"/>
      <c r="O40" s="210"/>
    </row>
    <row r="41">
      <c r="A41" s="212">
        <f t="shared" si="1"/>
        <v>39</v>
      </c>
      <c r="B41" s="212" t="s">
        <v>44</v>
      </c>
      <c r="C41" s="212" t="s">
        <v>206</v>
      </c>
      <c r="D41" s="220"/>
      <c r="E41" s="225" t="s">
        <v>2782</v>
      </c>
      <c r="F41" s="212" t="s">
        <v>613</v>
      </c>
      <c r="G41" s="217" t="s">
        <v>92</v>
      </c>
      <c r="H41" s="217" t="s">
        <v>2783</v>
      </c>
      <c r="I41" s="217" t="s">
        <v>2784</v>
      </c>
      <c r="J41" s="214" t="s">
        <v>206</v>
      </c>
      <c r="K41" s="215" t="s">
        <v>33</v>
      </c>
      <c r="L41" s="226"/>
      <c r="M41" s="227"/>
      <c r="N41" s="224"/>
      <c r="O41" s="210"/>
    </row>
    <row r="42">
      <c r="A42" s="212">
        <f t="shared" si="1"/>
        <v>40</v>
      </c>
      <c r="B42" s="212" t="s">
        <v>44</v>
      </c>
      <c r="C42" s="212" t="s">
        <v>206</v>
      </c>
      <c r="D42" s="220"/>
      <c r="E42" s="220"/>
      <c r="F42" s="225" t="s">
        <v>2785</v>
      </c>
      <c r="G42" s="217" t="s">
        <v>2786</v>
      </c>
      <c r="H42" s="217" t="s">
        <v>2787</v>
      </c>
      <c r="I42" s="217" t="s">
        <v>2788</v>
      </c>
      <c r="J42" s="214" t="s">
        <v>206</v>
      </c>
      <c r="K42" s="215" t="s">
        <v>33</v>
      </c>
      <c r="L42" s="226"/>
      <c r="M42" s="227"/>
      <c r="N42" s="224"/>
      <c r="O42" s="210"/>
    </row>
    <row r="43">
      <c r="A43" s="212">
        <f t="shared" si="1"/>
        <v>41</v>
      </c>
      <c r="B43" s="212" t="s">
        <v>44</v>
      </c>
      <c r="C43" s="212" t="s">
        <v>206</v>
      </c>
      <c r="D43" s="220"/>
      <c r="E43" s="220"/>
      <c r="F43" s="220"/>
      <c r="G43" s="217" t="s">
        <v>2789</v>
      </c>
      <c r="H43" s="217" t="s">
        <v>2787</v>
      </c>
      <c r="I43" s="217" t="s">
        <v>2790</v>
      </c>
      <c r="J43" s="214" t="s">
        <v>206</v>
      </c>
      <c r="K43" s="215" t="s">
        <v>33</v>
      </c>
      <c r="L43" s="226"/>
      <c r="M43" s="227"/>
      <c r="N43" s="224"/>
      <c r="O43" s="210"/>
    </row>
    <row r="44">
      <c r="A44" s="212">
        <f t="shared" si="1"/>
        <v>42</v>
      </c>
      <c r="B44" s="212" t="s">
        <v>44</v>
      </c>
      <c r="C44" s="212" t="s">
        <v>206</v>
      </c>
      <c r="D44" s="39"/>
      <c r="E44" s="39"/>
      <c r="F44" s="39"/>
      <c r="G44" s="217" t="s">
        <v>2791</v>
      </c>
      <c r="H44" s="217" t="s">
        <v>2792</v>
      </c>
      <c r="I44" s="217" t="s">
        <v>2793</v>
      </c>
      <c r="J44" s="214" t="s">
        <v>206</v>
      </c>
      <c r="K44" s="215" t="s">
        <v>33</v>
      </c>
      <c r="L44" s="226"/>
      <c r="M44" s="227"/>
      <c r="N44" s="224"/>
      <c r="O44" s="210"/>
    </row>
    <row r="45">
      <c r="A45" s="212">
        <f t="shared" si="1"/>
        <v>43</v>
      </c>
      <c r="B45" s="212" t="s">
        <v>44</v>
      </c>
      <c r="C45" s="212" t="s">
        <v>206</v>
      </c>
      <c r="D45" s="225" t="s">
        <v>2759</v>
      </c>
      <c r="E45" s="225" t="s">
        <v>2794</v>
      </c>
      <c r="F45" s="212" t="s">
        <v>2795</v>
      </c>
      <c r="G45" s="217" t="s">
        <v>92</v>
      </c>
      <c r="H45" s="217" t="s">
        <v>2796</v>
      </c>
      <c r="I45" s="217" t="s">
        <v>2797</v>
      </c>
      <c r="J45" s="214" t="s">
        <v>206</v>
      </c>
      <c r="K45" s="215" t="s">
        <v>33</v>
      </c>
      <c r="L45" s="226"/>
      <c r="M45" s="227"/>
      <c r="N45" s="224"/>
      <c r="O45" s="210"/>
    </row>
    <row r="46">
      <c r="A46" s="212">
        <f t="shared" si="1"/>
        <v>44</v>
      </c>
      <c r="B46" s="212" t="s">
        <v>44</v>
      </c>
      <c r="C46" s="212" t="s">
        <v>206</v>
      </c>
      <c r="D46" s="220"/>
      <c r="E46" s="220"/>
      <c r="F46" s="225" t="s">
        <v>1855</v>
      </c>
      <c r="G46" s="217" t="s">
        <v>92</v>
      </c>
      <c r="H46" s="217" t="s">
        <v>2798</v>
      </c>
      <c r="I46" s="217" t="s">
        <v>2799</v>
      </c>
      <c r="J46" s="214" t="s">
        <v>206</v>
      </c>
      <c r="K46" s="215" t="s">
        <v>33</v>
      </c>
      <c r="L46" s="226"/>
      <c r="M46" s="227"/>
      <c r="N46" s="224"/>
      <c r="O46" s="210"/>
    </row>
    <row r="47">
      <c r="A47" s="212">
        <f t="shared" si="1"/>
        <v>45</v>
      </c>
      <c r="B47" s="212" t="s">
        <v>44</v>
      </c>
      <c r="C47" s="212" t="s">
        <v>206</v>
      </c>
      <c r="D47" s="220"/>
      <c r="E47" s="220"/>
      <c r="F47" s="220"/>
      <c r="G47" s="217" t="s">
        <v>2753</v>
      </c>
      <c r="H47" s="217" t="s">
        <v>1479</v>
      </c>
      <c r="I47" s="217" t="s">
        <v>2754</v>
      </c>
      <c r="J47" s="214" t="s">
        <v>206</v>
      </c>
      <c r="K47" s="215" t="s">
        <v>33</v>
      </c>
      <c r="L47" s="226"/>
      <c r="M47" s="227"/>
      <c r="N47" s="224"/>
      <c r="O47" s="210"/>
    </row>
    <row r="48">
      <c r="A48" s="212">
        <f t="shared" si="1"/>
        <v>46</v>
      </c>
      <c r="B48" s="212" t="s">
        <v>44</v>
      </c>
      <c r="C48" s="212" t="s">
        <v>206</v>
      </c>
      <c r="D48" s="220"/>
      <c r="E48" s="220"/>
      <c r="F48" s="39"/>
      <c r="G48" s="217" t="s">
        <v>2755</v>
      </c>
      <c r="H48" s="217" t="s">
        <v>1479</v>
      </c>
      <c r="I48" s="217" t="s">
        <v>2756</v>
      </c>
      <c r="J48" s="214" t="s">
        <v>206</v>
      </c>
      <c r="K48" s="215" t="s">
        <v>33</v>
      </c>
      <c r="L48" s="226"/>
      <c r="M48" s="227"/>
      <c r="N48" s="224"/>
      <c r="O48" s="210"/>
    </row>
    <row r="49">
      <c r="A49" s="212">
        <f t="shared" si="1"/>
        <v>47</v>
      </c>
      <c r="B49" s="212" t="s">
        <v>44</v>
      </c>
      <c r="C49" s="212" t="s">
        <v>206</v>
      </c>
      <c r="D49" s="220"/>
      <c r="E49" s="220"/>
      <c r="F49" s="212" t="s">
        <v>2800</v>
      </c>
      <c r="G49" s="217" t="s">
        <v>92</v>
      </c>
      <c r="H49" s="217" t="s">
        <v>2801</v>
      </c>
      <c r="I49" s="217" t="s">
        <v>2802</v>
      </c>
      <c r="J49" s="214" t="s">
        <v>206</v>
      </c>
      <c r="K49" s="215" t="s">
        <v>33</v>
      </c>
      <c r="L49" s="226"/>
      <c r="M49" s="227"/>
      <c r="N49" s="224"/>
      <c r="O49" s="210"/>
    </row>
    <row r="50">
      <c r="A50" s="212">
        <f t="shared" si="1"/>
        <v>48</v>
      </c>
      <c r="B50" s="212" t="s">
        <v>44</v>
      </c>
      <c r="C50" s="212" t="s">
        <v>206</v>
      </c>
      <c r="D50" s="220"/>
      <c r="E50" s="220"/>
      <c r="F50" s="212" t="s">
        <v>805</v>
      </c>
      <c r="G50" s="217" t="s">
        <v>92</v>
      </c>
      <c r="H50" s="217" t="s">
        <v>814</v>
      </c>
      <c r="I50" s="217" t="s">
        <v>2803</v>
      </c>
      <c r="J50" s="214" t="s">
        <v>206</v>
      </c>
      <c r="K50" s="215" t="s">
        <v>33</v>
      </c>
      <c r="L50" s="226"/>
      <c r="M50" s="227"/>
      <c r="N50" s="224"/>
      <c r="O50" s="210"/>
    </row>
    <row r="51">
      <c r="A51" s="212">
        <f t="shared" si="1"/>
        <v>49</v>
      </c>
      <c r="B51" s="212" t="s">
        <v>44</v>
      </c>
      <c r="C51" s="212" t="s">
        <v>206</v>
      </c>
      <c r="D51" s="220"/>
      <c r="E51" s="220"/>
      <c r="F51" s="212" t="s">
        <v>960</v>
      </c>
      <c r="G51" s="217" t="s">
        <v>92</v>
      </c>
      <c r="H51" s="217" t="s">
        <v>2804</v>
      </c>
      <c r="I51" s="217" t="s">
        <v>2805</v>
      </c>
      <c r="J51" s="214" t="s">
        <v>206</v>
      </c>
      <c r="K51" s="215" t="s">
        <v>33</v>
      </c>
      <c r="L51" s="226"/>
      <c r="M51" s="227"/>
      <c r="N51" s="224"/>
      <c r="O51" s="210"/>
    </row>
    <row r="52">
      <c r="A52" s="212">
        <f t="shared" si="1"/>
        <v>50</v>
      </c>
      <c r="B52" s="212" t="s">
        <v>44</v>
      </c>
      <c r="C52" s="212" t="s">
        <v>206</v>
      </c>
      <c r="D52" s="220"/>
      <c r="E52" s="220"/>
      <c r="F52" s="212" t="s">
        <v>974</v>
      </c>
      <c r="G52" s="217" t="s">
        <v>92</v>
      </c>
      <c r="H52" s="217" t="s">
        <v>2806</v>
      </c>
      <c r="I52" s="217" t="s">
        <v>2805</v>
      </c>
      <c r="J52" s="214" t="s">
        <v>206</v>
      </c>
      <c r="K52" s="215" t="s">
        <v>33</v>
      </c>
      <c r="L52" s="226"/>
      <c r="M52" s="227"/>
      <c r="N52" s="224"/>
      <c r="O52" s="210"/>
    </row>
    <row r="53">
      <c r="A53" s="212">
        <f t="shared" si="1"/>
        <v>51</v>
      </c>
      <c r="B53" s="212" t="s">
        <v>44</v>
      </c>
      <c r="C53" s="212" t="s">
        <v>206</v>
      </c>
      <c r="D53" s="220"/>
      <c r="E53" s="39"/>
      <c r="F53" s="212" t="s">
        <v>1229</v>
      </c>
      <c r="G53" s="217" t="s">
        <v>92</v>
      </c>
      <c r="H53" s="217" t="s">
        <v>1230</v>
      </c>
      <c r="I53" s="217" t="s">
        <v>2807</v>
      </c>
      <c r="J53" s="214" t="s">
        <v>206</v>
      </c>
      <c r="K53" s="215" t="s">
        <v>33</v>
      </c>
      <c r="L53" s="226"/>
      <c r="M53" s="227"/>
      <c r="N53" s="224"/>
      <c r="O53" s="210"/>
    </row>
    <row r="54">
      <c r="A54" s="212">
        <f t="shared" si="1"/>
        <v>52</v>
      </c>
      <c r="B54" s="212" t="s">
        <v>44</v>
      </c>
      <c r="C54" s="212" t="s">
        <v>206</v>
      </c>
      <c r="D54" s="220"/>
      <c r="E54" s="212" t="s">
        <v>2808</v>
      </c>
      <c r="F54" s="212" t="s">
        <v>2809</v>
      </c>
      <c r="G54" s="217" t="s">
        <v>92</v>
      </c>
      <c r="H54" s="217" t="s">
        <v>2810</v>
      </c>
      <c r="I54" s="217" t="s">
        <v>2811</v>
      </c>
      <c r="J54" s="214" t="s">
        <v>206</v>
      </c>
      <c r="K54" s="215" t="s">
        <v>33</v>
      </c>
      <c r="L54" s="226"/>
      <c r="M54" s="227"/>
      <c r="N54" s="224"/>
      <c r="O54" s="210"/>
    </row>
    <row r="55">
      <c r="A55" s="212">
        <f t="shared" si="1"/>
        <v>53</v>
      </c>
      <c r="B55" s="212" t="s">
        <v>44</v>
      </c>
      <c r="C55" s="212" t="s">
        <v>206</v>
      </c>
      <c r="D55" s="220"/>
      <c r="E55" s="225" t="s">
        <v>2812</v>
      </c>
      <c r="F55" s="212" t="s">
        <v>2813</v>
      </c>
      <c r="G55" s="217" t="s">
        <v>92</v>
      </c>
      <c r="H55" s="217" t="s">
        <v>2814</v>
      </c>
      <c r="I55" s="217" t="s">
        <v>2815</v>
      </c>
      <c r="J55" s="214" t="s">
        <v>206</v>
      </c>
      <c r="K55" s="215"/>
      <c r="L55" s="226"/>
      <c r="M55" s="227"/>
      <c r="N55" s="224"/>
      <c r="O55" s="210"/>
    </row>
    <row r="56">
      <c r="A56" s="212">
        <f t="shared" si="1"/>
        <v>54</v>
      </c>
      <c r="B56" s="212" t="s">
        <v>44</v>
      </c>
      <c r="C56" s="212" t="s">
        <v>206</v>
      </c>
      <c r="D56" s="220"/>
      <c r="E56" s="220"/>
      <c r="F56" s="212" t="s">
        <v>1855</v>
      </c>
      <c r="G56" s="217" t="s">
        <v>92</v>
      </c>
      <c r="H56" s="217" t="s">
        <v>2816</v>
      </c>
      <c r="I56" s="217" t="s">
        <v>2817</v>
      </c>
      <c r="J56" s="214" t="s">
        <v>206</v>
      </c>
      <c r="K56" s="215"/>
      <c r="L56" s="226"/>
      <c r="M56" s="227"/>
      <c r="N56" s="224"/>
      <c r="O56" s="210"/>
    </row>
    <row r="57">
      <c r="A57" s="212">
        <f t="shared" si="1"/>
        <v>55</v>
      </c>
      <c r="B57" s="212" t="s">
        <v>44</v>
      </c>
      <c r="C57" s="212" t="s">
        <v>206</v>
      </c>
      <c r="D57" s="220"/>
      <c r="E57" s="220"/>
      <c r="F57" s="225" t="s">
        <v>2818</v>
      </c>
      <c r="G57" s="217" t="s">
        <v>92</v>
      </c>
      <c r="H57" s="217" t="s">
        <v>2819</v>
      </c>
      <c r="I57" s="217" t="s">
        <v>2820</v>
      </c>
      <c r="J57" s="214" t="s">
        <v>206</v>
      </c>
      <c r="K57" s="215"/>
      <c r="L57" s="226"/>
      <c r="M57" s="227"/>
      <c r="N57" s="224"/>
      <c r="O57" s="210"/>
    </row>
    <row r="58">
      <c r="A58" s="212">
        <f t="shared" si="1"/>
        <v>56</v>
      </c>
      <c r="B58" s="212" t="s">
        <v>44</v>
      </c>
      <c r="C58" s="212" t="s">
        <v>206</v>
      </c>
      <c r="D58" s="39"/>
      <c r="E58" s="39"/>
      <c r="F58" s="39"/>
      <c r="G58" s="217" t="s">
        <v>92</v>
      </c>
      <c r="H58" s="217" t="s">
        <v>2821</v>
      </c>
      <c r="I58" s="217" t="s">
        <v>2822</v>
      </c>
      <c r="J58" s="214" t="s">
        <v>206</v>
      </c>
      <c r="K58" s="215"/>
      <c r="L58" s="226"/>
      <c r="M58" s="227"/>
      <c r="N58" s="224"/>
      <c r="O58" s="210"/>
    </row>
    <row r="59">
      <c r="A59" s="212">
        <f t="shared" si="1"/>
        <v>57</v>
      </c>
      <c r="B59" s="212" t="s">
        <v>44</v>
      </c>
      <c r="C59" s="212" t="s">
        <v>210</v>
      </c>
      <c r="D59" s="212" t="s">
        <v>92</v>
      </c>
      <c r="E59" s="212" t="s">
        <v>92</v>
      </c>
      <c r="F59" s="212" t="s">
        <v>613</v>
      </c>
      <c r="G59" s="217" t="s">
        <v>92</v>
      </c>
      <c r="H59" s="213" t="s">
        <v>2823</v>
      </c>
      <c r="I59" s="217" t="s">
        <v>2824</v>
      </c>
      <c r="J59" s="214" t="s">
        <v>210</v>
      </c>
      <c r="K59" s="215" t="s">
        <v>33</v>
      </c>
      <c r="L59" s="226"/>
      <c r="M59" s="227"/>
      <c r="N59" s="224"/>
      <c r="O59" s="210"/>
    </row>
    <row r="60">
      <c r="A60" s="212">
        <f t="shared" si="1"/>
        <v>58</v>
      </c>
      <c r="B60" s="212" t="s">
        <v>44</v>
      </c>
      <c r="C60" s="212" t="s">
        <v>210</v>
      </c>
      <c r="D60" s="212" t="s">
        <v>92</v>
      </c>
      <c r="E60" s="212" t="s">
        <v>92</v>
      </c>
      <c r="F60" s="212" t="s">
        <v>1378</v>
      </c>
      <c r="G60" s="217" t="s">
        <v>92</v>
      </c>
      <c r="H60" s="217" t="s">
        <v>2300</v>
      </c>
      <c r="I60" s="217" t="s">
        <v>2825</v>
      </c>
      <c r="J60" s="214" t="s">
        <v>210</v>
      </c>
      <c r="K60" s="215" t="s">
        <v>33</v>
      </c>
      <c r="L60" s="224"/>
      <c r="M60" s="224"/>
      <c r="N60" s="224"/>
      <c r="O60" s="210"/>
    </row>
    <row r="61">
      <c r="A61" s="212">
        <f t="shared" si="1"/>
        <v>59</v>
      </c>
      <c r="B61" s="212" t="s">
        <v>44</v>
      </c>
      <c r="C61" s="212" t="s">
        <v>210</v>
      </c>
      <c r="D61" s="225" t="s">
        <v>2826</v>
      </c>
      <c r="E61" s="212" t="s">
        <v>92</v>
      </c>
      <c r="F61" s="212" t="s">
        <v>613</v>
      </c>
      <c r="G61" s="217" t="s">
        <v>92</v>
      </c>
      <c r="H61" s="217" t="s">
        <v>2827</v>
      </c>
      <c r="I61" s="217" t="s">
        <v>2828</v>
      </c>
      <c r="J61" s="214" t="s">
        <v>210</v>
      </c>
      <c r="K61" s="215" t="s">
        <v>33</v>
      </c>
      <c r="L61" s="224"/>
      <c r="M61" s="224"/>
      <c r="N61" s="224"/>
      <c r="O61" s="210"/>
    </row>
    <row r="62">
      <c r="A62" s="212">
        <f t="shared" si="1"/>
        <v>60</v>
      </c>
      <c r="B62" s="212" t="s">
        <v>44</v>
      </c>
      <c r="C62" s="212" t="s">
        <v>210</v>
      </c>
      <c r="D62" s="220"/>
      <c r="E62" s="212" t="s">
        <v>92</v>
      </c>
      <c r="F62" s="212" t="s">
        <v>1768</v>
      </c>
      <c r="G62" s="217" t="s">
        <v>92</v>
      </c>
      <c r="H62" s="217" t="s">
        <v>1769</v>
      </c>
      <c r="I62" s="217" t="s">
        <v>2829</v>
      </c>
      <c r="J62" s="214" t="s">
        <v>210</v>
      </c>
      <c r="K62" s="215" t="s">
        <v>33</v>
      </c>
      <c r="L62" s="224"/>
      <c r="M62" s="224"/>
      <c r="N62" s="224"/>
      <c r="O62" s="210"/>
    </row>
    <row r="63">
      <c r="A63" s="212">
        <f t="shared" si="1"/>
        <v>61</v>
      </c>
      <c r="B63" s="212" t="s">
        <v>44</v>
      </c>
      <c r="C63" s="212" t="s">
        <v>210</v>
      </c>
      <c r="D63" s="220"/>
      <c r="E63" s="212" t="s">
        <v>92</v>
      </c>
      <c r="F63" s="212" t="s">
        <v>2830</v>
      </c>
      <c r="G63" s="217" t="s">
        <v>92</v>
      </c>
      <c r="H63" s="217" t="s">
        <v>2831</v>
      </c>
      <c r="I63" s="217" t="s">
        <v>2832</v>
      </c>
      <c r="J63" s="214" t="s">
        <v>210</v>
      </c>
      <c r="K63" s="215" t="s">
        <v>33</v>
      </c>
      <c r="L63" s="224"/>
      <c r="M63" s="224"/>
      <c r="N63" s="224"/>
      <c r="O63" s="210"/>
    </row>
    <row r="64">
      <c r="A64" s="212">
        <f t="shared" si="1"/>
        <v>62</v>
      </c>
      <c r="B64" s="212" t="s">
        <v>44</v>
      </c>
      <c r="C64" s="212" t="s">
        <v>210</v>
      </c>
      <c r="D64" s="220"/>
      <c r="E64" s="212" t="s">
        <v>92</v>
      </c>
      <c r="F64" s="212" t="s">
        <v>7</v>
      </c>
      <c r="G64" s="217" t="s">
        <v>92</v>
      </c>
      <c r="H64" s="217" t="s">
        <v>2833</v>
      </c>
      <c r="I64" s="217" t="s">
        <v>2834</v>
      </c>
      <c r="J64" s="214" t="s">
        <v>210</v>
      </c>
      <c r="K64" s="215" t="s">
        <v>33</v>
      </c>
      <c r="L64" s="224"/>
      <c r="M64" s="224"/>
      <c r="N64" s="224"/>
      <c r="O64" s="210"/>
    </row>
    <row r="65">
      <c r="A65" s="212">
        <f t="shared" si="1"/>
        <v>63</v>
      </c>
      <c r="B65" s="212" t="s">
        <v>44</v>
      </c>
      <c r="C65" s="212" t="s">
        <v>210</v>
      </c>
      <c r="D65" s="220"/>
      <c r="E65" s="212" t="s">
        <v>92</v>
      </c>
      <c r="F65" s="212" t="s">
        <v>664</v>
      </c>
      <c r="G65" s="217" t="s">
        <v>92</v>
      </c>
      <c r="H65" s="217" t="s">
        <v>2835</v>
      </c>
      <c r="I65" s="217" t="s">
        <v>2836</v>
      </c>
      <c r="J65" s="214" t="s">
        <v>210</v>
      </c>
      <c r="K65" s="215" t="s">
        <v>33</v>
      </c>
      <c r="L65" s="224"/>
      <c r="M65" s="224"/>
      <c r="N65" s="224"/>
      <c r="O65" s="210"/>
    </row>
    <row r="66">
      <c r="A66" s="212">
        <f t="shared" si="1"/>
        <v>64</v>
      </c>
      <c r="B66" s="212" t="s">
        <v>44</v>
      </c>
      <c r="C66" s="212" t="s">
        <v>210</v>
      </c>
      <c r="D66" s="220"/>
      <c r="E66" s="212" t="s">
        <v>92</v>
      </c>
      <c r="F66" s="212" t="s">
        <v>2837</v>
      </c>
      <c r="G66" s="217" t="s">
        <v>92</v>
      </c>
      <c r="H66" s="217" t="s">
        <v>2838</v>
      </c>
      <c r="I66" s="217" t="s">
        <v>2839</v>
      </c>
      <c r="J66" s="214" t="s">
        <v>210</v>
      </c>
      <c r="K66" s="215" t="s">
        <v>33</v>
      </c>
      <c r="L66" s="224"/>
      <c r="M66" s="224"/>
      <c r="N66" s="224"/>
      <c r="O66" s="210"/>
    </row>
    <row r="67">
      <c r="A67" s="212">
        <f t="shared" si="1"/>
        <v>65</v>
      </c>
      <c r="B67" s="212" t="s">
        <v>44</v>
      </c>
      <c r="C67" s="212" t="s">
        <v>210</v>
      </c>
      <c r="D67" s="220"/>
      <c r="E67" s="212" t="s">
        <v>92</v>
      </c>
      <c r="F67" s="212" t="s">
        <v>2840</v>
      </c>
      <c r="G67" s="217" t="s">
        <v>92</v>
      </c>
      <c r="H67" s="217" t="s">
        <v>2841</v>
      </c>
      <c r="I67" s="217" t="s">
        <v>2842</v>
      </c>
      <c r="J67" s="214" t="s">
        <v>210</v>
      </c>
      <c r="K67" s="215" t="s">
        <v>33</v>
      </c>
      <c r="L67" s="224"/>
      <c r="M67" s="224"/>
      <c r="N67" s="224"/>
      <c r="O67" s="210"/>
    </row>
    <row r="68">
      <c r="A68" s="212">
        <f t="shared" si="1"/>
        <v>66</v>
      </c>
      <c r="B68" s="212" t="s">
        <v>44</v>
      </c>
      <c r="C68" s="212" t="s">
        <v>210</v>
      </c>
      <c r="D68" s="39"/>
      <c r="E68" s="212" t="s">
        <v>92</v>
      </c>
      <c r="F68" s="212" t="s">
        <v>1040</v>
      </c>
      <c r="G68" s="217" t="s">
        <v>2843</v>
      </c>
      <c r="H68" s="217" t="s">
        <v>1093</v>
      </c>
      <c r="I68" s="217" t="s">
        <v>2844</v>
      </c>
      <c r="J68" s="214" t="s">
        <v>210</v>
      </c>
      <c r="K68" s="215" t="s">
        <v>33</v>
      </c>
      <c r="L68" s="224"/>
      <c r="M68" s="224"/>
      <c r="N68" s="224"/>
      <c r="O68" s="210"/>
    </row>
    <row r="69">
      <c r="A69" s="212">
        <f t="shared" si="1"/>
        <v>67</v>
      </c>
      <c r="B69" s="212" t="s">
        <v>44</v>
      </c>
      <c r="C69" s="212" t="s">
        <v>210</v>
      </c>
      <c r="D69" s="225" t="s">
        <v>2845</v>
      </c>
      <c r="E69" s="212" t="s">
        <v>92</v>
      </c>
      <c r="F69" s="212" t="s">
        <v>613</v>
      </c>
      <c r="G69" s="217" t="s">
        <v>92</v>
      </c>
      <c r="H69" s="217" t="s">
        <v>2846</v>
      </c>
      <c r="I69" s="217" t="s">
        <v>2847</v>
      </c>
      <c r="J69" s="214" t="s">
        <v>210</v>
      </c>
      <c r="K69" s="215" t="s">
        <v>33</v>
      </c>
      <c r="L69" s="224"/>
      <c r="M69" s="224"/>
      <c r="N69" s="224"/>
      <c r="O69" s="210"/>
    </row>
    <row r="70">
      <c r="A70" s="212">
        <f t="shared" si="1"/>
        <v>68</v>
      </c>
      <c r="B70" s="212" t="s">
        <v>44</v>
      </c>
      <c r="C70" s="212" t="s">
        <v>210</v>
      </c>
      <c r="D70" s="220"/>
      <c r="E70" s="225" t="s">
        <v>587</v>
      </c>
      <c r="F70" s="212" t="s">
        <v>2848</v>
      </c>
      <c r="G70" s="217" t="s">
        <v>92</v>
      </c>
      <c r="H70" s="217" t="s">
        <v>2849</v>
      </c>
      <c r="I70" s="217" t="s">
        <v>2850</v>
      </c>
      <c r="J70" s="214" t="s">
        <v>210</v>
      </c>
      <c r="K70" s="215" t="s">
        <v>33</v>
      </c>
      <c r="L70" s="224"/>
      <c r="M70" s="224"/>
      <c r="N70" s="224"/>
      <c r="O70" s="210"/>
    </row>
    <row r="71">
      <c r="A71" s="212">
        <f t="shared" si="1"/>
        <v>69</v>
      </c>
      <c r="B71" s="212" t="s">
        <v>44</v>
      </c>
      <c r="C71" s="212" t="s">
        <v>210</v>
      </c>
      <c r="D71" s="220"/>
      <c r="E71" s="39"/>
      <c r="F71" s="212" t="s">
        <v>1307</v>
      </c>
      <c r="G71" s="217" t="s">
        <v>92</v>
      </c>
      <c r="H71" s="217" t="s">
        <v>2851</v>
      </c>
      <c r="I71" s="217" t="s">
        <v>2852</v>
      </c>
      <c r="J71" s="214" t="s">
        <v>210</v>
      </c>
      <c r="K71" s="215" t="s">
        <v>33</v>
      </c>
      <c r="L71" s="224"/>
      <c r="M71" s="224"/>
      <c r="N71" s="224"/>
      <c r="O71" s="210"/>
    </row>
    <row r="72">
      <c r="A72" s="212">
        <f t="shared" si="1"/>
        <v>70</v>
      </c>
      <c r="B72" s="212" t="s">
        <v>44</v>
      </c>
      <c r="C72" s="212" t="s">
        <v>210</v>
      </c>
      <c r="D72" s="220"/>
      <c r="E72" s="225" t="s">
        <v>2759</v>
      </c>
      <c r="F72" s="225" t="s">
        <v>613</v>
      </c>
      <c r="G72" s="217" t="s">
        <v>92</v>
      </c>
      <c r="H72" s="217" t="s">
        <v>2760</v>
      </c>
      <c r="I72" s="217" t="s">
        <v>2853</v>
      </c>
      <c r="J72" s="214" t="s">
        <v>210</v>
      </c>
      <c r="K72" s="215" t="s">
        <v>33</v>
      </c>
      <c r="L72" s="224"/>
      <c r="M72" s="224"/>
      <c r="N72" s="224"/>
      <c r="O72" s="210"/>
    </row>
    <row r="73">
      <c r="A73" s="212">
        <f t="shared" si="1"/>
        <v>71</v>
      </c>
      <c r="B73" s="212" t="s">
        <v>44</v>
      </c>
      <c r="C73" s="212" t="s">
        <v>210</v>
      </c>
      <c r="D73" s="220"/>
      <c r="E73" s="220"/>
      <c r="F73" s="220"/>
      <c r="G73" s="217" t="s">
        <v>2854</v>
      </c>
      <c r="H73" s="217" t="s">
        <v>2855</v>
      </c>
      <c r="I73" s="217" t="s">
        <v>2856</v>
      </c>
      <c r="J73" s="214" t="s">
        <v>210</v>
      </c>
      <c r="K73" s="215" t="s">
        <v>33</v>
      </c>
      <c r="L73" s="224"/>
      <c r="M73" s="224"/>
      <c r="N73" s="224"/>
      <c r="O73" s="210"/>
    </row>
    <row r="74">
      <c r="A74" s="212">
        <f t="shared" si="1"/>
        <v>72</v>
      </c>
      <c r="B74" s="212" t="s">
        <v>44</v>
      </c>
      <c r="C74" s="212" t="s">
        <v>210</v>
      </c>
      <c r="D74" s="220"/>
      <c r="E74" s="220"/>
      <c r="F74" s="39"/>
      <c r="G74" s="217" t="s">
        <v>2857</v>
      </c>
      <c r="H74" s="217" t="s">
        <v>2855</v>
      </c>
      <c r="I74" s="217" t="s">
        <v>2858</v>
      </c>
      <c r="J74" s="214" t="s">
        <v>210</v>
      </c>
      <c r="K74" s="215" t="s">
        <v>33</v>
      </c>
      <c r="L74" s="224"/>
      <c r="M74" s="224"/>
      <c r="N74" s="224"/>
      <c r="O74" s="210"/>
    </row>
    <row r="75">
      <c r="A75" s="212">
        <f t="shared" si="1"/>
        <v>73</v>
      </c>
      <c r="B75" s="212" t="s">
        <v>44</v>
      </c>
      <c r="C75" s="212" t="s">
        <v>210</v>
      </c>
      <c r="D75" s="220"/>
      <c r="E75" s="220"/>
      <c r="F75" s="212" t="s">
        <v>1898</v>
      </c>
      <c r="G75" s="217" t="s">
        <v>2859</v>
      </c>
      <c r="H75" s="217" t="s">
        <v>2860</v>
      </c>
      <c r="I75" s="217" t="s">
        <v>2861</v>
      </c>
      <c r="J75" s="214" t="s">
        <v>210</v>
      </c>
      <c r="K75" s="215" t="s">
        <v>33</v>
      </c>
      <c r="L75" s="226"/>
      <c r="M75" s="227"/>
      <c r="N75" s="224"/>
      <c r="O75" s="210"/>
    </row>
    <row r="76">
      <c r="A76" s="212">
        <f t="shared" si="1"/>
        <v>74</v>
      </c>
      <c r="B76" s="212" t="s">
        <v>44</v>
      </c>
      <c r="C76" s="212" t="s">
        <v>210</v>
      </c>
      <c r="D76" s="220"/>
      <c r="E76" s="220"/>
      <c r="F76" s="225" t="s">
        <v>2862</v>
      </c>
      <c r="G76" s="249" t="s">
        <v>2859</v>
      </c>
      <c r="H76" s="217" t="s">
        <v>2863</v>
      </c>
      <c r="I76" s="217" t="s">
        <v>2864</v>
      </c>
      <c r="J76" s="214" t="s">
        <v>210</v>
      </c>
      <c r="K76" s="215" t="s">
        <v>33</v>
      </c>
      <c r="L76" s="224"/>
      <c r="M76" s="224"/>
      <c r="N76" s="224"/>
      <c r="O76" s="210"/>
    </row>
    <row r="77">
      <c r="A77" s="212">
        <f t="shared" si="1"/>
        <v>75</v>
      </c>
      <c r="B77" s="212" t="s">
        <v>44</v>
      </c>
      <c r="C77" s="212" t="s">
        <v>210</v>
      </c>
      <c r="D77" s="220"/>
      <c r="E77" s="220"/>
      <c r="F77" s="220"/>
      <c r="G77" s="220"/>
      <c r="H77" s="217" t="s">
        <v>2865</v>
      </c>
      <c r="I77" s="217" t="s">
        <v>2866</v>
      </c>
      <c r="J77" s="242"/>
      <c r="K77" s="215" t="s">
        <v>33</v>
      </c>
      <c r="L77" s="224"/>
      <c r="M77" s="224"/>
      <c r="N77" s="224"/>
      <c r="O77" s="210"/>
    </row>
    <row r="78">
      <c r="A78" s="212">
        <f t="shared" si="1"/>
        <v>76</v>
      </c>
      <c r="B78" s="212" t="s">
        <v>44</v>
      </c>
      <c r="C78" s="212" t="s">
        <v>210</v>
      </c>
      <c r="D78" s="220"/>
      <c r="E78" s="220"/>
      <c r="F78" s="39"/>
      <c r="G78" s="39"/>
      <c r="H78" s="217" t="s">
        <v>2867</v>
      </c>
      <c r="I78" s="217" t="s">
        <v>2868</v>
      </c>
      <c r="J78" s="242"/>
      <c r="K78" s="215" t="s">
        <v>33</v>
      </c>
      <c r="L78" s="224"/>
      <c r="M78" s="224"/>
      <c r="N78" s="224"/>
      <c r="O78" s="210"/>
    </row>
    <row r="79">
      <c r="A79" s="212">
        <f t="shared" si="1"/>
        <v>77</v>
      </c>
      <c r="B79" s="212" t="s">
        <v>44</v>
      </c>
      <c r="C79" s="212" t="s">
        <v>210</v>
      </c>
      <c r="D79" s="220"/>
      <c r="E79" s="220"/>
      <c r="F79" s="225" t="s">
        <v>2869</v>
      </c>
      <c r="G79" s="249" t="s">
        <v>2857</v>
      </c>
      <c r="H79" s="217" t="s">
        <v>2870</v>
      </c>
      <c r="I79" s="217" t="s">
        <v>2871</v>
      </c>
      <c r="J79" s="214" t="s">
        <v>210</v>
      </c>
      <c r="K79" s="215" t="s">
        <v>33</v>
      </c>
      <c r="L79" s="224"/>
      <c r="M79" s="224"/>
      <c r="N79" s="224"/>
      <c r="O79" s="210"/>
    </row>
    <row r="80">
      <c r="A80" s="212">
        <f t="shared" si="1"/>
        <v>78</v>
      </c>
      <c r="B80" s="212" t="s">
        <v>44</v>
      </c>
      <c r="C80" s="212" t="s">
        <v>210</v>
      </c>
      <c r="D80" s="220"/>
      <c r="E80" s="220"/>
      <c r="F80" s="220"/>
      <c r="G80" s="220"/>
      <c r="H80" s="217" t="s">
        <v>2872</v>
      </c>
      <c r="I80" s="217" t="s">
        <v>2873</v>
      </c>
      <c r="J80" s="214" t="s">
        <v>210</v>
      </c>
      <c r="K80" s="215" t="s">
        <v>33</v>
      </c>
      <c r="L80" s="224"/>
      <c r="M80" s="224"/>
      <c r="N80" s="224"/>
      <c r="O80" s="210"/>
    </row>
    <row r="81">
      <c r="A81" s="212">
        <f t="shared" si="1"/>
        <v>79</v>
      </c>
      <c r="B81" s="212" t="s">
        <v>44</v>
      </c>
      <c r="C81" s="212" t="s">
        <v>210</v>
      </c>
      <c r="D81" s="39"/>
      <c r="E81" s="39"/>
      <c r="F81" s="39"/>
      <c r="G81" s="39"/>
      <c r="H81" s="217" t="s">
        <v>2874</v>
      </c>
      <c r="I81" s="217" t="s">
        <v>2875</v>
      </c>
      <c r="J81" s="214" t="s">
        <v>210</v>
      </c>
      <c r="K81" s="215" t="s">
        <v>33</v>
      </c>
      <c r="L81" s="224"/>
      <c r="M81" s="224"/>
      <c r="N81" s="224"/>
      <c r="O81" s="210"/>
    </row>
    <row r="82">
      <c r="A82" s="212">
        <f t="shared" si="1"/>
        <v>80</v>
      </c>
      <c r="B82" s="212" t="s">
        <v>44</v>
      </c>
      <c r="C82" s="212" t="s">
        <v>214</v>
      </c>
      <c r="D82" s="212" t="s">
        <v>92</v>
      </c>
      <c r="E82" s="212" t="s">
        <v>92</v>
      </c>
      <c r="F82" s="212" t="s">
        <v>613</v>
      </c>
      <c r="G82" s="217" t="s">
        <v>92</v>
      </c>
      <c r="H82" s="213" t="s">
        <v>2876</v>
      </c>
      <c r="I82" s="213" t="s">
        <v>2877</v>
      </c>
      <c r="J82" s="214" t="s">
        <v>214</v>
      </c>
      <c r="K82" s="215" t="s">
        <v>33</v>
      </c>
      <c r="L82" s="226"/>
      <c r="M82" s="227"/>
      <c r="N82" s="224"/>
      <c r="O82" s="210"/>
    </row>
    <row r="83">
      <c r="A83" s="212">
        <f t="shared" si="1"/>
        <v>81</v>
      </c>
      <c r="B83" s="212" t="s">
        <v>44</v>
      </c>
      <c r="C83" s="212" t="s">
        <v>214</v>
      </c>
      <c r="D83" s="212" t="s">
        <v>92</v>
      </c>
      <c r="E83" s="212" t="s">
        <v>92</v>
      </c>
      <c r="F83" s="212" t="s">
        <v>1378</v>
      </c>
      <c r="G83" s="217" t="s">
        <v>92</v>
      </c>
      <c r="H83" s="217" t="s">
        <v>2300</v>
      </c>
      <c r="I83" s="217" t="s">
        <v>2878</v>
      </c>
      <c r="J83" s="214" t="s">
        <v>214</v>
      </c>
      <c r="K83" s="215" t="s">
        <v>34</v>
      </c>
      <c r="L83" s="240" t="s">
        <v>2879</v>
      </c>
      <c r="M83" s="227" t="s">
        <v>2880</v>
      </c>
      <c r="N83" s="224"/>
      <c r="O83" s="210"/>
    </row>
    <row r="84">
      <c r="A84" s="212">
        <f t="shared" si="1"/>
        <v>82</v>
      </c>
      <c r="B84" s="212" t="s">
        <v>44</v>
      </c>
      <c r="C84" s="212" t="s">
        <v>214</v>
      </c>
      <c r="D84" s="225" t="s">
        <v>587</v>
      </c>
      <c r="E84" s="212" t="s">
        <v>92</v>
      </c>
      <c r="F84" s="212" t="s">
        <v>613</v>
      </c>
      <c r="G84" s="217" t="s">
        <v>92</v>
      </c>
      <c r="H84" s="217" t="s">
        <v>698</v>
      </c>
      <c r="I84" s="253" t="s">
        <v>2881</v>
      </c>
      <c r="J84" s="214" t="s">
        <v>214</v>
      </c>
      <c r="K84" s="215" t="s">
        <v>33</v>
      </c>
      <c r="L84" s="227"/>
      <c r="M84" s="224"/>
      <c r="N84" s="224"/>
      <c r="O84" s="210"/>
    </row>
    <row r="85">
      <c r="A85" s="212">
        <f t="shared" si="1"/>
        <v>83</v>
      </c>
      <c r="B85" s="212" t="s">
        <v>44</v>
      </c>
      <c r="C85" s="212" t="s">
        <v>214</v>
      </c>
      <c r="D85" s="39"/>
      <c r="E85" s="212" t="s">
        <v>92</v>
      </c>
      <c r="F85" s="212" t="s">
        <v>1307</v>
      </c>
      <c r="G85" s="217" t="s">
        <v>92</v>
      </c>
      <c r="H85" s="217" t="s">
        <v>2882</v>
      </c>
      <c r="I85" s="217" t="s">
        <v>2883</v>
      </c>
      <c r="J85" s="214" t="s">
        <v>214</v>
      </c>
      <c r="K85" s="215" t="s">
        <v>33</v>
      </c>
      <c r="L85" s="226"/>
      <c r="M85" s="227"/>
      <c r="N85" s="224"/>
      <c r="O85" s="210"/>
    </row>
    <row r="86">
      <c r="A86" s="212">
        <f t="shared" si="1"/>
        <v>84</v>
      </c>
      <c r="B86" s="212" t="s">
        <v>44</v>
      </c>
      <c r="C86" s="212" t="s">
        <v>214</v>
      </c>
      <c r="D86" s="212" t="s">
        <v>2884</v>
      </c>
      <c r="E86" s="212" t="s">
        <v>92</v>
      </c>
      <c r="F86" s="212" t="s">
        <v>2884</v>
      </c>
      <c r="G86" s="217" t="s">
        <v>92</v>
      </c>
      <c r="H86" s="217" t="s">
        <v>579</v>
      </c>
      <c r="I86" s="217" t="s">
        <v>2885</v>
      </c>
      <c r="J86" s="214" t="s">
        <v>214</v>
      </c>
      <c r="K86" s="215" t="s">
        <v>33</v>
      </c>
      <c r="L86" s="226"/>
      <c r="M86" s="227"/>
      <c r="N86" s="224"/>
      <c r="O86" s="210"/>
    </row>
    <row r="87">
      <c r="A87" s="212">
        <f t="shared" si="1"/>
        <v>85</v>
      </c>
      <c r="B87" s="212" t="s">
        <v>44</v>
      </c>
      <c r="C87" s="212" t="s">
        <v>214</v>
      </c>
      <c r="D87" s="225" t="s">
        <v>2759</v>
      </c>
      <c r="E87" s="212" t="s">
        <v>92</v>
      </c>
      <c r="F87" s="212" t="s">
        <v>613</v>
      </c>
      <c r="G87" s="217" t="s">
        <v>92</v>
      </c>
      <c r="H87" s="217" t="s">
        <v>2760</v>
      </c>
      <c r="I87" s="217" t="s">
        <v>2886</v>
      </c>
      <c r="J87" s="214" t="s">
        <v>214</v>
      </c>
      <c r="K87" s="215" t="s">
        <v>33</v>
      </c>
      <c r="L87" s="226"/>
      <c r="M87" s="227"/>
      <c r="N87" s="224"/>
      <c r="O87" s="210"/>
    </row>
    <row r="88">
      <c r="A88" s="212">
        <f t="shared" si="1"/>
        <v>86</v>
      </c>
      <c r="B88" s="212" t="s">
        <v>44</v>
      </c>
      <c r="C88" s="212" t="s">
        <v>214</v>
      </c>
      <c r="D88" s="220"/>
      <c r="E88" s="212" t="s">
        <v>92</v>
      </c>
      <c r="F88" s="212" t="s">
        <v>2887</v>
      </c>
      <c r="G88" s="217" t="s">
        <v>2888</v>
      </c>
      <c r="H88" s="217" t="s">
        <v>2889</v>
      </c>
      <c r="I88" s="217" t="s">
        <v>2890</v>
      </c>
      <c r="J88" s="242" t="s">
        <v>2891</v>
      </c>
      <c r="K88" s="215" t="s">
        <v>33</v>
      </c>
      <c r="L88" s="224"/>
      <c r="M88" s="224"/>
      <c r="N88" s="224"/>
      <c r="O88" s="210"/>
    </row>
    <row r="89">
      <c r="A89" s="212">
        <f t="shared" si="1"/>
        <v>87</v>
      </c>
      <c r="B89" s="212" t="s">
        <v>44</v>
      </c>
      <c r="C89" s="212" t="s">
        <v>214</v>
      </c>
      <c r="D89" s="220"/>
      <c r="E89" s="212" t="s">
        <v>92</v>
      </c>
      <c r="F89" s="212" t="s">
        <v>2892</v>
      </c>
      <c r="G89" s="217" t="s">
        <v>2893</v>
      </c>
      <c r="H89" s="217" t="s">
        <v>2894</v>
      </c>
      <c r="I89" s="217" t="s">
        <v>2895</v>
      </c>
      <c r="J89" s="242" t="s">
        <v>2891</v>
      </c>
      <c r="K89" s="215" t="s">
        <v>33</v>
      </c>
      <c r="L89" s="226"/>
      <c r="M89" s="227"/>
      <c r="N89" s="224"/>
      <c r="O89" s="210"/>
    </row>
    <row r="90">
      <c r="A90" s="212">
        <f t="shared" si="1"/>
        <v>88</v>
      </c>
      <c r="B90" s="212" t="s">
        <v>44</v>
      </c>
      <c r="C90" s="212" t="s">
        <v>214</v>
      </c>
      <c r="D90" s="220"/>
      <c r="E90" s="212" t="s">
        <v>92</v>
      </c>
      <c r="F90" s="212" t="s">
        <v>2896</v>
      </c>
      <c r="G90" s="217" t="s">
        <v>2893</v>
      </c>
      <c r="H90" s="217" t="s">
        <v>2897</v>
      </c>
      <c r="I90" s="217" t="s">
        <v>2898</v>
      </c>
      <c r="J90" s="242" t="s">
        <v>2891</v>
      </c>
      <c r="K90" s="215" t="s">
        <v>33</v>
      </c>
      <c r="L90" s="226"/>
      <c r="M90" s="227"/>
      <c r="N90" s="224"/>
      <c r="O90" s="210"/>
    </row>
    <row r="91">
      <c r="A91" s="212">
        <f t="shared" si="1"/>
        <v>89</v>
      </c>
      <c r="B91" s="212" t="s">
        <v>44</v>
      </c>
      <c r="C91" s="212" t="s">
        <v>214</v>
      </c>
      <c r="D91" s="39"/>
      <c r="E91" s="212" t="s">
        <v>92</v>
      </c>
      <c r="F91" s="212" t="s">
        <v>2899</v>
      </c>
      <c r="G91" s="217" t="s">
        <v>92</v>
      </c>
      <c r="H91" s="217" t="s">
        <v>2900</v>
      </c>
      <c r="I91" s="217" t="s">
        <v>2901</v>
      </c>
      <c r="J91" s="242" t="s">
        <v>2891</v>
      </c>
      <c r="K91" s="215" t="s">
        <v>33</v>
      </c>
      <c r="L91" s="226"/>
      <c r="M91" s="227"/>
      <c r="N91" s="224"/>
      <c r="O91" s="210"/>
    </row>
    <row r="92">
      <c r="A92" s="212"/>
      <c r="B92" s="212"/>
      <c r="C92" s="212"/>
      <c r="D92" s="212"/>
      <c r="E92" s="212"/>
      <c r="F92" s="212"/>
      <c r="G92" s="217"/>
      <c r="H92" s="217"/>
      <c r="I92" s="217"/>
      <c r="J92" s="242"/>
      <c r="K92" s="215"/>
      <c r="L92" s="224"/>
      <c r="M92" s="224"/>
      <c r="N92" s="224"/>
      <c r="O92" s="210"/>
    </row>
  </sheetData>
  <mergeCells count="43">
    <mergeCell ref="D27:D32"/>
    <mergeCell ref="F30:F31"/>
    <mergeCell ref="D33:D44"/>
    <mergeCell ref="E35:E40"/>
    <mergeCell ref="F35:F37"/>
    <mergeCell ref="F42:F44"/>
    <mergeCell ref="F46:F48"/>
    <mergeCell ref="D45:D58"/>
    <mergeCell ref="E55:E58"/>
    <mergeCell ref="F57:F58"/>
    <mergeCell ref="D61:D68"/>
    <mergeCell ref="E70:E71"/>
    <mergeCell ref="E72:E81"/>
    <mergeCell ref="F79:F81"/>
    <mergeCell ref="D87:D91"/>
    <mergeCell ref="K1:K2"/>
    <mergeCell ref="L1:L2"/>
    <mergeCell ref="M1:M2"/>
    <mergeCell ref="N1:N2"/>
    <mergeCell ref="A1:A2"/>
    <mergeCell ref="C1:E1"/>
    <mergeCell ref="F1:F2"/>
    <mergeCell ref="G1:G2"/>
    <mergeCell ref="H1:H2"/>
    <mergeCell ref="I1:I2"/>
    <mergeCell ref="J1:J2"/>
    <mergeCell ref="E20:E26"/>
    <mergeCell ref="F22:F26"/>
    <mergeCell ref="D6:D26"/>
    <mergeCell ref="E7:E13"/>
    <mergeCell ref="F9:F10"/>
    <mergeCell ref="F11:F12"/>
    <mergeCell ref="E14:E19"/>
    <mergeCell ref="F16:F17"/>
    <mergeCell ref="F18:F19"/>
    <mergeCell ref="E41:E44"/>
    <mergeCell ref="E45:E53"/>
    <mergeCell ref="F72:F74"/>
    <mergeCell ref="F76:F78"/>
    <mergeCell ref="G76:G78"/>
    <mergeCell ref="G79:G81"/>
    <mergeCell ref="D69:D81"/>
    <mergeCell ref="D84:D85"/>
  </mergeCells>
  <conditionalFormatting sqref="K82">
    <cfRule type="notContainsBlanks" dxfId="4" priority="1">
      <formula>LEN(TRIM(K82))&gt;0</formula>
    </cfRule>
  </conditionalFormatting>
  <conditionalFormatting sqref="K83">
    <cfRule type="notContainsBlanks" dxfId="4" priority="2">
      <formula>LEN(TRIM(K83))&gt;0</formula>
    </cfRule>
  </conditionalFormatting>
  <conditionalFormatting sqref="K3:K92">
    <cfRule type="cellIs" dxfId="4" priority="3" operator="equal">
      <formula>"PASS"</formula>
    </cfRule>
  </conditionalFormatting>
  <conditionalFormatting sqref="K3:K92">
    <cfRule type="cellIs" dxfId="5" priority="4" operator="equal">
      <formula>"FAIL"</formula>
    </cfRule>
  </conditionalFormatting>
  <conditionalFormatting sqref="K3:K92">
    <cfRule type="cellIs" dxfId="6" priority="5" operator="equal">
      <formula>"N/A"</formula>
    </cfRule>
  </conditionalFormatting>
  <conditionalFormatting sqref="K3:K92">
    <cfRule type="cellIs" dxfId="7" priority="6" operator="equal">
      <formula>"N/T"</formula>
    </cfRule>
  </conditionalFormatting>
  <dataValidations>
    <dataValidation type="list" allowBlank="1" sqref="K3:K92">
      <formula1>"PASS,FAIL,N/A,N/T"</formula1>
    </dataValidation>
  </dataValidations>
  <hyperlinks>
    <hyperlink r:id="rId1" ref="J3"/>
    <hyperlink r:id="rId2" ref="J4"/>
    <hyperlink r:id="rId3" ref="J5"/>
    <hyperlink r:id="rId4" ref="J6"/>
    <hyperlink r:id="rId5" ref="J7"/>
    <hyperlink r:id="rId6" ref="L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L14"/>
    <hyperlink r:id="rId15" ref="J15"/>
    <hyperlink r:id="rId16" ref="J16"/>
    <hyperlink r:id="rId17" ref="J17"/>
    <hyperlink r:id="rId18" ref="J18"/>
    <hyperlink r:id="rId19" ref="J19"/>
    <hyperlink r:id="rId20" ref="J20"/>
    <hyperlink r:id="rId21" ref="L20"/>
    <hyperlink r:id="rId22" ref="J21"/>
    <hyperlink r:id="rId23" ref="J22"/>
    <hyperlink r:id="rId24" ref="J23"/>
    <hyperlink r:id="rId25" ref="J24"/>
    <hyperlink r:id="rId26" ref="J25"/>
    <hyperlink r:id="rId27" ref="J26"/>
    <hyperlink r:id="rId28" ref="J27"/>
    <hyperlink r:id="rId29" ref="J28"/>
    <hyperlink r:id="rId30" ref="J29"/>
    <hyperlink r:id="rId31" ref="L29"/>
    <hyperlink r:id="rId32" ref="J30"/>
    <hyperlink r:id="rId33" ref="J31"/>
    <hyperlink r:id="rId34" ref="J32"/>
    <hyperlink r:id="rId35" ref="J33"/>
    <hyperlink r:id="rId36" ref="L33"/>
    <hyperlink r:id="rId37" ref="J34"/>
    <hyperlink r:id="rId38" ref="L34"/>
    <hyperlink r:id="rId39" ref="J35"/>
    <hyperlink r:id="rId40" ref="J36"/>
    <hyperlink r:id="rId41" ref="J37"/>
    <hyperlink r:id="rId42" ref="J38"/>
    <hyperlink r:id="rId43" ref="J39"/>
    <hyperlink r:id="rId44" ref="J40"/>
    <hyperlink r:id="rId45" ref="J41"/>
    <hyperlink r:id="rId46" ref="J42"/>
    <hyperlink r:id="rId47" ref="J43"/>
    <hyperlink r:id="rId48" ref="J44"/>
    <hyperlink r:id="rId49" ref="J45"/>
    <hyperlink r:id="rId50" ref="J46"/>
    <hyperlink r:id="rId51" ref="J47"/>
    <hyperlink r:id="rId52" ref="J48"/>
    <hyperlink r:id="rId53" ref="J49"/>
    <hyperlink r:id="rId54" ref="J50"/>
    <hyperlink r:id="rId55" ref="J51"/>
    <hyperlink r:id="rId56" ref="J52"/>
    <hyperlink r:id="rId57" ref="J53"/>
    <hyperlink r:id="rId58" ref="J54"/>
    <hyperlink r:id="rId59" ref="J55"/>
    <hyperlink r:id="rId60" ref="J56"/>
    <hyperlink r:id="rId61" ref="J57"/>
    <hyperlink r:id="rId62" ref="J58"/>
    <hyperlink r:id="rId63" ref="J59"/>
    <hyperlink r:id="rId64" ref="J60"/>
    <hyperlink r:id="rId65" ref="J61"/>
    <hyperlink r:id="rId66" ref="J62"/>
    <hyperlink r:id="rId67" ref="J63"/>
    <hyperlink r:id="rId68" ref="J64"/>
    <hyperlink r:id="rId69" ref="J65"/>
    <hyperlink r:id="rId70" ref="J66"/>
    <hyperlink r:id="rId71" ref="J67"/>
    <hyperlink r:id="rId72" ref="J68"/>
    <hyperlink r:id="rId73" ref="J69"/>
    <hyperlink r:id="rId74" ref="J70"/>
    <hyperlink r:id="rId75" ref="J71"/>
    <hyperlink r:id="rId76" ref="J72"/>
    <hyperlink r:id="rId77" ref="J73"/>
    <hyperlink r:id="rId78" ref="J74"/>
    <hyperlink r:id="rId79" ref="J75"/>
    <hyperlink r:id="rId80" ref="J76"/>
    <hyperlink r:id="rId81" ref="J79"/>
    <hyperlink r:id="rId82" ref="J80"/>
    <hyperlink r:id="rId83" ref="J81"/>
    <hyperlink r:id="rId84" ref="J82"/>
    <hyperlink r:id="rId85" ref="J83"/>
    <hyperlink r:id="rId86" ref="L83"/>
    <hyperlink r:id="rId87" ref="I84"/>
    <hyperlink r:id="rId88" ref="J84"/>
    <hyperlink r:id="rId89" ref="J85"/>
    <hyperlink r:id="rId90" ref="J86"/>
    <hyperlink r:id="rId91" ref="J87"/>
  </hyperlinks>
  <drawing r:id="rId9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152" t="s">
        <v>75</v>
      </c>
      <c r="D2" s="153" t="s">
        <v>76</v>
      </c>
      <c r="E2" s="153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240" si="1">COUNTA($I$3:$I3)</f>
        <v>1</v>
      </c>
      <c r="B3" s="212" t="s">
        <v>2902</v>
      </c>
      <c r="C3" s="212" t="s">
        <v>2902</v>
      </c>
      <c r="D3" s="225" t="s">
        <v>92</v>
      </c>
      <c r="E3" s="225" t="s">
        <v>92</v>
      </c>
      <c r="F3" s="225" t="s">
        <v>2903</v>
      </c>
      <c r="G3" s="217" t="s">
        <v>2904</v>
      </c>
      <c r="H3" s="217" t="s">
        <v>2905</v>
      </c>
      <c r="I3" s="217" t="s">
        <v>2906</v>
      </c>
      <c r="J3" s="242" t="s">
        <v>92</v>
      </c>
      <c r="K3" s="215" t="s">
        <v>33</v>
      </c>
      <c r="L3" s="224"/>
      <c r="M3" s="224"/>
      <c r="N3" s="224"/>
      <c r="O3" s="210"/>
    </row>
    <row r="4">
      <c r="A4" s="212">
        <f t="shared" si="1"/>
        <v>2</v>
      </c>
      <c r="B4" s="212" t="s">
        <v>2902</v>
      </c>
      <c r="C4" s="212" t="s">
        <v>2902</v>
      </c>
      <c r="D4" s="39"/>
      <c r="E4" s="39"/>
      <c r="F4" s="39"/>
      <c r="G4" s="217" t="s">
        <v>2907</v>
      </c>
      <c r="H4" s="213" t="s">
        <v>2908</v>
      </c>
      <c r="I4" s="217" t="s">
        <v>2909</v>
      </c>
      <c r="J4" s="242" t="s">
        <v>92</v>
      </c>
      <c r="K4" s="215" t="s">
        <v>33</v>
      </c>
      <c r="L4" s="224"/>
      <c r="M4" s="224"/>
      <c r="N4" s="224"/>
      <c r="O4" s="210"/>
    </row>
    <row r="5">
      <c r="A5" s="212">
        <f t="shared" si="1"/>
        <v>3</v>
      </c>
      <c r="B5" s="212" t="s">
        <v>2902</v>
      </c>
      <c r="C5" s="225" t="s">
        <v>218</v>
      </c>
      <c r="D5" s="212" t="s">
        <v>92</v>
      </c>
      <c r="E5" s="212" t="s">
        <v>92</v>
      </c>
      <c r="F5" s="212" t="s">
        <v>613</v>
      </c>
      <c r="G5" s="217" t="s">
        <v>2907</v>
      </c>
      <c r="H5" s="217" t="s">
        <v>2910</v>
      </c>
      <c r="I5" s="217" t="s">
        <v>2911</v>
      </c>
      <c r="J5" s="214" t="s">
        <v>218</v>
      </c>
      <c r="K5" s="215" t="s">
        <v>33</v>
      </c>
      <c r="L5" s="224"/>
      <c r="M5" s="224"/>
      <c r="N5" s="224"/>
      <c r="O5" s="210"/>
    </row>
    <row r="6">
      <c r="A6" s="212">
        <f t="shared" si="1"/>
        <v>4</v>
      </c>
      <c r="B6" s="212" t="s">
        <v>2902</v>
      </c>
      <c r="C6" s="225" t="s">
        <v>218</v>
      </c>
      <c r="D6" s="212" t="s">
        <v>92</v>
      </c>
      <c r="E6" s="212" t="s">
        <v>92</v>
      </c>
      <c r="F6" s="212" t="s">
        <v>1378</v>
      </c>
      <c r="G6" s="217" t="s">
        <v>92</v>
      </c>
      <c r="H6" s="217" t="s">
        <v>2300</v>
      </c>
      <c r="I6" s="217" t="s">
        <v>2912</v>
      </c>
      <c r="J6" s="214" t="s">
        <v>218</v>
      </c>
      <c r="K6" s="215" t="s">
        <v>33</v>
      </c>
      <c r="L6" s="224"/>
      <c r="M6" s="224"/>
      <c r="N6" s="224"/>
      <c r="O6" s="210"/>
    </row>
    <row r="7">
      <c r="A7" s="212">
        <f t="shared" si="1"/>
        <v>5</v>
      </c>
      <c r="B7" s="212" t="s">
        <v>2902</v>
      </c>
      <c r="C7" s="225" t="s">
        <v>218</v>
      </c>
      <c r="D7" s="225" t="s">
        <v>1411</v>
      </c>
      <c r="E7" s="212" t="s">
        <v>92</v>
      </c>
      <c r="F7" s="212" t="s">
        <v>613</v>
      </c>
      <c r="G7" s="217" t="s">
        <v>92</v>
      </c>
      <c r="H7" s="217" t="s">
        <v>1412</v>
      </c>
      <c r="I7" s="217" t="s">
        <v>2913</v>
      </c>
      <c r="J7" s="214" t="s">
        <v>218</v>
      </c>
      <c r="K7" s="215" t="s">
        <v>33</v>
      </c>
      <c r="L7" s="224"/>
      <c r="M7" s="224"/>
      <c r="N7" s="224"/>
      <c r="O7" s="210"/>
    </row>
    <row r="8">
      <c r="A8" s="212">
        <f t="shared" si="1"/>
        <v>6</v>
      </c>
      <c r="B8" s="212" t="s">
        <v>2902</v>
      </c>
      <c r="C8" s="225" t="s">
        <v>218</v>
      </c>
      <c r="D8" s="39"/>
      <c r="E8" s="212" t="s">
        <v>92</v>
      </c>
      <c r="F8" s="212" t="s">
        <v>2914</v>
      </c>
      <c r="G8" s="217" t="s">
        <v>92</v>
      </c>
      <c r="H8" s="217" t="s">
        <v>2915</v>
      </c>
      <c r="I8" s="217" t="s">
        <v>2916</v>
      </c>
      <c r="J8" s="214" t="s">
        <v>218</v>
      </c>
      <c r="K8" s="215" t="s">
        <v>33</v>
      </c>
      <c r="L8" s="226"/>
      <c r="M8" s="227"/>
      <c r="N8" s="224"/>
      <c r="O8" s="210"/>
    </row>
    <row r="9">
      <c r="A9" s="212">
        <f t="shared" si="1"/>
        <v>7</v>
      </c>
      <c r="B9" s="212" t="s">
        <v>2902</v>
      </c>
      <c r="C9" s="225" t="s">
        <v>218</v>
      </c>
      <c r="D9" s="225" t="s">
        <v>2917</v>
      </c>
      <c r="E9" s="212" t="s">
        <v>92</v>
      </c>
      <c r="F9" s="212" t="s">
        <v>613</v>
      </c>
      <c r="G9" s="217" t="s">
        <v>92</v>
      </c>
      <c r="H9" s="217" t="s">
        <v>2918</v>
      </c>
      <c r="I9" s="217" t="s">
        <v>2919</v>
      </c>
      <c r="J9" s="214" t="s">
        <v>218</v>
      </c>
      <c r="K9" s="215" t="s">
        <v>33</v>
      </c>
      <c r="L9" s="224"/>
      <c r="M9" s="224"/>
      <c r="N9" s="224"/>
      <c r="O9" s="210"/>
    </row>
    <row r="10">
      <c r="A10" s="212">
        <f t="shared" si="1"/>
        <v>8</v>
      </c>
      <c r="B10" s="212" t="s">
        <v>2902</v>
      </c>
      <c r="C10" s="225" t="s">
        <v>218</v>
      </c>
      <c r="D10" s="220"/>
      <c r="E10" s="212" t="s">
        <v>92</v>
      </c>
      <c r="F10" s="225" t="s">
        <v>2920</v>
      </c>
      <c r="G10" s="217" t="s">
        <v>2921</v>
      </c>
      <c r="H10" s="217" t="s">
        <v>2922</v>
      </c>
      <c r="I10" s="217" t="s">
        <v>2923</v>
      </c>
      <c r="J10" s="214" t="s">
        <v>218</v>
      </c>
      <c r="K10" s="215" t="s">
        <v>33</v>
      </c>
      <c r="L10" s="224"/>
      <c r="M10" s="224"/>
      <c r="N10" s="224"/>
      <c r="O10" s="210"/>
    </row>
    <row r="11">
      <c r="A11" s="212">
        <f t="shared" si="1"/>
        <v>9</v>
      </c>
      <c r="B11" s="212" t="s">
        <v>2902</v>
      </c>
      <c r="C11" s="225" t="s">
        <v>218</v>
      </c>
      <c r="D11" s="220"/>
      <c r="E11" s="212" t="s">
        <v>92</v>
      </c>
      <c r="F11" s="220"/>
      <c r="G11" s="217" t="s">
        <v>2924</v>
      </c>
      <c r="H11" s="217" t="s">
        <v>2925</v>
      </c>
      <c r="I11" s="217" t="s">
        <v>2926</v>
      </c>
      <c r="J11" s="214" t="s">
        <v>218</v>
      </c>
      <c r="K11" s="215" t="s">
        <v>33</v>
      </c>
      <c r="L11" s="224"/>
      <c r="M11" s="224"/>
      <c r="N11" s="224"/>
      <c r="O11" s="210"/>
    </row>
    <row r="12">
      <c r="A12" s="212">
        <f t="shared" si="1"/>
        <v>10</v>
      </c>
      <c r="B12" s="212" t="s">
        <v>2902</v>
      </c>
      <c r="C12" s="225" t="s">
        <v>218</v>
      </c>
      <c r="D12" s="39"/>
      <c r="E12" s="212" t="s">
        <v>92</v>
      </c>
      <c r="F12" s="39"/>
      <c r="G12" s="217" t="s">
        <v>2927</v>
      </c>
      <c r="H12" s="217" t="s">
        <v>2922</v>
      </c>
      <c r="I12" s="217" t="s">
        <v>2928</v>
      </c>
      <c r="J12" s="214" t="s">
        <v>218</v>
      </c>
      <c r="K12" s="215" t="s">
        <v>33</v>
      </c>
      <c r="L12" s="224"/>
      <c r="M12" s="224"/>
      <c r="N12" s="224"/>
      <c r="O12" s="210"/>
    </row>
    <row r="13">
      <c r="A13" s="212">
        <f t="shared" si="1"/>
        <v>11</v>
      </c>
      <c r="B13" s="212" t="s">
        <v>2902</v>
      </c>
      <c r="C13" s="225" t="s">
        <v>221</v>
      </c>
      <c r="D13" s="212" t="s">
        <v>92</v>
      </c>
      <c r="E13" s="212" t="s">
        <v>92</v>
      </c>
      <c r="F13" s="212" t="s">
        <v>613</v>
      </c>
      <c r="G13" s="217" t="s">
        <v>92</v>
      </c>
      <c r="H13" s="217" t="s">
        <v>2929</v>
      </c>
      <c r="I13" s="217" t="s">
        <v>2930</v>
      </c>
      <c r="J13" s="214" t="s">
        <v>221</v>
      </c>
      <c r="K13" s="215" t="s">
        <v>34</v>
      </c>
      <c r="L13" s="240" t="s">
        <v>2931</v>
      </c>
      <c r="M13" s="227" t="s">
        <v>2932</v>
      </c>
      <c r="N13" s="224"/>
      <c r="O13" s="210"/>
    </row>
    <row r="14">
      <c r="A14" s="212">
        <f t="shared" si="1"/>
        <v>12</v>
      </c>
      <c r="B14" s="212" t="s">
        <v>2902</v>
      </c>
      <c r="C14" s="225" t="s">
        <v>221</v>
      </c>
      <c r="D14" s="225" t="s">
        <v>587</v>
      </c>
      <c r="E14" s="212" t="s">
        <v>92</v>
      </c>
      <c r="F14" s="212" t="s">
        <v>1307</v>
      </c>
      <c r="G14" s="217" t="s">
        <v>92</v>
      </c>
      <c r="H14" s="217" t="s">
        <v>2933</v>
      </c>
      <c r="I14" s="217" t="s">
        <v>2934</v>
      </c>
      <c r="J14" s="214" t="s">
        <v>221</v>
      </c>
      <c r="K14" s="215"/>
      <c r="L14" s="226"/>
      <c r="M14" s="227"/>
      <c r="N14" s="224"/>
      <c r="O14" s="210"/>
    </row>
    <row r="15">
      <c r="A15" s="212">
        <f t="shared" si="1"/>
        <v>13</v>
      </c>
      <c r="B15" s="212" t="s">
        <v>2902</v>
      </c>
      <c r="C15" s="225" t="s">
        <v>221</v>
      </c>
      <c r="D15" s="220"/>
      <c r="E15" s="212" t="s">
        <v>92</v>
      </c>
      <c r="F15" s="225" t="s">
        <v>1307</v>
      </c>
      <c r="G15" s="217" t="s">
        <v>92</v>
      </c>
      <c r="H15" s="217" t="s">
        <v>2935</v>
      </c>
      <c r="I15" s="217" t="s">
        <v>2936</v>
      </c>
      <c r="J15" s="214" t="s">
        <v>221</v>
      </c>
      <c r="K15" s="215"/>
      <c r="L15" s="227"/>
      <c r="M15" s="224"/>
      <c r="N15" s="224"/>
      <c r="O15" s="210"/>
    </row>
    <row r="16">
      <c r="A16" s="212">
        <f t="shared" si="1"/>
        <v>14</v>
      </c>
      <c r="B16" s="212" t="s">
        <v>2902</v>
      </c>
      <c r="C16" s="225" t="s">
        <v>221</v>
      </c>
      <c r="D16" s="220"/>
      <c r="E16" s="212" t="s">
        <v>92</v>
      </c>
      <c r="F16" s="39"/>
      <c r="G16" s="217" t="s">
        <v>2937</v>
      </c>
      <c r="H16" s="217" t="s">
        <v>2938</v>
      </c>
      <c r="I16" s="217" t="s">
        <v>2939</v>
      </c>
      <c r="J16" s="214" t="s">
        <v>221</v>
      </c>
      <c r="K16" s="215"/>
      <c r="L16" s="227"/>
      <c r="M16" s="224"/>
      <c r="N16" s="224"/>
      <c r="O16" s="210"/>
    </row>
    <row r="17">
      <c r="A17" s="212">
        <f t="shared" si="1"/>
        <v>15</v>
      </c>
      <c r="B17" s="212" t="s">
        <v>2902</v>
      </c>
      <c r="C17" s="225" t="s">
        <v>221</v>
      </c>
      <c r="D17" s="39"/>
      <c r="E17" s="212" t="s">
        <v>92</v>
      </c>
      <c r="F17" s="212" t="s">
        <v>608</v>
      </c>
      <c r="G17" s="217" t="s">
        <v>92</v>
      </c>
      <c r="H17" s="217" t="s">
        <v>1479</v>
      </c>
      <c r="I17" s="217" t="s">
        <v>2940</v>
      </c>
      <c r="J17" s="214" t="s">
        <v>221</v>
      </c>
      <c r="K17" s="215"/>
      <c r="L17" s="227"/>
      <c r="M17" s="224"/>
      <c r="N17" s="224"/>
      <c r="O17" s="210"/>
    </row>
    <row r="18">
      <c r="A18" s="212">
        <f t="shared" si="1"/>
        <v>16</v>
      </c>
      <c r="B18" s="212" t="s">
        <v>2902</v>
      </c>
      <c r="C18" s="225" t="s">
        <v>221</v>
      </c>
      <c r="D18" s="225" t="s">
        <v>2941</v>
      </c>
      <c r="E18" s="212" t="s">
        <v>92</v>
      </c>
      <c r="F18" s="225" t="s">
        <v>2942</v>
      </c>
      <c r="G18" s="217" t="s">
        <v>2943</v>
      </c>
      <c r="H18" s="217" t="s">
        <v>2944</v>
      </c>
      <c r="I18" s="217" t="s">
        <v>2945</v>
      </c>
      <c r="J18" s="214" t="s">
        <v>221</v>
      </c>
      <c r="K18" s="215"/>
      <c r="L18" s="224"/>
      <c r="M18" s="224"/>
      <c r="N18" s="224"/>
      <c r="O18" s="210"/>
    </row>
    <row r="19">
      <c r="A19" s="212">
        <f t="shared" si="1"/>
        <v>17</v>
      </c>
      <c r="B19" s="212" t="s">
        <v>2902</v>
      </c>
      <c r="C19" s="225" t="s">
        <v>221</v>
      </c>
      <c r="D19" s="220"/>
      <c r="E19" s="212" t="s">
        <v>92</v>
      </c>
      <c r="F19" s="220"/>
      <c r="G19" s="217" t="s">
        <v>2946</v>
      </c>
      <c r="H19" s="217" t="s">
        <v>2947</v>
      </c>
      <c r="I19" s="217" t="s">
        <v>2948</v>
      </c>
      <c r="J19" s="214" t="s">
        <v>221</v>
      </c>
      <c r="K19" s="215"/>
      <c r="L19" s="224"/>
      <c r="M19" s="224"/>
      <c r="N19" s="224"/>
      <c r="O19" s="210"/>
    </row>
    <row r="20">
      <c r="A20" s="212">
        <f t="shared" si="1"/>
        <v>18</v>
      </c>
      <c r="B20" s="212" t="s">
        <v>2902</v>
      </c>
      <c r="C20" s="225" t="s">
        <v>221</v>
      </c>
      <c r="D20" s="220"/>
      <c r="E20" s="212" t="s">
        <v>92</v>
      </c>
      <c r="F20" s="39"/>
      <c r="G20" s="217" t="s">
        <v>2949</v>
      </c>
      <c r="H20" s="217" t="s">
        <v>2947</v>
      </c>
      <c r="I20" s="217" t="s">
        <v>2950</v>
      </c>
      <c r="J20" s="214" t="s">
        <v>221</v>
      </c>
      <c r="K20" s="215"/>
      <c r="L20" s="224"/>
      <c r="M20" s="224"/>
      <c r="N20" s="224"/>
      <c r="O20" s="210"/>
    </row>
    <row r="21">
      <c r="A21" s="212">
        <f t="shared" si="1"/>
        <v>19</v>
      </c>
      <c r="B21" s="212" t="s">
        <v>2902</v>
      </c>
      <c r="C21" s="225" t="s">
        <v>221</v>
      </c>
      <c r="D21" s="39"/>
      <c r="E21" s="212" t="s">
        <v>92</v>
      </c>
      <c r="F21" s="212" t="s">
        <v>2951</v>
      </c>
      <c r="G21" s="217" t="s">
        <v>2952</v>
      </c>
      <c r="H21" s="217" t="s">
        <v>2953</v>
      </c>
      <c r="I21" s="217" t="s">
        <v>2954</v>
      </c>
      <c r="J21" s="214" t="s">
        <v>221</v>
      </c>
      <c r="K21" s="215"/>
      <c r="L21" s="224"/>
      <c r="M21" s="224"/>
      <c r="N21" s="224"/>
      <c r="O21" s="210"/>
    </row>
    <row r="22">
      <c r="A22" s="212">
        <f t="shared" si="1"/>
        <v>20</v>
      </c>
      <c r="B22" s="212" t="s">
        <v>2902</v>
      </c>
      <c r="C22" s="225" t="s">
        <v>221</v>
      </c>
      <c r="D22" s="225" t="s">
        <v>2955</v>
      </c>
      <c r="E22" s="212" t="s">
        <v>92</v>
      </c>
      <c r="F22" s="225" t="s">
        <v>2942</v>
      </c>
      <c r="G22" s="217" t="s">
        <v>2943</v>
      </c>
      <c r="H22" s="217" t="s">
        <v>2956</v>
      </c>
      <c r="I22" s="217" t="s">
        <v>2957</v>
      </c>
      <c r="J22" s="214" t="s">
        <v>221</v>
      </c>
      <c r="K22" s="215"/>
      <c r="L22" s="224"/>
      <c r="M22" s="224"/>
      <c r="N22" s="224"/>
      <c r="O22" s="210"/>
    </row>
    <row r="23">
      <c r="A23" s="212">
        <f t="shared" si="1"/>
        <v>21</v>
      </c>
      <c r="B23" s="212" t="s">
        <v>2902</v>
      </c>
      <c r="C23" s="225" t="s">
        <v>221</v>
      </c>
      <c r="D23" s="220"/>
      <c r="E23" s="212" t="s">
        <v>92</v>
      </c>
      <c r="F23" s="220"/>
      <c r="G23" s="217" t="s">
        <v>2946</v>
      </c>
      <c r="H23" s="217" t="s">
        <v>2958</v>
      </c>
      <c r="I23" s="217" t="s">
        <v>2959</v>
      </c>
      <c r="J23" s="214" t="s">
        <v>221</v>
      </c>
      <c r="K23" s="215"/>
      <c r="L23" s="226"/>
      <c r="M23" s="227"/>
      <c r="N23" s="224"/>
      <c r="O23" s="210"/>
    </row>
    <row r="24">
      <c r="A24" s="212">
        <f t="shared" si="1"/>
        <v>22</v>
      </c>
      <c r="B24" s="212" t="s">
        <v>2902</v>
      </c>
      <c r="C24" s="225" t="s">
        <v>221</v>
      </c>
      <c r="D24" s="220"/>
      <c r="E24" s="212" t="s">
        <v>92</v>
      </c>
      <c r="F24" s="39"/>
      <c r="G24" s="217" t="s">
        <v>2949</v>
      </c>
      <c r="H24" s="217" t="s">
        <v>2958</v>
      </c>
      <c r="I24" s="217" t="s">
        <v>2950</v>
      </c>
      <c r="J24" s="214" t="s">
        <v>221</v>
      </c>
      <c r="K24" s="215"/>
      <c r="L24" s="224"/>
      <c r="M24" s="224"/>
      <c r="N24" s="224"/>
      <c r="O24" s="210"/>
    </row>
    <row r="25">
      <c r="A25" s="212">
        <f t="shared" si="1"/>
        <v>23</v>
      </c>
      <c r="B25" s="212" t="s">
        <v>2902</v>
      </c>
      <c r="C25" s="225" t="s">
        <v>221</v>
      </c>
      <c r="D25" s="220"/>
      <c r="E25" s="212" t="s">
        <v>92</v>
      </c>
      <c r="F25" s="225" t="s">
        <v>2960</v>
      </c>
      <c r="G25" s="217" t="s">
        <v>2961</v>
      </c>
      <c r="H25" s="217" t="s">
        <v>2962</v>
      </c>
      <c r="I25" s="217" t="s">
        <v>2963</v>
      </c>
      <c r="J25" s="214" t="s">
        <v>221</v>
      </c>
      <c r="K25" s="215"/>
      <c r="L25" s="224"/>
      <c r="M25" s="224"/>
      <c r="N25" s="224"/>
      <c r="O25" s="210"/>
    </row>
    <row r="26">
      <c r="A26" s="212">
        <f t="shared" si="1"/>
        <v>24</v>
      </c>
      <c r="B26" s="212" t="s">
        <v>2902</v>
      </c>
      <c r="C26" s="225" t="s">
        <v>221</v>
      </c>
      <c r="D26" s="220"/>
      <c r="E26" s="212" t="s">
        <v>92</v>
      </c>
      <c r="F26" s="220"/>
      <c r="G26" s="217" t="s">
        <v>2964</v>
      </c>
      <c r="H26" s="217" t="s">
        <v>2965</v>
      </c>
      <c r="I26" s="217" t="s">
        <v>2966</v>
      </c>
      <c r="J26" s="214" t="s">
        <v>221</v>
      </c>
      <c r="K26" s="215"/>
      <c r="L26" s="224"/>
      <c r="M26" s="224"/>
      <c r="N26" s="224"/>
      <c r="O26" s="210"/>
    </row>
    <row r="27">
      <c r="A27" s="212">
        <f t="shared" si="1"/>
        <v>25</v>
      </c>
      <c r="B27" s="212" t="s">
        <v>2902</v>
      </c>
      <c r="C27" s="225" t="s">
        <v>221</v>
      </c>
      <c r="D27" s="39"/>
      <c r="E27" s="212" t="s">
        <v>92</v>
      </c>
      <c r="F27" s="39"/>
      <c r="G27" s="217" t="s">
        <v>2967</v>
      </c>
      <c r="H27" s="217" t="s">
        <v>2968</v>
      </c>
      <c r="I27" s="217" t="s">
        <v>2969</v>
      </c>
      <c r="J27" s="214" t="s">
        <v>221</v>
      </c>
      <c r="K27" s="215"/>
      <c r="L27" s="226"/>
      <c r="M27" s="227"/>
      <c r="N27" s="224"/>
      <c r="O27" s="210"/>
    </row>
    <row r="28">
      <c r="A28" s="212">
        <f t="shared" si="1"/>
        <v>26</v>
      </c>
      <c r="B28" s="212" t="s">
        <v>2902</v>
      </c>
      <c r="C28" s="225" t="s">
        <v>221</v>
      </c>
      <c r="D28" s="225" t="s">
        <v>2970</v>
      </c>
      <c r="E28" s="212" t="s">
        <v>92</v>
      </c>
      <c r="F28" s="212" t="s">
        <v>613</v>
      </c>
      <c r="G28" s="217" t="s">
        <v>92</v>
      </c>
      <c r="H28" s="217" t="s">
        <v>2971</v>
      </c>
      <c r="I28" s="217" t="s">
        <v>2972</v>
      </c>
      <c r="J28" s="214" t="s">
        <v>221</v>
      </c>
      <c r="K28" s="215"/>
      <c r="L28" s="224"/>
      <c r="M28" s="227"/>
      <c r="N28" s="224"/>
      <c r="O28" s="210"/>
    </row>
    <row r="29">
      <c r="A29" s="212">
        <f t="shared" si="1"/>
        <v>27</v>
      </c>
      <c r="B29" s="212" t="s">
        <v>2902</v>
      </c>
      <c r="C29" s="225" t="s">
        <v>221</v>
      </c>
      <c r="D29" s="220"/>
      <c r="E29" s="212" t="s">
        <v>92</v>
      </c>
      <c r="F29" s="225" t="s">
        <v>2973</v>
      </c>
      <c r="G29" s="217" t="s">
        <v>2943</v>
      </c>
      <c r="H29" s="217" t="s">
        <v>2974</v>
      </c>
      <c r="I29" s="217" t="s">
        <v>2975</v>
      </c>
      <c r="J29" s="214" t="s">
        <v>221</v>
      </c>
      <c r="K29" s="215"/>
      <c r="L29" s="224"/>
      <c r="M29" s="227"/>
      <c r="N29" s="224"/>
      <c r="O29" s="210"/>
    </row>
    <row r="30">
      <c r="A30" s="212">
        <f t="shared" si="1"/>
        <v>28</v>
      </c>
      <c r="B30" s="212" t="s">
        <v>2902</v>
      </c>
      <c r="C30" s="225" t="s">
        <v>221</v>
      </c>
      <c r="D30" s="220"/>
      <c r="E30" s="212" t="s">
        <v>92</v>
      </c>
      <c r="F30" s="220"/>
      <c r="G30" s="217" t="s">
        <v>2946</v>
      </c>
      <c r="H30" s="217" t="s">
        <v>2976</v>
      </c>
      <c r="I30" s="217" t="s">
        <v>2977</v>
      </c>
      <c r="J30" s="214" t="s">
        <v>221</v>
      </c>
      <c r="K30" s="215"/>
      <c r="L30" s="224"/>
      <c r="M30" s="224"/>
      <c r="N30" s="224"/>
      <c r="O30" s="210"/>
    </row>
    <row r="31">
      <c r="A31" s="212">
        <f t="shared" si="1"/>
        <v>29</v>
      </c>
      <c r="B31" s="212" t="s">
        <v>2902</v>
      </c>
      <c r="C31" s="225" t="s">
        <v>221</v>
      </c>
      <c r="D31" s="220"/>
      <c r="E31" s="212" t="s">
        <v>92</v>
      </c>
      <c r="F31" s="39"/>
      <c r="G31" s="217" t="s">
        <v>2949</v>
      </c>
      <c r="H31" s="217" t="s">
        <v>2976</v>
      </c>
      <c r="I31" s="217" t="s">
        <v>2950</v>
      </c>
      <c r="J31" s="214" t="s">
        <v>221</v>
      </c>
      <c r="K31" s="215"/>
      <c r="L31" s="224"/>
      <c r="M31" s="224"/>
      <c r="N31" s="224"/>
      <c r="O31" s="210"/>
    </row>
    <row r="32">
      <c r="A32" s="212">
        <f t="shared" si="1"/>
        <v>30</v>
      </c>
      <c r="B32" s="212" t="s">
        <v>2902</v>
      </c>
      <c r="C32" s="225" t="s">
        <v>221</v>
      </c>
      <c r="D32" s="220"/>
      <c r="E32" s="212" t="s">
        <v>92</v>
      </c>
      <c r="F32" s="225" t="s">
        <v>2978</v>
      </c>
      <c r="G32" s="249" t="s">
        <v>2979</v>
      </c>
      <c r="H32" s="217" t="s">
        <v>2980</v>
      </c>
      <c r="I32" s="217" t="s">
        <v>2981</v>
      </c>
      <c r="J32" s="214" t="s">
        <v>221</v>
      </c>
      <c r="K32" s="215"/>
      <c r="L32" s="224"/>
      <c r="M32" s="224"/>
      <c r="N32" s="224"/>
      <c r="O32" s="210"/>
    </row>
    <row r="33">
      <c r="A33" s="212">
        <f t="shared" si="1"/>
        <v>31</v>
      </c>
      <c r="B33" s="212" t="s">
        <v>2902</v>
      </c>
      <c r="C33" s="225" t="s">
        <v>221</v>
      </c>
      <c r="D33" s="220"/>
      <c r="E33" s="212" t="s">
        <v>92</v>
      </c>
      <c r="F33" s="220"/>
      <c r="G33" s="220"/>
      <c r="H33" s="217" t="s">
        <v>2982</v>
      </c>
      <c r="I33" s="217" t="s">
        <v>2983</v>
      </c>
      <c r="J33" s="214" t="s">
        <v>221</v>
      </c>
      <c r="K33" s="215"/>
      <c r="L33" s="224"/>
      <c r="M33" s="224"/>
      <c r="N33" s="224"/>
      <c r="O33" s="210"/>
    </row>
    <row r="34">
      <c r="A34" s="212">
        <f t="shared" si="1"/>
        <v>32</v>
      </c>
      <c r="B34" s="212" t="s">
        <v>2902</v>
      </c>
      <c r="C34" s="225" t="s">
        <v>221</v>
      </c>
      <c r="D34" s="220"/>
      <c r="E34" s="212" t="s">
        <v>92</v>
      </c>
      <c r="F34" s="220"/>
      <c r="G34" s="220"/>
      <c r="H34" s="217" t="s">
        <v>2984</v>
      </c>
      <c r="I34" s="217" t="s">
        <v>2985</v>
      </c>
      <c r="J34" s="214" t="s">
        <v>221</v>
      </c>
      <c r="K34" s="215"/>
      <c r="L34" s="224"/>
      <c r="M34" s="224"/>
      <c r="N34" s="224"/>
      <c r="O34" s="210"/>
    </row>
    <row r="35">
      <c r="A35" s="212">
        <f t="shared" si="1"/>
        <v>33</v>
      </c>
      <c r="B35" s="212" t="s">
        <v>2902</v>
      </c>
      <c r="C35" s="225" t="s">
        <v>221</v>
      </c>
      <c r="D35" s="220"/>
      <c r="E35" s="212" t="s">
        <v>92</v>
      </c>
      <c r="F35" s="39"/>
      <c r="G35" s="39"/>
      <c r="H35" s="217" t="s">
        <v>2986</v>
      </c>
      <c r="I35" s="217" t="s">
        <v>2987</v>
      </c>
      <c r="J35" s="214" t="s">
        <v>221</v>
      </c>
      <c r="K35" s="215"/>
      <c r="L35" s="224"/>
      <c r="M35" s="224"/>
      <c r="N35" s="224"/>
      <c r="O35" s="210"/>
    </row>
    <row r="36">
      <c r="A36" s="212">
        <f t="shared" si="1"/>
        <v>34</v>
      </c>
      <c r="B36" s="212" t="s">
        <v>2902</v>
      </c>
      <c r="C36" s="225" t="s">
        <v>221</v>
      </c>
      <c r="D36" s="220"/>
      <c r="E36" s="212" t="s">
        <v>92</v>
      </c>
      <c r="F36" s="225" t="s">
        <v>2988</v>
      </c>
      <c r="G36" s="217" t="s">
        <v>2989</v>
      </c>
      <c r="H36" s="217" t="s">
        <v>2976</v>
      </c>
      <c r="I36" s="217" t="s">
        <v>2990</v>
      </c>
      <c r="J36" s="214" t="s">
        <v>221</v>
      </c>
      <c r="K36" s="215"/>
      <c r="L36" s="224"/>
      <c r="M36" s="224"/>
      <c r="N36" s="224"/>
      <c r="O36" s="210"/>
    </row>
    <row r="37">
      <c r="A37" s="212">
        <f t="shared" si="1"/>
        <v>35</v>
      </c>
      <c r="B37" s="212" t="s">
        <v>2902</v>
      </c>
      <c r="C37" s="225" t="s">
        <v>221</v>
      </c>
      <c r="D37" s="220"/>
      <c r="E37" s="212" t="s">
        <v>92</v>
      </c>
      <c r="F37" s="220"/>
      <c r="G37" s="217" t="s">
        <v>2991</v>
      </c>
      <c r="H37" s="217" t="s">
        <v>2976</v>
      </c>
      <c r="I37" s="217" t="s">
        <v>2992</v>
      </c>
      <c r="J37" s="214" t="s">
        <v>221</v>
      </c>
      <c r="K37" s="215"/>
      <c r="L37" s="224"/>
      <c r="M37" s="224"/>
      <c r="N37" s="224"/>
      <c r="O37" s="210"/>
    </row>
    <row r="38">
      <c r="A38" s="212">
        <f t="shared" si="1"/>
        <v>36</v>
      </c>
      <c r="B38" s="212" t="s">
        <v>2902</v>
      </c>
      <c r="C38" s="225" t="s">
        <v>221</v>
      </c>
      <c r="D38" s="39"/>
      <c r="E38" s="212" t="s">
        <v>92</v>
      </c>
      <c r="F38" s="39"/>
      <c r="G38" s="217" t="s">
        <v>2993</v>
      </c>
      <c r="H38" s="217" t="s">
        <v>2976</v>
      </c>
      <c r="I38" s="217" t="s">
        <v>2994</v>
      </c>
      <c r="J38" s="214" t="s">
        <v>221</v>
      </c>
      <c r="K38" s="215"/>
      <c r="L38" s="226"/>
      <c r="M38" s="227"/>
      <c r="N38" s="224"/>
      <c r="O38" s="210"/>
    </row>
    <row r="39">
      <c r="A39" s="212">
        <f t="shared" si="1"/>
        <v>37</v>
      </c>
      <c r="B39" s="212" t="s">
        <v>2902</v>
      </c>
      <c r="C39" s="225" t="s">
        <v>221</v>
      </c>
      <c r="D39" s="225" t="s">
        <v>2782</v>
      </c>
      <c r="E39" s="212" t="s">
        <v>92</v>
      </c>
      <c r="F39" s="225" t="s">
        <v>2995</v>
      </c>
      <c r="G39" s="217" t="s">
        <v>2996</v>
      </c>
      <c r="H39" s="217" t="s">
        <v>2997</v>
      </c>
      <c r="I39" s="217" t="s">
        <v>2998</v>
      </c>
      <c r="J39" s="214" t="s">
        <v>221</v>
      </c>
      <c r="K39" s="215"/>
      <c r="L39" s="224"/>
      <c r="M39" s="224"/>
      <c r="N39" s="224"/>
      <c r="O39" s="210"/>
    </row>
    <row r="40">
      <c r="A40" s="212">
        <f t="shared" si="1"/>
        <v>38</v>
      </c>
      <c r="B40" s="212" t="s">
        <v>2902</v>
      </c>
      <c r="C40" s="225" t="s">
        <v>221</v>
      </c>
      <c r="D40" s="220"/>
      <c r="E40" s="212" t="s">
        <v>92</v>
      </c>
      <c r="F40" s="39"/>
      <c r="G40" s="217" t="s">
        <v>2999</v>
      </c>
      <c r="H40" s="217" t="s">
        <v>2997</v>
      </c>
      <c r="I40" s="217" t="s">
        <v>3000</v>
      </c>
      <c r="J40" s="214" t="s">
        <v>221</v>
      </c>
      <c r="K40" s="215"/>
      <c r="L40" s="224"/>
      <c r="M40" s="224"/>
      <c r="N40" s="224"/>
      <c r="O40" s="210"/>
    </row>
    <row r="41">
      <c r="A41" s="212">
        <f t="shared" si="1"/>
        <v>39</v>
      </c>
      <c r="B41" s="212" t="s">
        <v>2902</v>
      </c>
      <c r="C41" s="225" t="s">
        <v>221</v>
      </c>
      <c r="D41" s="220"/>
      <c r="E41" s="212" t="s">
        <v>92</v>
      </c>
      <c r="F41" s="212" t="s">
        <v>2365</v>
      </c>
      <c r="G41" s="217" t="s">
        <v>2999</v>
      </c>
      <c r="H41" s="217" t="s">
        <v>3001</v>
      </c>
      <c r="I41" s="217" t="s">
        <v>3002</v>
      </c>
      <c r="J41" s="214" t="s">
        <v>221</v>
      </c>
      <c r="K41" s="215"/>
      <c r="L41" s="224"/>
      <c r="M41" s="224"/>
      <c r="N41" s="224"/>
      <c r="O41" s="210"/>
    </row>
    <row r="42">
      <c r="A42" s="212">
        <f t="shared" si="1"/>
        <v>40</v>
      </c>
      <c r="B42" s="212" t="s">
        <v>2902</v>
      </c>
      <c r="C42" s="225" t="s">
        <v>221</v>
      </c>
      <c r="D42" s="220"/>
      <c r="E42" s="212" t="s">
        <v>92</v>
      </c>
      <c r="F42" s="212" t="s">
        <v>3003</v>
      </c>
      <c r="G42" s="217" t="s">
        <v>2999</v>
      </c>
      <c r="H42" s="217" t="s">
        <v>3004</v>
      </c>
      <c r="I42" s="217" t="s">
        <v>3005</v>
      </c>
      <c r="J42" s="214" t="s">
        <v>221</v>
      </c>
      <c r="K42" s="215"/>
      <c r="L42" s="224"/>
      <c r="M42" s="227"/>
      <c r="N42" s="224"/>
      <c r="O42" s="210"/>
    </row>
    <row r="43">
      <c r="A43" s="212">
        <f t="shared" si="1"/>
        <v>41</v>
      </c>
      <c r="B43" s="212" t="s">
        <v>2902</v>
      </c>
      <c r="C43" s="225" t="s">
        <v>221</v>
      </c>
      <c r="D43" s="220"/>
      <c r="E43" s="212" t="s">
        <v>92</v>
      </c>
      <c r="F43" s="225" t="s">
        <v>3006</v>
      </c>
      <c r="G43" s="217" t="s">
        <v>3007</v>
      </c>
      <c r="H43" s="217" t="s">
        <v>3008</v>
      </c>
      <c r="I43" s="217" t="s">
        <v>3009</v>
      </c>
      <c r="J43" s="214" t="s">
        <v>221</v>
      </c>
      <c r="K43" s="215"/>
      <c r="L43" s="224"/>
      <c r="M43" s="224"/>
      <c r="N43" s="224"/>
      <c r="O43" s="210"/>
    </row>
    <row r="44">
      <c r="A44" s="212">
        <f t="shared" si="1"/>
        <v>42</v>
      </c>
      <c r="B44" s="212" t="s">
        <v>2902</v>
      </c>
      <c r="C44" s="225" t="s">
        <v>221</v>
      </c>
      <c r="D44" s="220"/>
      <c r="E44" s="212" t="s">
        <v>92</v>
      </c>
      <c r="F44" s="39"/>
      <c r="G44" s="217" t="s">
        <v>3010</v>
      </c>
      <c r="H44" s="217" t="s">
        <v>3008</v>
      </c>
      <c r="I44" s="217" t="s">
        <v>3011</v>
      </c>
      <c r="J44" s="214" t="s">
        <v>221</v>
      </c>
      <c r="K44" s="215"/>
      <c r="L44" s="224"/>
      <c r="M44" s="224"/>
      <c r="N44" s="224"/>
      <c r="O44" s="210"/>
    </row>
    <row r="45">
      <c r="A45" s="212">
        <f t="shared" si="1"/>
        <v>43</v>
      </c>
      <c r="B45" s="212" t="s">
        <v>2902</v>
      </c>
      <c r="C45" s="225" t="s">
        <v>221</v>
      </c>
      <c r="D45" s="220"/>
      <c r="E45" s="212" t="s">
        <v>92</v>
      </c>
      <c r="F45" s="225" t="s">
        <v>3012</v>
      </c>
      <c r="G45" s="217" t="s">
        <v>3007</v>
      </c>
      <c r="H45" s="217" t="s">
        <v>3008</v>
      </c>
      <c r="I45" s="217" t="s">
        <v>3009</v>
      </c>
      <c r="J45" s="214" t="s">
        <v>221</v>
      </c>
      <c r="K45" s="215"/>
      <c r="L45" s="224"/>
      <c r="M45" s="224"/>
      <c r="N45" s="224"/>
      <c r="O45" s="210"/>
    </row>
    <row r="46">
      <c r="A46" s="212">
        <f t="shared" si="1"/>
        <v>44</v>
      </c>
      <c r="B46" s="212" t="s">
        <v>2902</v>
      </c>
      <c r="C46" s="225" t="s">
        <v>221</v>
      </c>
      <c r="D46" s="220"/>
      <c r="E46" s="212" t="s">
        <v>92</v>
      </c>
      <c r="F46" s="39"/>
      <c r="G46" s="217" t="s">
        <v>3010</v>
      </c>
      <c r="H46" s="217" t="s">
        <v>3008</v>
      </c>
      <c r="I46" s="217" t="s">
        <v>3011</v>
      </c>
      <c r="J46" s="214" t="s">
        <v>221</v>
      </c>
      <c r="K46" s="215"/>
      <c r="L46" s="226"/>
      <c r="M46" s="227"/>
      <c r="N46" s="224"/>
      <c r="O46" s="210"/>
    </row>
    <row r="47">
      <c r="A47" s="212">
        <f t="shared" si="1"/>
        <v>45</v>
      </c>
      <c r="B47" s="212" t="s">
        <v>2902</v>
      </c>
      <c r="C47" s="225" t="s">
        <v>221</v>
      </c>
      <c r="D47" s="220"/>
      <c r="E47" s="212" t="s">
        <v>92</v>
      </c>
      <c r="F47" s="212" t="s">
        <v>3013</v>
      </c>
      <c r="G47" s="217" t="s">
        <v>2999</v>
      </c>
      <c r="H47" s="217" t="s">
        <v>3008</v>
      </c>
      <c r="I47" s="217" t="s">
        <v>3014</v>
      </c>
      <c r="J47" s="214" t="s">
        <v>221</v>
      </c>
      <c r="K47" s="215"/>
      <c r="L47" s="226"/>
      <c r="M47" s="227"/>
      <c r="N47" s="224"/>
      <c r="O47" s="210"/>
    </row>
    <row r="48">
      <c r="A48" s="212">
        <f t="shared" si="1"/>
        <v>46</v>
      </c>
      <c r="B48" s="212" t="s">
        <v>2902</v>
      </c>
      <c r="C48" s="225" t="s">
        <v>221</v>
      </c>
      <c r="D48" s="220"/>
      <c r="E48" s="212" t="s">
        <v>92</v>
      </c>
      <c r="F48" s="225" t="s">
        <v>3015</v>
      </c>
      <c r="G48" s="217" t="s">
        <v>3016</v>
      </c>
      <c r="H48" s="217" t="s">
        <v>3017</v>
      </c>
      <c r="I48" s="217" t="s">
        <v>3018</v>
      </c>
      <c r="J48" s="214" t="s">
        <v>221</v>
      </c>
      <c r="K48" s="215"/>
      <c r="L48" s="224"/>
      <c r="M48" s="224"/>
      <c r="N48" s="224"/>
      <c r="O48" s="210"/>
    </row>
    <row r="49">
      <c r="A49" s="212">
        <f t="shared" si="1"/>
        <v>47</v>
      </c>
      <c r="B49" s="212" t="s">
        <v>2902</v>
      </c>
      <c r="C49" s="225" t="s">
        <v>221</v>
      </c>
      <c r="D49" s="39"/>
      <c r="E49" s="212" t="s">
        <v>92</v>
      </c>
      <c r="F49" s="39"/>
      <c r="G49" s="217" t="s">
        <v>3019</v>
      </c>
      <c r="H49" s="217" t="s">
        <v>3017</v>
      </c>
      <c r="I49" s="217" t="s">
        <v>3020</v>
      </c>
      <c r="J49" s="214" t="s">
        <v>221</v>
      </c>
      <c r="K49" s="215"/>
      <c r="L49" s="224"/>
      <c r="M49" s="227"/>
      <c r="N49" s="224"/>
      <c r="O49" s="210"/>
    </row>
    <row r="50">
      <c r="A50" s="212">
        <f t="shared" si="1"/>
        <v>48</v>
      </c>
      <c r="B50" s="212" t="s">
        <v>2902</v>
      </c>
      <c r="C50" s="225" t="s">
        <v>223</v>
      </c>
      <c r="D50" s="212" t="s">
        <v>92</v>
      </c>
      <c r="E50" s="212" t="s">
        <v>92</v>
      </c>
      <c r="F50" s="212" t="s">
        <v>613</v>
      </c>
      <c r="G50" s="217" t="s">
        <v>92</v>
      </c>
      <c r="H50" s="217" t="s">
        <v>3021</v>
      </c>
      <c r="I50" s="217" t="s">
        <v>3022</v>
      </c>
      <c r="J50" s="214" t="s">
        <v>223</v>
      </c>
      <c r="K50" s="215"/>
      <c r="L50" s="224"/>
      <c r="M50" s="224"/>
      <c r="N50" s="224"/>
      <c r="O50" s="210"/>
    </row>
    <row r="51">
      <c r="A51" s="212">
        <f t="shared" si="1"/>
        <v>49</v>
      </c>
      <c r="B51" s="212" t="s">
        <v>2902</v>
      </c>
      <c r="C51" s="225" t="s">
        <v>223</v>
      </c>
      <c r="D51" s="212" t="s">
        <v>92</v>
      </c>
      <c r="E51" s="212" t="s">
        <v>92</v>
      </c>
      <c r="F51" s="212" t="s">
        <v>1378</v>
      </c>
      <c r="G51" s="217" t="s">
        <v>92</v>
      </c>
      <c r="H51" s="217" t="s">
        <v>2300</v>
      </c>
      <c r="I51" s="217" t="s">
        <v>3023</v>
      </c>
      <c r="J51" s="214" t="s">
        <v>223</v>
      </c>
      <c r="K51" s="215"/>
      <c r="L51" s="224"/>
      <c r="M51" s="224"/>
      <c r="N51" s="224"/>
      <c r="O51" s="210"/>
    </row>
    <row r="52">
      <c r="A52" s="212">
        <f t="shared" si="1"/>
        <v>50</v>
      </c>
      <c r="B52" s="212" t="s">
        <v>2902</v>
      </c>
      <c r="C52" s="225" t="s">
        <v>223</v>
      </c>
      <c r="D52" s="225" t="s">
        <v>587</v>
      </c>
      <c r="E52" s="212" t="s">
        <v>92</v>
      </c>
      <c r="F52" s="225" t="s">
        <v>3024</v>
      </c>
      <c r="G52" s="217" t="s">
        <v>92</v>
      </c>
      <c r="H52" s="217" t="s">
        <v>3025</v>
      </c>
      <c r="I52" s="217" t="s">
        <v>3026</v>
      </c>
      <c r="J52" s="214" t="s">
        <v>223</v>
      </c>
      <c r="K52" s="215"/>
      <c r="L52" s="224"/>
      <c r="M52" s="224"/>
      <c r="N52" s="224"/>
      <c r="O52" s="210"/>
    </row>
    <row r="53">
      <c r="A53" s="212">
        <f t="shared" si="1"/>
        <v>51</v>
      </c>
      <c r="B53" s="212" t="s">
        <v>2902</v>
      </c>
      <c r="C53" s="225" t="s">
        <v>223</v>
      </c>
      <c r="D53" s="220"/>
      <c r="E53" s="212" t="s">
        <v>92</v>
      </c>
      <c r="F53" s="39"/>
      <c r="G53" s="217" t="s">
        <v>92</v>
      </c>
      <c r="H53" s="217" t="s">
        <v>3027</v>
      </c>
      <c r="I53" s="217" t="s">
        <v>3028</v>
      </c>
      <c r="J53" s="214" t="s">
        <v>223</v>
      </c>
      <c r="K53" s="215"/>
      <c r="L53" s="227"/>
      <c r="M53" s="224"/>
      <c r="N53" s="224"/>
      <c r="O53" s="210"/>
    </row>
    <row r="54">
      <c r="A54" s="212">
        <f t="shared" si="1"/>
        <v>52</v>
      </c>
      <c r="B54" s="212" t="s">
        <v>2902</v>
      </c>
      <c r="C54" s="225" t="s">
        <v>223</v>
      </c>
      <c r="D54" s="220"/>
      <c r="E54" s="212" t="s">
        <v>92</v>
      </c>
      <c r="F54" s="212" t="s">
        <v>3029</v>
      </c>
      <c r="G54" s="217" t="s">
        <v>92</v>
      </c>
      <c r="H54" s="217" t="s">
        <v>3030</v>
      </c>
      <c r="I54" s="217" t="s">
        <v>3031</v>
      </c>
      <c r="J54" s="214" t="s">
        <v>223</v>
      </c>
      <c r="K54" s="215"/>
      <c r="L54" s="227"/>
      <c r="M54" s="224"/>
      <c r="N54" s="224"/>
      <c r="O54" s="210"/>
    </row>
    <row r="55">
      <c r="A55" s="212">
        <f t="shared" si="1"/>
        <v>53</v>
      </c>
      <c r="B55" s="212" t="s">
        <v>2902</v>
      </c>
      <c r="C55" s="225" t="s">
        <v>223</v>
      </c>
      <c r="D55" s="220"/>
      <c r="E55" s="212" t="s">
        <v>92</v>
      </c>
      <c r="F55" s="212" t="s">
        <v>3032</v>
      </c>
      <c r="G55" s="217" t="s">
        <v>92</v>
      </c>
      <c r="H55" s="217" t="s">
        <v>3033</v>
      </c>
      <c r="I55" s="217" t="s">
        <v>3034</v>
      </c>
      <c r="J55" s="214" t="s">
        <v>223</v>
      </c>
      <c r="K55" s="215"/>
      <c r="L55" s="227"/>
      <c r="M55" s="224"/>
      <c r="N55" s="224"/>
      <c r="O55" s="210"/>
    </row>
    <row r="56">
      <c r="A56" s="212">
        <f t="shared" si="1"/>
        <v>54</v>
      </c>
      <c r="B56" s="212" t="s">
        <v>2902</v>
      </c>
      <c r="C56" s="225" t="s">
        <v>223</v>
      </c>
      <c r="D56" s="220"/>
      <c r="E56" s="212" t="s">
        <v>92</v>
      </c>
      <c r="F56" s="225" t="s">
        <v>3035</v>
      </c>
      <c r="G56" s="217" t="s">
        <v>3036</v>
      </c>
      <c r="H56" s="217" t="s">
        <v>3037</v>
      </c>
      <c r="I56" s="217" t="s">
        <v>3038</v>
      </c>
      <c r="J56" s="214" t="s">
        <v>223</v>
      </c>
      <c r="K56" s="215"/>
      <c r="L56" s="227"/>
      <c r="M56" s="224"/>
      <c r="N56" s="224"/>
      <c r="O56" s="210"/>
    </row>
    <row r="57">
      <c r="A57" s="212">
        <f t="shared" si="1"/>
        <v>55</v>
      </c>
      <c r="B57" s="212" t="s">
        <v>2902</v>
      </c>
      <c r="C57" s="225" t="s">
        <v>223</v>
      </c>
      <c r="D57" s="220"/>
      <c r="E57" s="212" t="s">
        <v>92</v>
      </c>
      <c r="F57" s="220"/>
      <c r="G57" s="217" t="s">
        <v>3039</v>
      </c>
      <c r="H57" s="217" t="s">
        <v>3040</v>
      </c>
      <c r="I57" s="217" t="s">
        <v>3041</v>
      </c>
      <c r="J57" s="214" t="s">
        <v>223</v>
      </c>
      <c r="K57" s="215"/>
      <c r="L57" s="227"/>
      <c r="M57" s="224"/>
      <c r="N57" s="224"/>
      <c r="O57" s="210"/>
    </row>
    <row r="58">
      <c r="A58" s="212">
        <f t="shared" si="1"/>
        <v>56</v>
      </c>
      <c r="B58" s="212" t="s">
        <v>2902</v>
      </c>
      <c r="C58" s="225" t="s">
        <v>223</v>
      </c>
      <c r="D58" s="220"/>
      <c r="E58" s="212" t="s">
        <v>92</v>
      </c>
      <c r="F58" s="220"/>
      <c r="G58" s="217" t="s">
        <v>3042</v>
      </c>
      <c r="H58" s="217" t="s">
        <v>3040</v>
      </c>
      <c r="I58" s="217" t="s">
        <v>3041</v>
      </c>
      <c r="J58" s="214" t="s">
        <v>223</v>
      </c>
      <c r="K58" s="215"/>
      <c r="L58" s="227"/>
      <c r="M58" s="224"/>
      <c r="N58" s="224"/>
      <c r="O58" s="210"/>
    </row>
    <row r="59">
      <c r="A59" s="212">
        <f t="shared" si="1"/>
        <v>57</v>
      </c>
      <c r="B59" s="212" t="s">
        <v>2902</v>
      </c>
      <c r="C59" s="225" t="s">
        <v>223</v>
      </c>
      <c r="D59" s="220"/>
      <c r="E59" s="212" t="s">
        <v>92</v>
      </c>
      <c r="F59" s="220"/>
      <c r="G59" s="217" t="s">
        <v>3043</v>
      </c>
      <c r="H59" s="217" t="s">
        <v>3044</v>
      </c>
      <c r="I59" s="217" t="s">
        <v>3045</v>
      </c>
      <c r="J59" s="214" t="s">
        <v>223</v>
      </c>
      <c r="K59" s="215"/>
      <c r="L59" s="227"/>
      <c r="M59" s="224"/>
      <c r="N59" s="224"/>
      <c r="O59" s="210"/>
    </row>
    <row r="60">
      <c r="A60" s="212">
        <f t="shared" si="1"/>
        <v>58</v>
      </c>
      <c r="B60" s="212" t="s">
        <v>2902</v>
      </c>
      <c r="C60" s="225" t="s">
        <v>223</v>
      </c>
      <c r="D60" s="220"/>
      <c r="E60" s="212" t="s">
        <v>92</v>
      </c>
      <c r="F60" s="39"/>
      <c r="G60" s="217" t="s">
        <v>3046</v>
      </c>
      <c r="H60" s="217" t="s">
        <v>3044</v>
      </c>
      <c r="I60" s="217" t="s">
        <v>3047</v>
      </c>
      <c r="J60" s="214" t="s">
        <v>223</v>
      </c>
      <c r="K60" s="215"/>
      <c r="L60" s="227"/>
      <c r="M60" s="224"/>
      <c r="N60" s="224"/>
      <c r="O60" s="210"/>
    </row>
    <row r="61">
      <c r="A61" s="212">
        <f t="shared" si="1"/>
        <v>59</v>
      </c>
      <c r="B61" s="212" t="s">
        <v>2902</v>
      </c>
      <c r="C61" s="225" t="s">
        <v>223</v>
      </c>
      <c r="D61" s="220"/>
      <c r="E61" s="212" t="s">
        <v>92</v>
      </c>
      <c r="F61" s="225" t="s">
        <v>3048</v>
      </c>
      <c r="G61" s="217" t="s">
        <v>3049</v>
      </c>
      <c r="H61" s="217" t="s">
        <v>3037</v>
      </c>
      <c r="I61" s="217" t="s">
        <v>3050</v>
      </c>
      <c r="J61" s="214" t="s">
        <v>223</v>
      </c>
      <c r="K61" s="215"/>
      <c r="L61" s="227"/>
      <c r="M61" s="224"/>
      <c r="N61" s="224"/>
      <c r="O61" s="210"/>
    </row>
    <row r="62">
      <c r="A62" s="212">
        <f t="shared" si="1"/>
        <v>60</v>
      </c>
      <c r="B62" s="212" t="s">
        <v>2902</v>
      </c>
      <c r="C62" s="225" t="s">
        <v>223</v>
      </c>
      <c r="D62" s="220"/>
      <c r="E62" s="212" t="s">
        <v>92</v>
      </c>
      <c r="F62" s="220"/>
      <c r="G62" s="217" t="s">
        <v>3051</v>
      </c>
      <c r="H62" s="217" t="s">
        <v>3040</v>
      </c>
      <c r="I62" s="217" t="s">
        <v>3052</v>
      </c>
      <c r="J62" s="214" t="s">
        <v>223</v>
      </c>
      <c r="K62" s="215"/>
      <c r="L62" s="227"/>
      <c r="M62" s="224"/>
      <c r="N62" s="224"/>
      <c r="O62" s="210"/>
    </row>
    <row r="63">
      <c r="A63" s="212">
        <f t="shared" si="1"/>
        <v>61</v>
      </c>
      <c r="B63" s="212" t="s">
        <v>2902</v>
      </c>
      <c r="C63" s="225" t="s">
        <v>223</v>
      </c>
      <c r="D63" s="220"/>
      <c r="E63" s="212" t="s">
        <v>92</v>
      </c>
      <c r="F63" s="39"/>
      <c r="G63" s="217" t="s">
        <v>3053</v>
      </c>
      <c r="H63" s="217" t="s">
        <v>3040</v>
      </c>
      <c r="I63" s="217" t="s">
        <v>3052</v>
      </c>
      <c r="J63" s="214" t="s">
        <v>223</v>
      </c>
      <c r="K63" s="215"/>
      <c r="L63" s="227"/>
      <c r="M63" s="224"/>
      <c r="N63" s="224"/>
      <c r="O63" s="210"/>
    </row>
    <row r="64">
      <c r="A64" s="212">
        <f t="shared" si="1"/>
        <v>62</v>
      </c>
      <c r="B64" s="212" t="s">
        <v>2902</v>
      </c>
      <c r="C64" s="225" t="s">
        <v>223</v>
      </c>
      <c r="D64" s="220"/>
      <c r="E64" s="212" t="s">
        <v>92</v>
      </c>
      <c r="F64" s="212" t="s">
        <v>3054</v>
      </c>
      <c r="G64" s="217" t="s">
        <v>92</v>
      </c>
      <c r="H64" s="217" t="s">
        <v>3055</v>
      </c>
      <c r="I64" s="217" t="s">
        <v>3056</v>
      </c>
      <c r="J64" s="214" t="s">
        <v>223</v>
      </c>
      <c r="K64" s="215"/>
      <c r="L64" s="224"/>
      <c r="M64" s="224"/>
      <c r="N64" s="224"/>
      <c r="O64" s="210"/>
    </row>
    <row r="65">
      <c r="A65" s="212">
        <f t="shared" si="1"/>
        <v>63</v>
      </c>
      <c r="B65" s="212" t="s">
        <v>2902</v>
      </c>
      <c r="C65" s="225" t="s">
        <v>223</v>
      </c>
      <c r="D65" s="220"/>
      <c r="E65" s="212" t="s">
        <v>92</v>
      </c>
      <c r="F65" s="212" t="s">
        <v>3057</v>
      </c>
      <c r="G65" s="217" t="s">
        <v>92</v>
      </c>
      <c r="H65" s="217" t="s">
        <v>3058</v>
      </c>
      <c r="I65" s="217" t="s">
        <v>3059</v>
      </c>
      <c r="J65" s="214" t="s">
        <v>223</v>
      </c>
      <c r="K65" s="215"/>
      <c r="L65" s="224"/>
      <c r="M65" s="224"/>
      <c r="N65" s="224"/>
      <c r="O65" s="210"/>
    </row>
    <row r="66">
      <c r="A66" s="212">
        <f t="shared" si="1"/>
        <v>64</v>
      </c>
      <c r="B66" s="212" t="s">
        <v>2902</v>
      </c>
      <c r="C66" s="225" t="s">
        <v>223</v>
      </c>
      <c r="D66" s="220"/>
      <c r="E66" s="212" t="s">
        <v>92</v>
      </c>
      <c r="F66" s="225" t="s">
        <v>3060</v>
      </c>
      <c r="G66" s="217" t="s">
        <v>3061</v>
      </c>
      <c r="H66" s="217" t="s">
        <v>3062</v>
      </c>
      <c r="I66" s="217" t="s">
        <v>3063</v>
      </c>
      <c r="J66" s="214" t="s">
        <v>223</v>
      </c>
      <c r="K66" s="215"/>
      <c r="L66" s="224"/>
      <c r="M66" s="224"/>
      <c r="N66" s="224"/>
      <c r="O66" s="210"/>
    </row>
    <row r="67">
      <c r="A67" s="212">
        <f t="shared" si="1"/>
        <v>65</v>
      </c>
      <c r="B67" s="212" t="s">
        <v>2902</v>
      </c>
      <c r="C67" s="225" t="s">
        <v>223</v>
      </c>
      <c r="D67" s="220"/>
      <c r="E67" s="212" t="s">
        <v>92</v>
      </c>
      <c r="F67" s="220"/>
      <c r="G67" s="217" t="s">
        <v>3064</v>
      </c>
      <c r="H67" s="217" t="s">
        <v>3062</v>
      </c>
      <c r="I67" s="217" t="s">
        <v>3065</v>
      </c>
      <c r="J67" s="214" t="s">
        <v>223</v>
      </c>
      <c r="K67" s="215"/>
      <c r="L67" s="224"/>
      <c r="M67" s="224"/>
      <c r="N67" s="224"/>
      <c r="O67" s="210"/>
    </row>
    <row r="68">
      <c r="A68" s="212">
        <f t="shared" si="1"/>
        <v>66</v>
      </c>
      <c r="B68" s="212" t="s">
        <v>2902</v>
      </c>
      <c r="C68" s="225" t="s">
        <v>223</v>
      </c>
      <c r="D68" s="220"/>
      <c r="E68" s="212" t="s">
        <v>92</v>
      </c>
      <c r="F68" s="39"/>
      <c r="G68" s="217" t="s">
        <v>3066</v>
      </c>
      <c r="H68" s="217" t="s">
        <v>3062</v>
      </c>
      <c r="I68" s="217" t="s">
        <v>3067</v>
      </c>
      <c r="J68" s="214" t="s">
        <v>223</v>
      </c>
      <c r="K68" s="215"/>
      <c r="L68" s="224"/>
      <c r="M68" s="224"/>
      <c r="N68" s="224"/>
      <c r="O68" s="210"/>
    </row>
    <row r="69">
      <c r="A69" s="212">
        <f t="shared" si="1"/>
        <v>67</v>
      </c>
      <c r="B69" s="212" t="s">
        <v>2902</v>
      </c>
      <c r="C69" s="225" t="s">
        <v>223</v>
      </c>
      <c r="D69" s="220"/>
      <c r="E69" s="212" t="s">
        <v>92</v>
      </c>
      <c r="F69" s="212" t="s">
        <v>3068</v>
      </c>
      <c r="G69" s="217" t="s">
        <v>3069</v>
      </c>
      <c r="H69" s="217" t="s">
        <v>2938</v>
      </c>
      <c r="I69" s="217" t="s">
        <v>3070</v>
      </c>
      <c r="J69" s="214" t="s">
        <v>223</v>
      </c>
      <c r="K69" s="215"/>
      <c r="L69" s="224"/>
      <c r="M69" s="224"/>
      <c r="N69" s="224"/>
      <c r="O69" s="210"/>
    </row>
    <row r="70">
      <c r="A70" s="212">
        <f t="shared" si="1"/>
        <v>68</v>
      </c>
      <c r="B70" s="212" t="s">
        <v>2902</v>
      </c>
      <c r="C70" s="225" t="s">
        <v>223</v>
      </c>
      <c r="D70" s="220"/>
      <c r="E70" s="212" t="s">
        <v>92</v>
      </c>
      <c r="F70" s="225" t="s">
        <v>608</v>
      </c>
      <c r="G70" s="217" t="s">
        <v>3071</v>
      </c>
      <c r="H70" s="217" t="s">
        <v>1479</v>
      </c>
      <c r="I70" s="217" t="s">
        <v>3072</v>
      </c>
      <c r="J70" s="214" t="s">
        <v>223</v>
      </c>
      <c r="K70" s="215"/>
      <c r="L70" s="224"/>
      <c r="M70" s="224"/>
      <c r="N70" s="224"/>
      <c r="O70" s="210"/>
    </row>
    <row r="71">
      <c r="A71" s="212">
        <f t="shared" si="1"/>
        <v>69</v>
      </c>
      <c r="B71" s="212" t="s">
        <v>2902</v>
      </c>
      <c r="C71" s="225" t="s">
        <v>223</v>
      </c>
      <c r="D71" s="39"/>
      <c r="E71" s="212" t="s">
        <v>92</v>
      </c>
      <c r="F71" s="39"/>
      <c r="G71" s="217" t="s">
        <v>3073</v>
      </c>
      <c r="H71" s="217" t="s">
        <v>1479</v>
      </c>
      <c r="I71" s="217" t="s">
        <v>3072</v>
      </c>
      <c r="J71" s="214" t="s">
        <v>223</v>
      </c>
      <c r="K71" s="215"/>
      <c r="L71" s="224"/>
      <c r="M71" s="224"/>
      <c r="N71" s="224"/>
      <c r="O71" s="210"/>
    </row>
    <row r="72">
      <c r="A72" s="212">
        <f t="shared" si="1"/>
        <v>70</v>
      </c>
      <c r="B72" s="212" t="s">
        <v>2902</v>
      </c>
      <c r="C72" s="225" t="s">
        <v>223</v>
      </c>
      <c r="D72" s="225" t="s">
        <v>3074</v>
      </c>
      <c r="E72" s="212" t="s">
        <v>92</v>
      </c>
      <c r="F72" s="225" t="s">
        <v>3075</v>
      </c>
      <c r="G72" s="217" t="s">
        <v>3076</v>
      </c>
      <c r="H72" s="217" t="s">
        <v>3077</v>
      </c>
      <c r="I72" s="217" t="s">
        <v>3078</v>
      </c>
      <c r="J72" s="214" t="s">
        <v>223</v>
      </c>
      <c r="K72" s="215"/>
      <c r="L72" s="224"/>
      <c r="M72" s="224"/>
      <c r="N72" s="224"/>
      <c r="O72" s="210"/>
    </row>
    <row r="73">
      <c r="A73" s="212">
        <f t="shared" si="1"/>
        <v>71</v>
      </c>
      <c r="B73" s="212" t="s">
        <v>2902</v>
      </c>
      <c r="C73" s="225" t="s">
        <v>223</v>
      </c>
      <c r="D73" s="39"/>
      <c r="E73" s="212" t="s">
        <v>92</v>
      </c>
      <c r="F73" s="39"/>
      <c r="G73" s="217" t="s">
        <v>3079</v>
      </c>
      <c r="H73" s="217" t="s">
        <v>3077</v>
      </c>
      <c r="I73" s="217" t="s">
        <v>3078</v>
      </c>
      <c r="J73" s="214" t="s">
        <v>223</v>
      </c>
      <c r="K73" s="215"/>
      <c r="L73" s="224"/>
      <c r="M73" s="224"/>
      <c r="N73" s="224"/>
      <c r="O73" s="210"/>
    </row>
    <row r="74">
      <c r="A74" s="212">
        <f t="shared" si="1"/>
        <v>72</v>
      </c>
      <c r="B74" s="212" t="s">
        <v>2902</v>
      </c>
      <c r="C74" s="225" t="s">
        <v>223</v>
      </c>
      <c r="D74" s="225" t="s">
        <v>2782</v>
      </c>
      <c r="E74" s="212" t="s">
        <v>92</v>
      </c>
      <c r="F74" s="225" t="s">
        <v>3080</v>
      </c>
      <c r="G74" s="217" t="s">
        <v>2996</v>
      </c>
      <c r="H74" s="217" t="s">
        <v>3081</v>
      </c>
      <c r="I74" s="217" t="s">
        <v>2998</v>
      </c>
      <c r="J74" s="214" t="s">
        <v>223</v>
      </c>
      <c r="K74" s="215"/>
      <c r="L74" s="224"/>
      <c r="M74" s="224"/>
      <c r="N74" s="224"/>
      <c r="O74" s="210"/>
    </row>
    <row r="75">
      <c r="A75" s="212">
        <f t="shared" si="1"/>
        <v>73</v>
      </c>
      <c r="B75" s="212" t="s">
        <v>2902</v>
      </c>
      <c r="C75" s="225" t="s">
        <v>223</v>
      </c>
      <c r="D75" s="220"/>
      <c r="E75" s="212" t="s">
        <v>92</v>
      </c>
      <c r="F75" s="39"/>
      <c r="G75" s="217" t="s">
        <v>2999</v>
      </c>
      <c r="H75" s="217" t="s">
        <v>3081</v>
      </c>
      <c r="I75" s="217" t="s">
        <v>3082</v>
      </c>
      <c r="J75" s="214" t="s">
        <v>223</v>
      </c>
      <c r="K75" s="215"/>
      <c r="L75" s="224"/>
      <c r="M75" s="224"/>
      <c r="N75" s="224"/>
      <c r="O75" s="210"/>
    </row>
    <row r="76">
      <c r="A76" s="212">
        <f t="shared" si="1"/>
        <v>74</v>
      </c>
      <c r="B76" s="212" t="s">
        <v>2902</v>
      </c>
      <c r="C76" s="225" t="s">
        <v>223</v>
      </c>
      <c r="D76" s="220"/>
      <c r="E76" s="212" t="s">
        <v>92</v>
      </c>
      <c r="F76" s="212" t="s">
        <v>3003</v>
      </c>
      <c r="G76" s="217" t="s">
        <v>2999</v>
      </c>
      <c r="H76" s="217" t="s">
        <v>3004</v>
      </c>
      <c r="I76" s="217" t="s">
        <v>3083</v>
      </c>
      <c r="J76" s="214" t="s">
        <v>223</v>
      </c>
      <c r="K76" s="215"/>
      <c r="L76" s="224"/>
      <c r="M76" s="224"/>
      <c r="N76" s="224"/>
      <c r="O76" s="210"/>
    </row>
    <row r="77">
      <c r="A77" s="212">
        <f t="shared" si="1"/>
        <v>75</v>
      </c>
      <c r="B77" s="212" t="s">
        <v>2902</v>
      </c>
      <c r="C77" s="225" t="s">
        <v>223</v>
      </c>
      <c r="D77" s="220"/>
      <c r="E77" s="212" t="s">
        <v>92</v>
      </c>
      <c r="F77" s="212" t="s">
        <v>3084</v>
      </c>
      <c r="G77" s="217" t="s">
        <v>2999</v>
      </c>
      <c r="H77" s="217" t="s">
        <v>3085</v>
      </c>
      <c r="I77" s="217" t="s">
        <v>3086</v>
      </c>
      <c r="J77" s="214" t="s">
        <v>223</v>
      </c>
      <c r="K77" s="215"/>
      <c r="L77" s="224"/>
      <c r="M77" s="224"/>
      <c r="N77" s="224"/>
      <c r="O77" s="210"/>
    </row>
    <row r="78">
      <c r="A78" s="212">
        <f t="shared" si="1"/>
        <v>76</v>
      </c>
      <c r="B78" s="212" t="s">
        <v>2902</v>
      </c>
      <c r="C78" s="225" t="s">
        <v>223</v>
      </c>
      <c r="D78" s="220"/>
      <c r="E78" s="212" t="s">
        <v>92</v>
      </c>
      <c r="F78" s="212" t="s">
        <v>1207</v>
      </c>
      <c r="G78" s="217" t="s">
        <v>2999</v>
      </c>
      <c r="H78" s="217" t="s">
        <v>3087</v>
      </c>
      <c r="I78" s="217" t="s">
        <v>3088</v>
      </c>
      <c r="J78" s="214" t="s">
        <v>223</v>
      </c>
      <c r="K78" s="215"/>
      <c r="L78" s="224"/>
      <c r="M78" s="224"/>
      <c r="N78" s="224"/>
      <c r="O78" s="210"/>
    </row>
    <row r="79">
      <c r="A79" s="212">
        <f t="shared" si="1"/>
        <v>77</v>
      </c>
      <c r="B79" s="212" t="s">
        <v>2902</v>
      </c>
      <c r="C79" s="225" t="s">
        <v>223</v>
      </c>
      <c r="D79" s="220"/>
      <c r="E79" s="212" t="s">
        <v>92</v>
      </c>
      <c r="F79" s="212" t="s">
        <v>3089</v>
      </c>
      <c r="G79" s="217" t="s">
        <v>2999</v>
      </c>
      <c r="H79" s="217" t="s">
        <v>3090</v>
      </c>
      <c r="I79" s="217" t="s">
        <v>3091</v>
      </c>
      <c r="J79" s="214" t="s">
        <v>223</v>
      </c>
      <c r="K79" s="215"/>
      <c r="L79" s="224"/>
      <c r="M79" s="224"/>
      <c r="N79" s="224"/>
      <c r="O79" s="210"/>
    </row>
    <row r="80">
      <c r="A80" s="212">
        <f t="shared" si="1"/>
        <v>78</v>
      </c>
      <c r="B80" s="212" t="s">
        <v>2902</v>
      </c>
      <c r="C80" s="225" t="s">
        <v>223</v>
      </c>
      <c r="D80" s="220"/>
      <c r="E80" s="212" t="s">
        <v>92</v>
      </c>
      <c r="F80" s="212" t="s">
        <v>1332</v>
      </c>
      <c r="G80" s="217" t="s">
        <v>2999</v>
      </c>
      <c r="H80" s="217" t="s">
        <v>3092</v>
      </c>
      <c r="I80" s="217" t="s">
        <v>3093</v>
      </c>
      <c r="J80" s="214" t="s">
        <v>223</v>
      </c>
      <c r="K80" s="215"/>
      <c r="L80" s="224"/>
      <c r="M80" s="224"/>
      <c r="N80" s="224"/>
      <c r="O80" s="210"/>
    </row>
    <row r="81">
      <c r="A81" s="212">
        <f t="shared" si="1"/>
        <v>79</v>
      </c>
      <c r="B81" s="212" t="s">
        <v>2902</v>
      </c>
      <c r="C81" s="225" t="s">
        <v>223</v>
      </c>
      <c r="D81" s="220"/>
      <c r="E81" s="212" t="s">
        <v>92</v>
      </c>
      <c r="F81" s="225" t="s">
        <v>3032</v>
      </c>
      <c r="G81" s="217" t="s">
        <v>3094</v>
      </c>
      <c r="H81" s="217" t="s">
        <v>3095</v>
      </c>
      <c r="I81" s="217" t="s">
        <v>3096</v>
      </c>
      <c r="J81" s="214" t="s">
        <v>223</v>
      </c>
      <c r="K81" s="215"/>
      <c r="L81" s="224"/>
      <c r="M81" s="224"/>
      <c r="N81" s="224"/>
      <c r="O81" s="210"/>
    </row>
    <row r="82">
      <c r="A82" s="212">
        <f t="shared" si="1"/>
        <v>80</v>
      </c>
      <c r="B82" s="212" t="s">
        <v>2902</v>
      </c>
      <c r="C82" s="225" t="s">
        <v>223</v>
      </c>
      <c r="D82" s="220"/>
      <c r="E82" s="212" t="s">
        <v>92</v>
      </c>
      <c r="F82" s="39"/>
      <c r="G82" s="217" t="s">
        <v>3097</v>
      </c>
      <c r="H82" s="217" t="s">
        <v>3095</v>
      </c>
      <c r="I82" s="217" t="s">
        <v>3098</v>
      </c>
      <c r="J82" s="214" t="s">
        <v>223</v>
      </c>
      <c r="K82" s="215"/>
      <c r="L82" s="224"/>
      <c r="M82" s="224"/>
      <c r="N82" s="224"/>
      <c r="O82" s="210"/>
    </row>
    <row r="83">
      <c r="A83" s="212">
        <f t="shared" si="1"/>
        <v>81</v>
      </c>
      <c r="B83" s="212" t="s">
        <v>2902</v>
      </c>
      <c r="C83" s="225" t="s">
        <v>223</v>
      </c>
      <c r="D83" s="220"/>
      <c r="E83" s="212" t="s">
        <v>92</v>
      </c>
      <c r="F83" s="225" t="s">
        <v>3099</v>
      </c>
      <c r="G83" s="217" t="s">
        <v>3100</v>
      </c>
      <c r="H83" s="217" t="s">
        <v>3101</v>
      </c>
      <c r="I83" s="217" t="s">
        <v>3102</v>
      </c>
      <c r="J83" s="214" t="s">
        <v>223</v>
      </c>
      <c r="K83" s="215"/>
      <c r="L83" s="224"/>
      <c r="M83" s="224"/>
      <c r="N83" s="224"/>
      <c r="O83" s="210"/>
    </row>
    <row r="84">
      <c r="A84" s="212">
        <f t="shared" si="1"/>
        <v>82</v>
      </c>
      <c r="B84" s="212" t="s">
        <v>2902</v>
      </c>
      <c r="C84" s="225" t="s">
        <v>223</v>
      </c>
      <c r="D84" s="220"/>
      <c r="E84" s="212" t="s">
        <v>92</v>
      </c>
      <c r="F84" s="220"/>
      <c r="G84" s="217" t="s">
        <v>3103</v>
      </c>
      <c r="H84" s="217" t="s">
        <v>3101</v>
      </c>
      <c r="I84" s="217" t="s">
        <v>3104</v>
      </c>
      <c r="J84" s="214" t="s">
        <v>223</v>
      </c>
      <c r="K84" s="215"/>
      <c r="L84" s="224"/>
      <c r="M84" s="224"/>
      <c r="N84" s="224"/>
      <c r="O84" s="210"/>
    </row>
    <row r="85">
      <c r="A85" s="212">
        <f t="shared" si="1"/>
        <v>83</v>
      </c>
      <c r="B85" s="212" t="s">
        <v>2902</v>
      </c>
      <c r="C85" s="225" t="s">
        <v>223</v>
      </c>
      <c r="D85" s="220"/>
      <c r="E85" s="212" t="s">
        <v>92</v>
      </c>
      <c r="F85" s="220"/>
      <c r="G85" s="217" t="s">
        <v>3105</v>
      </c>
      <c r="H85" s="217" t="s">
        <v>3101</v>
      </c>
      <c r="I85" s="217" t="s">
        <v>3106</v>
      </c>
      <c r="J85" s="214" t="s">
        <v>223</v>
      </c>
      <c r="K85" s="215"/>
      <c r="L85" s="224"/>
      <c r="M85" s="224"/>
      <c r="N85" s="224"/>
      <c r="O85" s="210"/>
    </row>
    <row r="86">
      <c r="A86" s="212">
        <f t="shared" si="1"/>
        <v>84</v>
      </c>
      <c r="B86" s="212" t="s">
        <v>2902</v>
      </c>
      <c r="C86" s="225" t="s">
        <v>223</v>
      </c>
      <c r="D86" s="220"/>
      <c r="E86" s="212" t="s">
        <v>92</v>
      </c>
      <c r="F86" s="220"/>
      <c r="G86" s="217" t="s">
        <v>3107</v>
      </c>
      <c r="H86" s="217" t="s">
        <v>3101</v>
      </c>
      <c r="I86" s="217" t="s">
        <v>3108</v>
      </c>
      <c r="J86" s="214" t="s">
        <v>223</v>
      </c>
      <c r="K86" s="215"/>
      <c r="L86" s="224"/>
      <c r="M86" s="224"/>
      <c r="N86" s="224"/>
      <c r="O86" s="210"/>
    </row>
    <row r="87">
      <c r="A87" s="212">
        <f t="shared" si="1"/>
        <v>85</v>
      </c>
      <c r="B87" s="212" t="s">
        <v>2902</v>
      </c>
      <c r="C87" s="225" t="s">
        <v>223</v>
      </c>
      <c r="D87" s="220"/>
      <c r="E87" s="212" t="s">
        <v>92</v>
      </c>
      <c r="F87" s="39"/>
      <c r="G87" s="217" t="s">
        <v>3109</v>
      </c>
      <c r="H87" s="217" t="s">
        <v>3101</v>
      </c>
      <c r="I87" s="217" t="s">
        <v>3110</v>
      </c>
      <c r="J87" s="214" t="s">
        <v>223</v>
      </c>
      <c r="K87" s="215"/>
      <c r="L87" s="224"/>
      <c r="M87" s="224"/>
      <c r="N87" s="224"/>
      <c r="O87" s="210"/>
    </row>
    <row r="88">
      <c r="A88" s="212">
        <f t="shared" si="1"/>
        <v>86</v>
      </c>
      <c r="B88" s="212" t="s">
        <v>2902</v>
      </c>
      <c r="C88" s="225" t="s">
        <v>223</v>
      </c>
      <c r="D88" s="220"/>
      <c r="E88" s="212" t="s">
        <v>92</v>
      </c>
      <c r="F88" s="225" t="s">
        <v>3029</v>
      </c>
      <c r="G88" s="217" t="s">
        <v>3111</v>
      </c>
      <c r="H88" s="217" t="s">
        <v>3112</v>
      </c>
      <c r="I88" s="217" t="s">
        <v>3113</v>
      </c>
      <c r="J88" s="214" t="s">
        <v>223</v>
      </c>
      <c r="K88" s="215"/>
      <c r="L88" s="224"/>
      <c r="M88" s="224"/>
      <c r="N88" s="224"/>
      <c r="O88" s="210"/>
    </row>
    <row r="89">
      <c r="A89" s="212">
        <f t="shared" si="1"/>
        <v>87</v>
      </c>
      <c r="B89" s="212" t="s">
        <v>2902</v>
      </c>
      <c r="C89" s="225" t="s">
        <v>223</v>
      </c>
      <c r="D89" s="220"/>
      <c r="E89" s="212" t="s">
        <v>92</v>
      </c>
      <c r="F89" s="220"/>
      <c r="G89" s="217" t="s">
        <v>3114</v>
      </c>
      <c r="H89" s="217" t="s">
        <v>3112</v>
      </c>
      <c r="I89" s="217" t="s">
        <v>3115</v>
      </c>
      <c r="J89" s="214" t="s">
        <v>223</v>
      </c>
      <c r="K89" s="215"/>
      <c r="L89" s="224"/>
      <c r="M89" s="224"/>
      <c r="N89" s="224"/>
      <c r="O89" s="210"/>
    </row>
    <row r="90">
      <c r="A90" s="212">
        <f t="shared" si="1"/>
        <v>88</v>
      </c>
      <c r="B90" s="212" t="s">
        <v>2902</v>
      </c>
      <c r="C90" s="225" t="s">
        <v>223</v>
      </c>
      <c r="D90" s="220"/>
      <c r="E90" s="212" t="s">
        <v>92</v>
      </c>
      <c r="F90" s="39"/>
      <c r="G90" s="217" t="s">
        <v>3116</v>
      </c>
      <c r="H90" s="217" t="s">
        <v>3112</v>
      </c>
      <c r="I90" s="217" t="s">
        <v>3117</v>
      </c>
      <c r="J90" s="214" t="s">
        <v>223</v>
      </c>
      <c r="K90" s="215"/>
      <c r="L90" s="224"/>
      <c r="M90" s="224"/>
      <c r="N90" s="224"/>
      <c r="O90" s="210"/>
    </row>
    <row r="91">
      <c r="A91" s="212">
        <f t="shared" si="1"/>
        <v>89</v>
      </c>
      <c r="B91" s="212" t="s">
        <v>2902</v>
      </c>
      <c r="C91" s="225" t="s">
        <v>223</v>
      </c>
      <c r="D91" s="220"/>
      <c r="E91" s="212" t="s">
        <v>92</v>
      </c>
      <c r="F91" s="212" t="s">
        <v>3118</v>
      </c>
      <c r="G91" s="217" t="s">
        <v>2999</v>
      </c>
      <c r="H91" s="217" t="s">
        <v>3119</v>
      </c>
      <c r="I91" s="217" t="s">
        <v>3120</v>
      </c>
      <c r="J91" s="214" t="s">
        <v>223</v>
      </c>
      <c r="K91" s="215"/>
      <c r="L91" s="224"/>
      <c r="M91" s="224"/>
      <c r="N91" s="224"/>
      <c r="O91" s="210"/>
    </row>
    <row r="92">
      <c r="A92" s="212">
        <f t="shared" si="1"/>
        <v>90</v>
      </c>
      <c r="B92" s="212" t="s">
        <v>2902</v>
      </c>
      <c r="C92" s="225" t="s">
        <v>223</v>
      </c>
      <c r="D92" s="220"/>
      <c r="E92" s="212" t="s">
        <v>92</v>
      </c>
      <c r="F92" s="225" t="s">
        <v>3054</v>
      </c>
      <c r="G92" s="217" t="s">
        <v>3121</v>
      </c>
      <c r="H92" s="217" t="s">
        <v>3122</v>
      </c>
      <c r="I92" s="217" t="s">
        <v>3123</v>
      </c>
      <c r="J92" s="214" t="s">
        <v>223</v>
      </c>
      <c r="K92" s="215"/>
      <c r="L92" s="224"/>
      <c r="M92" s="224"/>
      <c r="N92" s="224"/>
      <c r="O92" s="210"/>
    </row>
    <row r="93">
      <c r="A93" s="212">
        <f t="shared" si="1"/>
        <v>91</v>
      </c>
      <c r="B93" s="212" t="s">
        <v>2902</v>
      </c>
      <c r="C93" s="225" t="s">
        <v>223</v>
      </c>
      <c r="D93" s="220"/>
      <c r="E93" s="212" t="s">
        <v>92</v>
      </c>
      <c r="F93" s="220"/>
      <c r="G93" s="217" t="s">
        <v>3124</v>
      </c>
      <c r="H93" s="217" t="s">
        <v>3122</v>
      </c>
      <c r="I93" s="217" t="s">
        <v>3125</v>
      </c>
      <c r="J93" s="214" t="s">
        <v>223</v>
      </c>
      <c r="K93" s="215"/>
      <c r="L93" s="224"/>
      <c r="M93" s="224"/>
      <c r="N93" s="224"/>
      <c r="O93" s="210"/>
    </row>
    <row r="94">
      <c r="A94" s="212">
        <f t="shared" si="1"/>
        <v>92</v>
      </c>
      <c r="B94" s="212" t="s">
        <v>2902</v>
      </c>
      <c r="C94" s="225" t="s">
        <v>223</v>
      </c>
      <c r="D94" s="220"/>
      <c r="E94" s="212" t="s">
        <v>92</v>
      </c>
      <c r="F94" s="39"/>
      <c r="G94" s="217" t="s">
        <v>3126</v>
      </c>
      <c r="H94" s="217" t="s">
        <v>3122</v>
      </c>
      <c r="I94" s="217" t="s">
        <v>3127</v>
      </c>
      <c r="J94" s="214" t="s">
        <v>223</v>
      </c>
      <c r="K94" s="215"/>
      <c r="L94" s="224"/>
      <c r="M94" s="224"/>
      <c r="N94" s="224"/>
      <c r="O94" s="210"/>
    </row>
    <row r="95">
      <c r="A95" s="212">
        <f t="shared" si="1"/>
        <v>93</v>
      </c>
      <c r="B95" s="212" t="s">
        <v>2902</v>
      </c>
      <c r="C95" s="225" t="s">
        <v>223</v>
      </c>
      <c r="D95" s="39"/>
      <c r="E95" s="212" t="s">
        <v>92</v>
      </c>
      <c r="F95" s="212" t="s">
        <v>3128</v>
      </c>
      <c r="G95" s="217" t="s">
        <v>2999</v>
      </c>
      <c r="H95" s="217" t="s">
        <v>3129</v>
      </c>
      <c r="I95" s="217" t="s">
        <v>3130</v>
      </c>
      <c r="J95" s="214" t="s">
        <v>223</v>
      </c>
      <c r="K95" s="215"/>
      <c r="L95" s="224"/>
      <c r="M95" s="224"/>
      <c r="N95" s="224"/>
      <c r="O95" s="210"/>
    </row>
    <row r="96">
      <c r="A96" s="212">
        <f t="shared" si="1"/>
        <v>94</v>
      </c>
      <c r="B96" s="212" t="s">
        <v>2902</v>
      </c>
      <c r="C96" s="225" t="s">
        <v>223</v>
      </c>
      <c r="D96" s="225" t="s">
        <v>2782</v>
      </c>
      <c r="E96" s="225" t="s">
        <v>3131</v>
      </c>
      <c r="F96" s="225" t="s">
        <v>3132</v>
      </c>
      <c r="G96" s="249" t="s">
        <v>3133</v>
      </c>
      <c r="H96" s="217" t="s">
        <v>3134</v>
      </c>
      <c r="I96" s="217" t="s">
        <v>3135</v>
      </c>
      <c r="J96" s="214" t="s">
        <v>223</v>
      </c>
      <c r="K96" s="215"/>
      <c r="L96" s="224"/>
      <c r="M96" s="224"/>
      <c r="N96" s="224"/>
      <c r="O96" s="210"/>
    </row>
    <row r="97">
      <c r="A97" s="212">
        <f t="shared" si="1"/>
        <v>95</v>
      </c>
      <c r="B97" s="212" t="s">
        <v>2902</v>
      </c>
      <c r="C97" s="225" t="s">
        <v>223</v>
      </c>
      <c r="D97" s="220"/>
      <c r="E97" s="220"/>
      <c r="F97" s="220"/>
      <c r="G97" s="220"/>
      <c r="H97" s="217" t="s">
        <v>3136</v>
      </c>
      <c r="I97" s="217" t="s">
        <v>3137</v>
      </c>
      <c r="J97" s="214" t="s">
        <v>223</v>
      </c>
      <c r="K97" s="215"/>
      <c r="L97" s="224"/>
      <c r="M97" s="224"/>
      <c r="N97" s="224"/>
      <c r="O97" s="210"/>
    </row>
    <row r="98">
      <c r="A98" s="212">
        <f t="shared" si="1"/>
        <v>96</v>
      </c>
      <c r="B98" s="212" t="s">
        <v>2902</v>
      </c>
      <c r="C98" s="225" t="s">
        <v>223</v>
      </c>
      <c r="D98" s="220"/>
      <c r="E98" s="220"/>
      <c r="F98" s="220"/>
      <c r="G98" s="220"/>
      <c r="H98" s="217" t="s">
        <v>3138</v>
      </c>
      <c r="I98" s="217" t="s">
        <v>3139</v>
      </c>
      <c r="J98" s="214" t="s">
        <v>223</v>
      </c>
      <c r="K98" s="215"/>
      <c r="L98" s="224"/>
      <c r="M98" s="224"/>
      <c r="N98" s="224"/>
      <c r="O98" s="210"/>
    </row>
    <row r="99">
      <c r="A99" s="212">
        <f t="shared" si="1"/>
        <v>97</v>
      </c>
      <c r="B99" s="212" t="s">
        <v>2902</v>
      </c>
      <c r="C99" s="225" t="s">
        <v>223</v>
      </c>
      <c r="D99" s="220"/>
      <c r="E99" s="220"/>
      <c r="F99" s="220"/>
      <c r="G99" s="220"/>
      <c r="H99" s="217" t="s">
        <v>3140</v>
      </c>
      <c r="I99" s="217" t="s">
        <v>3141</v>
      </c>
      <c r="J99" s="214" t="s">
        <v>223</v>
      </c>
      <c r="K99" s="215"/>
      <c r="L99" s="224"/>
      <c r="M99" s="224"/>
      <c r="N99" s="224"/>
      <c r="O99" s="210"/>
    </row>
    <row r="100">
      <c r="A100" s="212">
        <f t="shared" si="1"/>
        <v>98</v>
      </c>
      <c r="B100" s="212" t="s">
        <v>2902</v>
      </c>
      <c r="C100" s="225" t="s">
        <v>223</v>
      </c>
      <c r="D100" s="220"/>
      <c r="E100" s="220"/>
      <c r="F100" s="220"/>
      <c r="G100" s="39"/>
      <c r="H100" s="217" t="s">
        <v>3142</v>
      </c>
      <c r="I100" s="217" t="s">
        <v>3143</v>
      </c>
      <c r="J100" s="214" t="s">
        <v>223</v>
      </c>
      <c r="K100" s="215"/>
      <c r="L100" s="224"/>
      <c r="M100" s="224"/>
      <c r="N100" s="224"/>
      <c r="O100" s="210"/>
    </row>
    <row r="101">
      <c r="A101" s="212">
        <f t="shared" si="1"/>
        <v>99</v>
      </c>
      <c r="B101" s="212" t="s">
        <v>2902</v>
      </c>
      <c r="C101" s="225" t="s">
        <v>223</v>
      </c>
      <c r="D101" s="220"/>
      <c r="E101" s="220"/>
      <c r="F101" s="220"/>
      <c r="G101" s="249" t="s">
        <v>3144</v>
      </c>
      <c r="H101" s="217" t="s">
        <v>3134</v>
      </c>
      <c r="I101" s="217" t="s">
        <v>3135</v>
      </c>
      <c r="J101" s="214" t="s">
        <v>223</v>
      </c>
      <c r="K101" s="215"/>
      <c r="L101" s="224"/>
      <c r="M101" s="224"/>
      <c r="N101" s="224"/>
      <c r="O101" s="210"/>
    </row>
    <row r="102">
      <c r="A102" s="212">
        <f t="shared" si="1"/>
        <v>100</v>
      </c>
      <c r="B102" s="212" t="s">
        <v>2902</v>
      </c>
      <c r="C102" s="225" t="s">
        <v>223</v>
      </c>
      <c r="D102" s="220"/>
      <c r="E102" s="220"/>
      <c r="F102" s="220"/>
      <c r="G102" s="220"/>
      <c r="H102" s="217" t="s">
        <v>3136</v>
      </c>
      <c r="I102" s="217" t="s">
        <v>3137</v>
      </c>
      <c r="J102" s="214" t="s">
        <v>223</v>
      </c>
      <c r="K102" s="215"/>
      <c r="L102" s="224"/>
      <c r="M102" s="224"/>
      <c r="N102" s="224"/>
      <c r="O102" s="210"/>
    </row>
    <row r="103">
      <c r="A103" s="212">
        <f t="shared" si="1"/>
        <v>101</v>
      </c>
      <c r="B103" s="212" t="s">
        <v>2902</v>
      </c>
      <c r="C103" s="225" t="s">
        <v>223</v>
      </c>
      <c r="D103" s="220"/>
      <c r="E103" s="220"/>
      <c r="F103" s="220"/>
      <c r="G103" s="220"/>
      <c r="H103" s="217" t="s">
        <v>3138</v>
      </c>
      <c r="I103" s="217" t="s">
        <v>3139</v>
      </c>
      <c r="J103" s="214" t="s">
        <v>223</v>
      </c>
      <c r="K103" s="215"/>
      <c r="L103" s="224"/>
      <c r="M103" s="224"/>
      <c r="N103" s="224"/>
      <c r="O103" s="210"/>
    </row>
    <row r="104">
      <c r="A104" s="212">
        <f t="shared" si="1"/>
        <v>102</v>
      </c>
      <c r="B104" s="212" t="s">
        <v>2902</v>
      </c>
      <c r="C104" s="225" t="s">
        <v>223</v>
      </c>
      <c r="D104" s="220"/>
      <c r="E104" s="220"/>
      <c r="F104" s="220"/>
      <c r="G104" s="220"/>
      <c r="H104" s="217" t="s">
        <v>3140</v>
      </c>
      <c r="I104" s="217" t="s">
        <v>3141</v>
      </c>
      <c r="J104" s="214" t="s">
        <v>223</v>
      </c>
      <c r="K104" s="215"/>
      <c r="L104" s="224"/>
      <c r="M104" s="224"/>
      <c r="N104" s="224"/>
      <c r="O104" s="210"/>
    </row>
    <row r="105">
      <c r="A105" s="212">
        <f t="shared" si="1"/>
        <v>103</v>
      </c>
      <c r="B105" s="212" t="s">
        <v>2902</v>
      </c>
      <c r="C105" s="225" t="s">
        <v>223</v>
      </c>
      <c r="D105" s="220"/>
      <c r="E105" s="220"/>
      <c r="F105" s="39"/>
      <c r="G105" s="39"/>
      <c r="H105" s="217" t="s">
        <v>3142</v>
      </c>
      <c r="I105" s="217" t="s">
        <v>3145</v>
      </c>
      <c r="J105" s="214" t="s">
        <v>223</v>
      </c>
      <c r="K105" s="215"/>
      <c r="L105" s="224"/>
      <c r="M105" s="224"/>
      <c r="N105" s="224"/>
      <c r="O105" s="210"/>
    </row>
    <row r="106">
      <c r="A106" s="212">
        <f t="shared" si="1"/>
        <v>104</v>
      </c>
      <c r="B106" s="212" t="s">
        <v>2902</v>
      </c>
      <c r="C106" s="225" t="s">
        <v>223</v>
      </c>
      <c r="D106" s="220"/>
      <c r="E106" s="220"/>
      <c r="F106" s="212" t="s">
        <v>3146</v>
      </c>
      <c r="G106" s="217" t="s">
        <v>3147</v>
      </c>
      <c r="H106" s="217" t="s">
        <v>3148</v>
      </c>
      <c r="I106" s="217" t="s">
        <v>3149</v>
      </c>
      <c r="J106" s="214" t="s">
        <v>223</v>
      </c>
      <c r="K106" s="215"/>
      <c r="L106" s="224"/>
      <c r="M106" s="224"/>
      <c r="N106" s="224"/>
      <c r="O106" s="210"/>
    </row>
    <row r="107">
      <c r="A107" s="212">
        <f t="shared" si="1"/>
        <v>105</v>
      </c>
      <c r="B107" s="212" t="s">
        <v>2902</v>
      </c>
      <c r="C107" s="225" t="s">
        <v>223</v>
      </c>
      <c r="D107" s="220"/>
      <c r="E107" s="220"/>
      <c r="F107" s="225" t="s">
        <v>3150</v>
      </c>
      <c r="G107" s="217" t="s">
        <v>3151</v>
      </c>
      <c r="H107" s="217" t="s">
        <v>3152</v>
      </c>
      <c r="I107" s="217" t="s">
        <v>3153</v>
      </c>
      <c r="J107" s="214" t="s">
        <v>223</v>
      </c>
      <c r="K107" s="215"/>
      <c r="L107" s="224"/>
      <c r="M107" s="224"/>
      <c r="N107" s="224"/>
      <c r="O107" s="210"/>
    </row>
    <row r="108">
      <c r="A108" s="212">
        <f t="shared" si="1"/>
        <v>106</v>
      </c>
      <c r="B108" s="212" t="s">
        <v>2902</v>
      </c>
      <c r="C108" s="225" t="s">
        <v>223</v>
      </c>
      <c r="D108" s="220"/>
      <c r="E108" s="220"/>
      <c r="F108" s="220"/>
      <c r="G108" s="217" t="s">
        <v>3154</v>
      </c>
      <c r="H108" s="217" t="s">
        <v>3152</v>
      </c>
      <c r="I108" s="217" t="s">
        <v>3153</v>
      </c>
      <c r="J108" s="214" t="s">
        <v>223</v>
      </c>
      <c r="K108" s="215"/>
      <c r="L108" s="224"/>
      <c r="M108" s="224"/>
      <c r="N108" s="224"/>
      <c r="O108" s="210"/>
    </row>
    <row r="109">
      <c r="A109" s="212">
        <f t="shared" si="1"/>
        <v>107</v>
      </c>
      <c r="B109" s="212" t="s">
        <v>2902</v>
      </c>
      <c r="C109" s="225" t="s">
        <v>223</v>
      </c>
      <c r="D109" s="220"/>
      <c r="E109" s="220"/>
      <c r="F109" s="220"/>
      <c r="G109" s="217" t="s">
        <v>3155</v>
      </c>
      <c r="H109" s="217" t="s">
        <v>3152</v>
      </c>
      <c r="I109" s="217" t="s">
        <v>3153</v>
      </c>
      <c r="J109" s="214" t="s">
        <v>223</v>
      </c>
      <c r="K109" s="215"/>
      <c r="L109" s="224"/>
      <c r="M109" s="224"/>
      <c r="N109" s="224"/>
      <c r="O109" s="210"/>
    </row>
    <row r="110">
      <c r="A110" s="212">
        <f t="shared" si="1"/>
        <v>108</v>
      </c>
      <c r="B110" s="212" t="s">
        <v>2902</v>
      </c>
      <c r="C110" s="225" t="s">
        <v>223</v>
      </c>
      <c r="D110" s="39"/>
      <c r="E110" s="39"/>
      <c r="F110" s="39"/>
      <c r="G110" s="217" t="s">
        <v>3156</v>
      </c>
      <c r="H110" s="217" t="s">
        <v>3152</v>
      </c>
      <c r="I110" s="217" t="s">
        <v>3153</v>
      </c>
      <c r="J110" s="214" t="s">
        <v>223</v>
      </c>
      <c r="K110" s="215"/>
      <c r="L110" s="224"/>
      <c r="M110" s="224"/>
      <c r="N110" s="224"/>
      <c r="O110" s="210"/>
    </row>
    <row r="111">
      <c r="A111" s="212">
        <f t="shared" si="1"/>
        <v>109</v>
      </c>
      <c r="B111" s="212" t="s">
        <v>2902</v>
      </c>
      <c r="C111" s="225" t="s">
        <v>223</v>
      </c>
      <c r="D111" s="225" t="s">
        <v>2782</v>
      </c>
      <c r="E111" s="225" t="s">
        <v>3157</v>
      </c>
      <c r="F111" s="225" t="s">
        <v>3158</v>
      </c>
      <c r="G111" s="249" t="s">
        <v>3159</v>
      </c>
      <c r="H111" s="217" t="s">
        <v>3134</v>
      </c>
      <c r="I111" s="217" t="s">
        <v>3135</v>
      </c>
      <c r="J111" s="214" t="s">
        <v>223</v>
      </c>
      <c r="K111" s="215"/>
      <c r="L111" s="224"/>
      <c r="M111" s="224"/>
      <c r="N111" s="224"/>
      <c r="O111" s="210"/>
    </row>
    <row r="112">
      <c r="A112" s="212">
        <f t="shared" si="1"/>
        <v>110</v>
      </c>
      <c r="B112" s="212" t="s">
        <v>2902</v>
      </c>
      <c r="C112" s="225" t="s">
        <v>223</v>
      </c>
      <c r="D112" s="220"/>
      <c r="E112" s="220"/>
      <c r="F112" s="220"/>
      <c r="G112" s="220"/>
      <c r="H112" s="217" t="s">
        <v>3136</v>
      </c>
      <c r="I112" s="217" t="s">
        <v>3137</v>
      </c>
      <c r="J112" s="214" t="s">
        <v>223</v>
      </c>
      <c r="K112" s="215"/>
      <c r="L112" s="224"/>
      <c r="M112" s="224"/>
      <c r="N112" s="224"/>
      <c r="O112" s="210"/>
    </row>
    <row r="113">
      <c r="A113" s="212">
        <f t="shared" si="1"/>
        <v>111</v>
      </c>
      <c r="B113" s="212" t="s">
        <v>2902</v>
      </c>
      <c r="C113" s="225" t="s">
        <v>223</v>
      </c>
      <c r="D113" s="220"/>
      <c r="E113" s="220"/>
      <c r="F113" s="220"/>
      <c r="G113" s="220"/>
      <c r="H113" s="217" t="s">
        <v>3138</v>
      </c>
      <c r="I113" s="217" t="s">
        <v>3160</v>
      </c>
      <c r="J113" s="214" t="s">
        <v>223</v>
      </c>
      <c r="K113" s="215"/>
      <c r="L113" s="224"/>
      <c r="M113" s="224"/>
      <c r="N113" s="224"/>
      <c r="O113" s="210"/>
    </row>
    <row r="114">
      <c r="A114" s="212">
        <f t="shared" si="1"/>
        <v>112</v>
      </c>
      <c r="B114" s="212" t="s">
        <v>2902</v>
      </c>
      <c r="C114" s="225" t="s">
        <v>223</v>
      </c>
      <c r="D114" s="220"/>
      <c r="E114" s="220"/>
      <c r="F114" s="220"/>
      <c r="G114" s="220"/>
      <c r="H114" s="217" t="s">
        <v>3140</v>
      </c>
      <c r="I114" s="217" t="s">
        <v>3141</v>
      </c>
      <c r="J114" s="214" t="s">
        <v>223</v>
      </c>
      <c r="K114" s="215"/>
      <c r="L114" s="224"/>
      <c r="M114" s="224"/>
      <c r="N114" s="224"/>
      <c r="O114" s="210"/>
    </row>
    <row r="115">
      <c r="A115" s="212">
        <f t="shared" si="1"/>
        <v>113</v>
      </c>
      <c r="B115" s="212" t="s">
        <v>2902</v>
      </c>
      <c r="C115" s="225" t="s">
        <v>223</v>
      </c>
      <c r="D115" s="220"/>
      <c r="E115" s="220"/>
      <c r="F115" s="220"/>
      <c r="G115" s="39"/>
      <c r="H115" s="217" t="s">
        <v>3142</v>
      </c>
      <c r="I115" s="217" t="s">
        <v>3143</v>
      </c>
      <c r="J115" s="214" t="s">
        <v>223</v>
      </c>
      <c r="K115" s="215"/>
      <c r="L115" s="224"/>
      <c r="M115" s="224"/>
      <c r="N115" s="224"/>
      <c r="O115" s="210"/>
    </row>
    <row r="116">
      <c r="A116" s="212">
        <f t="shared" si="1"/>
        <v>114</v>
      </c>
      <c r="B116" s="212" t="s">
        <v>2902</v>
      </c>
      <c r="C116" s="225" t="s">
        <v>223</v>
      </c>
      <c r="D116" s="220"/>
      <c r="E116" s="220"/>
      <c r="F116" s="220"/>
      <c r="G116" s="249" t="s">
        <v>3161</v>
      </c>
      <c r="H116" s="217" t="s">
        <v>3134</v>
      </c>
      <c r="I116" s="217" t="s">
        <v>3135</v>
      </c>
      <c r="J116" s="214" t="s">
        <v>223</v>
      </c>
      <c r="K116" s="215"/>
      <c r="L116" s="224"/>
      <c r="M116" s="224"/>
      <c r="N116" s="224"/>
      <c r="O116" s="210"/>
    </row>
    <row r="117">
      <c r="A117" s="212">
        <f t="shared" si="1"/>
        <v>115</v>
      </c>
      <c r="B117" s="212" t="s">
        <v>2902</v>
      </c>
      <c r="C117" s="225" t="s">
        <v>223</v>
      </c>
      <c r="D117" s="220"/>
      <c r="E117" s="220"/>
      <c r="F117" s="220"/>
      <c r="G117" s="220"/>
      <c r="H117" s="217" t="s">
        <v>3136</v>
      </c>
      <c r="I117" s="217" t="s">
        <v>3137</v>
      </c>
      <c r="J117" s="214" t="s">
        <v>223</v>
      </c>
      <c r="K117" s="215"/>
      <c r="L117" s="224"/>
      <c r="M117" s="224"/>
      <c r="N117" s="224"/>
      <c r="O117" s="210"/>
    </row>
    <row r="118">
      <c r="A118" s="212">
        <f t="shared" si="1"/>
        <v>116</v>
      </c>
      <c r="B118" s="212" t="s">
        <v>2902</v>
      </c>
      <c r="C118" s="225" t="s">
        <v>223</v>
      </c>
      <c r="D118" s="220"/>
      <c r="E118" s="220"/>
      <c r="F118" s="220"/>
      <c r="G118" s="220"/>
      <c r="H118" s="217" t="s">
        <v>3138</v>
      </c>
      <c r="I118" s="217" t="s">
        <v>3139</v>
      </c>
      <c r="J118" s="214" t="s">
        <v>223</v>
      </c>
      <c r="K118" s="215"/>
      <c r="L118" s="224"/>
      <c r="M118" s="224"/>
      <c r="N118" s="224"/>
      <c r="O118" s="210"/>
    </row>
    <row r="119">
      <c r="A119" s="212">
        <f t="shared" si="1"/>
        <v>117</v>
      </c>
      <c r="B119" s="212" t="s">
        <v>2902</v>
      </c>
      <c r="C119" s="225" t="s">
        <v>223</v>
      </c>
      <c r="D119" s="220"/>
      <c r="E119" s="220"/>
      <c r="F119" s="220"/>
      <c r="G119" s="220"/>
      <c r="H119" s="217" t="s">
        <v>3140</v>
      </c>
      <c r="I119" s="217" t="s">
        <v>3141</v>
      </c>
      <c r="J119" s="214" t="s">
        <v>223</v>
      </c>
      <c r="K119" s="215"/>
      <c r="L119" s="224"/>
      <c r="M119" s="224"/>
      <c r="N119" s="224"/>
      <c r="O119" s="210"/>
    </row>
    <row r="120">
      <c r="A120" s="212">
        <f t="shared" si="1"/>
        <v>118</v>
      </c>
      <c r="B120" s="212" t="s">
        <v>2902</v>
      </c>
      <c r="C120" s="225" t="s">
        <v>223</v>
      </c>
      <c r="D120" s="220"/>
      <c r="E120" s="220"/>
      <c r="F120" s="39"/>
      <c r="G120" s="39"/>
      <c r="H120" s="217" t="s">
        <v>3142</v>
      </c>
      <c r="I120" s="217" t="s">
        <v>3145</v>
      </c>
      <c r="J120" s="214" t="s">
        <v>223</v>
      </c>
      <c r="K120" s="215"/>
      <c r="L120" s="224"/>
      <c r="M120" s="224"/>
      <c r="N120" s="224"/>
      <c r="O120" s="210"/>
    </row>
    <row r="121">
      <c r="A121" s="212">
        <f t="shared" si="1"/>
        <v>119</v>
      </c>
      <c r="B121" s="212" t="s">
        <v>2902</v>
      </c>
      <c r="C121" s="225" t="s">
        <v>223</v>
      </c>
      <c r="D121" s="220"/>
      <c r="E121" s="220"/>
      <c r="F121" s="212" t="s">
        <v>3162</v>
      </c>
      <c r="G121" s="217" t="s">
        <v>3163</v>
      </c>
      <c r="H121" s="217" t="s">
        <v>3148</v>
      </c>
      <c r="I121" s="217" t="s">
        <v>3149</v>
      </c>
      <c r="J121" s="214" t="s">
        <v>223</v>
      </c>
      <c r="K121" s="215"/>
      <c r="L121" s="224"/>
      <c r="M121" s="224"/>
      <c r="N121" s="224"/>
      <c r="O121" s="210"/>
    </row>
    <row r="122">
      <c r="A122" s="212">
        <f t="shared" si="1"/>
        <v>120</v>
      </c>
      <c r="B122" s="212" t="s">
        <v>2902</v>
      </c>
      <c r="C122" s="225" t="s">
        <v>223</v>
      </c>
      <c r="D122" s="220"/>
      <c r="E122" s="220"/>
      <c r="F122" s="225" t="s">
        <v>3164</v>
      </c>
      <c r="G122" s="217" t="s">
        <v>3165</v>
      </c>
      <c r="H122" s="217" t="s">
        <v>3152</v>
      </c>
      <c r="I122" s="217" t="s">
        <v>3153</v>
      </c>
      <c r="J122" s="214" t="s">
        <v>223</v>
      </c>
      <c r="K122" s="215"/>
      <c r="L122" s="224"/>
      <c r="M122" s="224"/>
      <c r="N122" s="224"/>
      <c r="O122" s="210"/>
    </row>
    <row r="123">
      <c r="A123" s="212">
        <f t="shared" si="1"/>
        <v>121</v>
      </c>
      <c r="B123" s="212" t="s">
        <v>2902</v>
      </c>
      <c r="C123" s="225" t="s">
        <v>223</v>
      </c>
      <c r="D123" s="220"/>
      <c r="E123" s="220"/>
      <c r="F123" s="220"/>
      <c r="G123" s="217" t="s">
        <v>3166</v>
      </c>
      <c r="H123" s="217" t="s">
        <v>3152</v>
      </c>
      <c r="I123" s="217" t="s">
        <v>3153</v>
      </c>
      <c r="J123" s="214" t="s">
        <v>223</v>
      </c>
      <c r="K123" s="215"/>
      <c r="L123" s="224"/>
      <c r="M123" s="224"/>
      <c r="N123" s="224"/>
      <c r="O123" s="210"/>
    </row>
    <row r="124">
      <c r="A124" s="212">
        <f t="shared" si="1"/>
        <v>122</v>
      </c>
      <c r="B124" s="212" t="s">
        <v>2902</v>
      </c>
      <c r="C124" s="225" t="s">
        <v>223</v>
      </c>
      <c r="D124" s="220"/>
      <c r="E124" s="220"/>
      <c r="F124" s="220"/>
      <c r="G124" s="217" t="s">
        <v>3167</v>
      </c>
      <c r="H124" s="217" t="s">
        <v>3152</v>
      </c>
      <c r="I124" s="217" t="s">
        <v>3153</v>
      </c>
      <c r="J124" s="214" t="s">
        <v>223</v>
      </c>
      <c r="K124" s="215"/>
      <c r="L124" s="224"/>
      <c r="M124" s="224"/>
      <c r="N124" s="224"/>
      <c r="O124" s="210"/>
    </row>
    <row r="125">
      <c r="A125" s="212">
        <f t="shared" si="1"/>
        <v>123</v>
      </c>
      <c r="B125" s="212" t="s">
        <v>2902</v>
      </c>
      <c r="C125" s="225" t="s">
        <v>223</v>
      </c>
      <c r="D125" s="39"/>
      <c r="E125" s="39"/>
      <c r="F125" s="39"/>
      <c r="G125" s="217" t="s">
        <v>3168</v>
      </c>
      <c r="H125" s="217" t="s">
        <v>3152</v>
      </c>
      <c r="I125" s="217" t="s">
        <v>3153</v>
      </c>
      <c r="J125" s="214" t="s">
        <v>223</v>
      </c>
      <c r="K125" s="215"/>
      <c r="L125" s="224"/>
      <c r="M125" s="224"/>
      <c r="N125" s="224"/>
      <c r="O125" s="210"/>
    </row>
    <row r="126">
      <c r="A126" s="212">
        <f t="shared" si="1"/>
        <v>124</v>
      </c>
      <c r="B126" s="212" t="s">
        <v>2902</v>
      </c>
      <c r="C126" s="225" t="s">
        <v>223</v>
      </c>
      <c r="D126" s="225" t="s">
        <v>2782</v>
      </c>
      <c r="E126" s="225" t="s">
        <v>3169</v>
      </c>
      <c r="F126" s="225" t="s">
        <v>3170</v>
      </c>
      <c r="G126" s="249" t="s">
        <v>3171</v>
      </c>
      <c r="H126" s="217" t="s">
        <v>3134</v>
      </c>
      <c r="I126" s="217" t="s">
        <v>3135</v>
      </c>
      <c r="J126" s="214" t="s">
        <v>223</v>
      </c>
      <c r="K126" s="215"/>
      <c r="L126" s="224"/>
      <c r="M126" s="224"/>
      <c r="N126" s="224"/>
      <c r="O126" s="210"/>
    </row>
    <row r="127">
      <c r="A127" s="212">
        <f t="shared" si="1"/>
        <v>125</v>
      </c>
      <c r="B127" s="212" t="s">
        <v>2902</v>
      </c>
      <c r="C127" s="225" t="s">
        <v>223</v>
      </c>
      <c r="D127" s="220"/>
      <c r="E127" s="220"/>
      <c r="F127" s="220"/>
      <c r="G127" s="220"/>
      <c r="H127" s="217" t="s">
        <v>3136</v>
      </c>
      <c r="I127" s="217" t="s">
        <v>3137</v>
      </c>
      <c r="J127" s="214" t="s">
        <v>223</v>
      </c>
      <c r="K127" s="215"/>
      <c r="L127" s="224"/>
      <c r="M127" s="224"/>
      <c r="N127" s="224"/>
      <c r="O127" s="210"/>
    </row>
    <row r="128">
      <c r="A128" s="212">
        <f t="shared" si="1"/>
        <v>126</v>
      </c>
      <c r="B128" s="212" t="s">
        <v>2902</v>
      </c>
      <c r="C128" s="225" t="s">
        <v>223</v>
      </c>
      <c r="D128" s="220"/>
      <c r="E128" s="220"/>
      <c r="F128" s="220"/>
      <c r="G128" s="220"/>
      <c r="H128" s="217" t="s">
        <v>3138</v>
      </c>
      <c r="I128" s="217" t="s">
        <v>3160</v>
      </c>
      <c r="J128" s="214" t="s">
        <v>223</v>
      </c>
      <c r="K128" s="215"/>
      <c r="L128" s="224"/>
      <c r="M128" s="224"/>
      <c r="N128" s="224"/>
      <c r="O128" s="210"/>
    </row>
    <row r="129">
      <c r="A129" s="212">
        <f t="shared" si="1"/>
        <v>127</v>
      </c>
      <c r="B129" s="212" t="s">
        <v>2902</v>
      </c>
      <c r="C129" s="225" t="s">
        <v>223</v>
      </c>
      <c r="D129" s="220"/>
      <c r="E129" s="220"/>
      <c r="F129" s="220"/>
      <c r="G129" s="220"/>
      <c r="H129" s="217" t="s">
        <v>3140</v>
      </c>
      <c r="I129" s="217" t="s">
        <v>3141</v>
      </c>
      <c r="J129" s="214" t="s">
        <v>223</v>
      </c>
      <c r="K129" s="215"/>
      <c r="L129" s="224"/>
      <c r="M129" s="224"/>
      <c r="N129" s="224"/>
      <c r="O129" s="210"/>
    </row>
    <row r="130">
      <c r="A130" s="212">
        <f t="shared" si="1"/>
        <v>128</v>
      </c>
      <c r="B130" s="212" t="s">
        <v>2902</v>
      </c>
      <c r="C130" s="225" t="s">
        <v>223</v>
      </c>
      <c r="D130" s="220"/>
      <c r="E130" s="220"/>
      <c r="F130" s="220"/>
      <c r="G130" s="39"/>
      <c r="H130" s="217" t="s">
        <v>3142</v>
      </c>
      <c r="I130" s="217" t="s">
        <v>3143</v>
      </c>
      <c r="J130" s="214" t="s">
        <v>223</v>
      </c>
      <c r="K130" s="215"/>
      <c r="L130" s="224"/>
      <c r="M130" s="224"/>
      <c r="N130" s="224"/>
      <c r="O130" s="210"/>
    </row>
    <row r="131">
      <c r="A131" s="212">
        <f t="shared" si="1"/>
        <v>129</v>
      </c>
      <c r="B131" s="212" t="s">
        <v>2902</v>
      </c>
      <c r="C131" s="225" t="s">
        <v>223</v>
      </c>
      <c r="D131" s="220"/>
      <c r="E131" s="220"/>
      <c r="F131" s="220"/>
      <c r="G131" s="249" t="s">
        <v>3172</v>
      </c>
      <c r="H131" s="217" t="s">
        <v>3134</v>
      </c>
      <c r="I131" s="217" t="s">
        <v>3173</v>
      </c>
      <c r="J131" s="214" t="s">
        <v>223</v>
      </c>
      <c r="K131" s="215"/>
      <c r="L131" s="224"/>
      <c r="M131" s="224"/>
      <c r="N131" s="224"/>
      <c r="O131" s="210"/>
    </row>
    <row r="132">
      <c r="A132" s="212">
        <f t="shared" si="1"/>
        <v>130</v>
      </c>
      <c r="B132" s="212" t="s">
        <v>2902</v>
      </c>
      <c r="C132" s="225" t="s">
        <v>223</v>
      </c>
      <c r="D132" s="220"/>
      <c r="E132" s="220"/>
      <c r="F132" s="220"/>
      <c r="G132" s="220"/>
      <c r="H132" s="217" t="s">
        <v>3136</v>
      </c>
      <c r="I132" s="217" t="s">
        <v>3137</v>
      </c>
      <c r="J132" s="214" t="s">
        <v>223</v>
      </c>
      <c r="K132" s="215"/>
      <c r="L132" s="224"/>
      <c r="M132" s="224"/>
      <c r="N132" s="224"/>
      <c r="O132" s="210"/>
    </row>
    <row r="133">
      <c r="A133" s="212">
        <f t="shared" si="1"/>
        <v>131</v>
      </c>
      <c r="B133" s="212" t="s">
        <v>2902</v>
      </c>
      <c r="C133" s="225" t="s">
        <v>223</v>
      </c>
      <c r="D133" s="220"/>
      <c r="E133" s="220"/>
      <c r="F133" s="220"/>
      <c r="G133" s="220"/>
      <c r="H133" s="217" t="s">
        <v>3138</v>
      </c>
      <c r="I133" s="217" t="s">
        <v>3139</v>
      </c>
      <c r="J133" s="214" t="s">
        <v>223</v>
      </c>
      <c r="K133" s="215"/>
      <c r="L133" s="224"/>
      <c r="M133" s="224"/>
      <c r="N133" s="224"/>
      <c r="O133" s="210"/>
    </row>
    <row r="134">
      <c r="A134" s="212">
        <f t="shared" si="1"/>
        <v>132</v>
      </c>
      <c r="B134" s="212" t="s">
        <v>2902</v>
      </c>
      <c r="C134" s="225" t="s">
        <v>223</v>
      </c>
      <c r="D134" s="220"/>
      <c r="E134" s="220"/>
      <c r="F134" s="220"/>
      <c r="G134" s="220"/>
      <c r="H134" s="217" t="s">
        <v>3140</v>
      </c>
      <c r="I134" s="217" t="s">
        <v>3141</v>
      </c>
      <c r="J134" s="214" t="s">
        <v>223</v>
      </c>
      <c r="K134" s="215"/>
      <c r="L134" s="224"/>
      <c r="M134" s="224"/>
      <c r="N134" s="224"/>
      <c r="O134" s="210"/>
    </row>
    <row r="135">
      <c r="A135" s="212">
        <f t="shared" si="1"/>
        <v>133</v>
      </c>
      <c r="B135" s="212" t="s">
        <v>2902</v>
      </c>
      <c r="C135" s="225" t="s">
        <v>223</v>
      </c>
      <c r="D135" s="220"/>
      <c r="E135" s="220"/>
      <c r="F135" s="39"/>
      <c r="G135" s="39"/>
      <c r="H135" s="217" t="s">
        <v>3142</v>
      </c>
      <c r="I135" s="217" t="s">
        <v>3145</v>
      </c>
      <c r="J135" s="214" t="s">
        <v>223</v>
      </c>
      <c r="K135" s="215"/>
      <c r="L135" s="224"/>
      <c r="M135" s="224"/>
      <c r="N135" s="224"/>
      <c r="O135" s="210"/>
    </row>
    <row r="136">
      <c r="A136" s="212">
        <f t="shared" si="1"/>
        <v>134</v>
      </c>
      <c r="B136" s="212" t="s">
        <v>2902</v>
      </c>
      <c r="C136" s="225" t="s">
        <v>223</v>
      </c>
      <c r="D136" s="220"/>
      <c r="E136" s="220"/>
      <c r="F136" s="212" t="s">
        <v>3174</v>
      </c>
      <c r="G136" s="217" t="s">
        <v>3175</v>
      </c>
      <c r="H136" s="217" t="s">
        <v>3148</v>
      </c>
      <c r="I136" s="217" t="s">
        <v>3149</v>
      </c>
      <c r="J136" s="214" t="s">
        <v>223</v>
      </c>
      <c r="K136" s="215"/>
      <c r="L136" s="224"/>
      <c r="M136" s="224"/>
      <c r="N136" s="224"/>
      <c r="O136" s="210"/>
    </row>
    <row r="137">
      <c r="A137" s="212">
        <f t="shared" si="1"/>
        <v>135</v>
      </c>
      <c r="B137" s="212" t="s">
        <v>2902</v>
      </c>
      <c r="C137" s="225" t="s">
        <v>223</v>
      </c>
      <c r="D137" s="220"/>
      <c r="E137" s="220"/>
      <c r="F137" s="225" t="s">
        <v>3176</v>
      </c>
      <c r="G137" s="217" t="s">
        <v>3177</v>
      </c>
      <c r="H137" s="217" t="s">
        <v>3152</v>
      </c>
      <c r="I137" s="217" t="s">
        <v>3153</v>
      </c>
      <c r="J137" s="214" t="s">
        <v>223</v>
      </c>
      <c r="K137" s="215"/>
      <c r="L137" s="224"/>
      <c r="M137" s="224"/>
      <c r="N137" s="224"/>
      <c r="O137" s="210"/>
    </row>
    <row r="138">
      <c r="A138" s="212">
        <f t="shared" si="1"/>
        <v>136</v>
      </c>
      <c r="B138" s="212" t="s">
        <v>2902</v>
      </c>
      <c r="C138" s="225" t="s">
        <v>223</v>
      </c>
      <c r="D138" s="220"/>
      <c r="E138" s="220"/>
      <c r="F138" s="220"/>
      <c r="G138" s="217" t="s">
        <v>3178</v>
      </c>
      <c r="H138" s="217" t="s">
        <v>3152</v>
      </c>
      <c r="I138" s="217" t="s">
        <v>3153</v>
      </c>
      <c r="J138" s="214" t="s">
        <v>223</v>
      </c>
      <c r="K138" s="215"/>
      <c r="L138" s="224"/>
      <c r="M138" s="224"/>
      <c r="N138" s="224"/>
      <c r="O138" s="210"/>
    </row>
    <row r="139">
      <c r="A139" s="212">
        <f t="shared" si="1"/>
        <v>137</v>
      </c>
      <c r="B139" s="212" t="s">
        <v>2902</v>
      </c>
      <c r="C139" s="225" t="s">
        <v>223</v>
      </c>
      <c r="D139" s="220"/>
      <c r="E139" s="220"/>
      <c r="F139" s="220"/>
      <c r="G139" s="217" t="s">
        <v>3179</v>
      </c>
      <c r="H139" s="217" t="s">
        <v>3152</v>
      </c>
      <c r="I139" s="217" t="s">
        <v>3153</v>
      </c>
      <c r="J139" s="214" t="s">
        <v>223</v>
      </c>
      <c r="K139" s="215"/>
      <c r="L139" s="224"/>
      <c r="M139" s="224"/>
      <c r="N139" s="224"/>
      <c r="O139" s="210"/>
    </row>
    <row r="140">
      <c r="A140" s="212">
        <f t="shared" si="1"/>
        <v>138</v>
      </c>
      <c r="B140" s="212" t="s">
        <v>2902</v>
      </c>
      <c r="C140" s="225" t="s">
        <v>223</v>
      </c>
      <c r="D140" s="39"/>
      <c r="E140" s="39"/>
      <c r="F140" s="39"/>
      <c r="G140" s="217" t="s">
        <v>3180</v>
      </c>
      <c r="H140" s="217" t="s">
        <v>3152</v>
      </c>
      <c r="I140" s="217" t="s">
        <v>3153</v>
      </c>
      <c r="J140" s="214" t="s">
        <v>223</v>
      </c>
      <c r="K140" s="215"/>
      <c r="L140" s="224"/>
      <c r="M140" s="224"/>
      <c r="N140" s="224"/>
      <c r="O140" s="210"/>
    </row>
    <row r="141">
      <c r="A141" s="212">
        <f t="shared" si="1"/>
        <v>139</v>
      </c>
      <c r="B141" s="212" t="s">
        <v>2902</v>
      </c>
      <c r="C141" s="225" t="s">
        <v>223</v>
      </c>
      <c r="D141" s="225" t="s">
        <v>2782</v>
      </c>
      <c r="E141" s="225" t="s">
        <v>92</v>
      </c>
      <c r="F141" s="225" t="s">
        <v>3015</v>
      </c>
      <c r="G141" s="217" t="s">
        <v>3181</v>
      </c>
      <c r="H141" s="217" t="s">
        <v>3017</v>
      </c>
      <c r="I141" s="217" t="s">
        <v>3182</v>
      </c>
      <c r="J141" s="214" t="s">
        <v>223</v>
      </c>
      <c r="K141" s="215"/>
      <c r="L141" s="224"/>
      <c r="M141" s="224"/>
      <c r="N141" s="224"/>
      <c r="O141" s="210"/>
    </row>
    <row r="142">
      <c r="A142" s="212">
        <f t="shared" si="1"/>
        <v>140</v>
      </c>
      <c r="B142" s="212" t="s">
        <v>2902</v>
      </c>
      <c r="C142" s="225" t="s">
        <v>223</v>
      </c>
      <c r="D142" s="39"/>
      <c r="E142" s="225" t="s">
        <v>92</v>
      </c>
      <c r="F142" s="39"/>
      <c r="G142" s="217" t="s">
        <v>3183</v>
      </c>
      <c r="H142" s="217" t="s">
        <v>3017</v>
      </c>
      <c r="I142" s="217" t="s">
        <v>3184</v>
      </c>
      <c r="J142" s="214" t="s">
        <v>223</v>
      </c>
      <c r="K142" s="215"/>
      <c r="L142" s="224"/>
      <c r="M142" s="224"/>
      <c r="N142" s="224"/>
      <c r="O142" s="210"/>
    </row>
    <row r="143">
      <c r="A143" s="212">
        <f t="shared" si="1"/>
        <v>141</v>
      </c>
      <c r="B143" s="212" t="s">
        <v>2902</v>
      </c>
      <c r="C143" s="225" t="s">
        <v>226</v>
      </c>
      <c r="D143" s="225" t="s">
        <v>92</v>
      </c>
      <c r="E143" s="225" t="s">
        <v>92</v>
      </c>
      <c r="F143" s="212" t="s">
        <v>613</v>
      </c>
      <c r="G143" s="217" t="s">
        <v>92</v>
      </c>
      <c r="H143" s="217" t="s">
        <v>3185</v>
      </c>
      <c r="I143" s="217" t="s">
        <v>3186</v>
      </c>
      <c r="J143" s="214" t="s">
        <v>225</v>
      </c>
      <c r="K143" s="215"/>
      <c r="L143" s="226"/>
      <c r="M143" s="227"/>
      <c r="N143" s="224"/>
      <c r="O143" s="210"/>
    </row>
    <row r="144">
      <c r="A144" s="212">
        <f t="shared" si="1"/>
        <v>142</v>
      </c>
      <c r="B144" s="212" t="s">
        <v>2902</v>
      </c>
      <c r="C144" s="225" t="s">
        <v>226</v>
      </c>
      <c r="D144" s="225" t="s">
        <v>3187</v>
      </c>
      <c r="E144" s="225" t="s">
        <v>587</v>
      </c>
      <c r="F144" s="212" t="s">
        <v>3188</v>
      </c>
      <c r="G144" s="217" t="s">
        <v>92</v>
      </c>
      <c r="H144" s="217" t="s">
        <v>3189</v>
      </c>
      <c r="I144" s="217" t="s">
        <v>3190</v>
      </c>
      <c r="J144" s="214" t="s">
        <v>225</v>
      </c>
      <c r="K144" s="215"/>
      <c r="L144" s="224"/>
      <c r="M144" s="224"/>
      <c r="N144" s="224"/>
      <c r="O144" s="210"/>
    </row>
    <row r="145">
      <c r="A145" s="212">
        <f t="shared" si="1"/>
        <v>143</v>
      </c>
      <c r="B145" s="212" t="s">
        <v>2902</v>
      </c>
      <c r="C145" s="225" t="s">
        <v>226</v>
      </c>
      <c r="D145" s="220"/>
      <c r="E145" s="220"/>
      <c r="F145" s="212" t="s">
        <v>3191</v>
      </c>
      <c r="G145" s="217" t="s">
        <v>92</v>
      </c>
      <c r="H145" s="217" t="s">
        <v>3192</v>
      </c>
      <c r="I145" s="217" t="s">
        <v>3193</v>
      </c>
      <c r="J145" s="214" t="s">
        <v>225</v>
      </c>
      <c r="K145" s="215"/>
      <c r="L145" s="226"/>
      <c r="M145" s="227"/>
      <c r="N145" s="224"/>
      <c r="O145" s="210"/>
    </row>
    <row r="146">
      <c r="A146" s="212">
        <f t="shared" si="1"/>
        <v>144</v>
      </c>
      <c r="B146" s="212" t="s">
        <v>2902</v>
      </c>
      <c r="C146" s="225" t="s">
        <v>226</v>
      </c>
      <c r="D146" s="220"/>
      <c r="E146" s="220"/>
      <c r="F146" s="212" t="s">
        <v>3194</v>
      </c>
      <c r="G146" s="217" t="s">
        <v>92</v>
      </c>
      <c r="H146" s="217" t="s">
        <v>3195</v>
      </c>
      <c r="I146" s="217" t="s">
        <v>3196</v>
      </c>
      <c r="J146" s="214" t="s">
        <v>225</v>
      </c>
      <c r="K146" s="215"/>
      <c r="L146" s="226"/>
      <c r="M146" s="227"/>
      <c r="N146" s="224"/>
      <c r="O146" s="210"/>
    </row>
    <row r="147">
      <c r="A147" s="212">
        <f t="shared" si="1"/>
        <v>145</v>
      </c>
      <c r="B147" s="212" t="s">
        <v>2902</v>
      </c>
      <c r="C147" s="225" t="s">
        <v>226</v>
      </c>
      <c r="D147" s="220"/>
      <c r="E147" s="220"/>
      <c r="F147" s="212" t="s">
        <v>3197</v>
      </c>
      <c r="G147" s="217" t="s">
        <v>92</v>
      </c>
      <c r="H147" s="217" t="s">
        <v>3198</v>
      </c>
      <c r="I147" s="217" t="s">
        <v>3199</v>
      </c>
      <c r="J147" s="214" t="s">
        <v>225</v>
      </c>
      <c r="K147" s="215"/>
      <c r="L147" s="224"/>
      <c r="M147" s="224"/>
      <c r="N147" s="224"/>
      <c r="O147" s="210"/>
    </row>
    <row r="148">
      <c r="A148" s="212">
        <f t="shared" si="1"/>
        <v>146</v>
      </c>
      <c r="B148" s="212" t="s">
        <v>2902</v>
      </c>
      <c r="C148" s="225" t="s">
        <v>226</v>
      </c>
      <c r="D148" s="220"/>
      <c r="E148" s="220"/>
      <c r="F148" s="212" t="s">
        <v>3200</v>
      </c>
      <c r="G148" s="217" t="s">
        <v>92</v>
      </c>
      <c r="H148" s="217" t="s">
        <v>3201</v>
      </c>
      <c r="I148" s="217" t="s">
        <v>3202</v>
      </c>
      <c r="J148" s="214" t="s">
        <v>225</v>
      </c>
      <c r="K148" s="215"/>
      <c r="L148" s="224"/>
      <c r="M148" s="224"/>
      <c r="N148" s="224"/>
      <c r="O148" s="210"/>
    </row>
    <row r="149">
      <c r="A149" s="212">
        <f t="shared" si="1"/>
        <v>147</v>
      </c>
      <c r="B149" s="212" t="s">
        <v>2902</v>
      </c>
      <c r="C149" s="225" t="s">
        <v>226</v>
      </c>
      <c r="D149" s="220"/>
      <c r="E149" s="220"/>
      <c r="F149" s="212" t="s">
        <v>608</v>
      </c>
      <c r="G149" s="217" t="s">
        <v>3203</v>
      </c>
      <c r="H149" s="217" t="s">
        <v>1479</v>
      </c>
      <c r="I149" s="217" t="s">
        <v>3204</v>
      </c>
      <c r="J149" s="214" t="s">
        <v>225</v>
      </c>
      <c r="K149" s="215"/>
      <c r="L149" s="224"/>
      <c r="M149" s="224"/>
      <c r="N149" s="224"/>
      <c r="O149" s="210"/>
    </row>
    <row r="150">
      <c r="A150" s="212">
        <f t="shared" si="1"/>
        <v>148</v>
      </c>
      <c r="B150" s="212" t="s">
        <v>2902</v>
      </c>
      <c r="C150" s="225" t="s">
        <v>226</v>
      </c>
      <c r="D150" s="220"/>
      <c r="E150" s="220"/>
      <c r="F150" s="225" t="s">
        <v>3205</v>
      </c>
      <c r="G150" s="217" t="s">
        <v>3206</v>
      </c>
      <c r="H150" s="217" t="s">
        <v>3207</v>
      </c>
      <c r="I150" s="217" t="s">
        <v>3208</v>
      </c>
      <c r="J150" s="214" t="s">
        <v>225</v>
      </c>
      <c r="K150" s="215"/>
      <c r="L150" s="224"/>
      <c r="M150" s="224"/>
      <c r="N150" s="224"/>
      <c r="O150" s="210"/>
    </row>
    <row r="151">
      <c r="A151" s="212">
        <f t="shared" si="1"/>
        <v>149</v>
      </c>
      <c r="B151" s="212" t="s">
        <v>2902</v>
      </c>
      <c r="C151" s="225" t="s">
        <v>226</v>
      </c>
      <c r="D151" s="220"/>
      <c r="E151" s="220"/>
      <c r="F151" s="220"/>
      <c r="G151" s="217" t="s">
        <v>3209</v>
      </c>
      <c r="H151" s="217" t="s">
        <v>3207</v>
      </c>
      <c r="I151" s="217" t="s">
        <v>3208</v>
      </c>
      <c r="J151" s="214" t="s">
        <v>225</v>
      </c>
      <c r="K151" s="215"/>
      <c r="L151" s="224"/>
      <c r="M151" s="224"/>
      <c r="N151" s="224"/>
      <c r="O151" s="210"/>
    </row>
    <row r="152">
      <c r="A152" s="212">
        <f t="shared" si="1"/>
        <v>150</v>
      </c>
      <c r="B152" s="212" t="s">
        <v>2902</v>
      </c>
      <c r="C152" s="225" t="s">
        <v>226</v>
      </c>
      <c r="D152" s="220"/>
      <c r="E152" s="220"/>
      <c r="F152" s="220"/>
      <c r="G152" s="217" t="s">
        <v>3210</v>
      </c>
      <c r="H152" s="217" t="s">
        <v>3207</v>
      </c>
      <c r="I152" s="217" t="s">
        <v>3208</v>
      </c>
      <c r="J152" s="214" t="s">
        <v>225</v>
      </c>
      <c r="K152" s="215"/>
      <c r="L152" s="224"/>
      <c r="M152" s="224"/>
      <c r="N152" s="224"/>
      <c r="O152" s="210"/>
    </row>
    <row r="153">
      <c r="A153" s="212">
        <f t="shared" si="1"/>
        <v>151</v>
      </c>
      <c r="B153" s="212" t="s">
        <v>2902</v>
      </c>
      <c r="C153" s="225" t="s">
        <v>226</v>
      </c>
      <c r="D153" s="220"/>
      <c r="E153" s="220"/>
      <c r="F153" s="220"/>
      <c r="G153" s="217" t="s">
        <v>3211</v>
      </c>
      <c r="H153" s="217" t="s">
        <v>3207</v>
      </c>
      <c r="I153" s="217" t="s">
        <v>3212</v>
      </c>
      <c r="J153" s="214" t="s">
        <v>225</v>
      </c>
      <c r="K153" s="215"/>
      <c r="L153" s="276"/>
      <c r="M153" s="227"/>
      <c r="N153" s="224"/>
      <c r="O153" s="210"/>
    </row>
    <row r="154">
      <c r="A154" s="212">
        <f t="shared" si="1"/>
        <v>152</v>
      </c>
      <c r="B154" s="212" t="s">
        <v>2902</v>
      </c>
      <c r="C154" s="225" t="s">
        <v>226</v>
      </c>
      <c r="D154" s="220"/>
      <c r="E154" s="220"/>
      <c r="F154" s="39"/>
      <c r="G154" s="217" t="s">
        <v>3213</v>
      </c>
      <c r="H154" s="217" t="s">
        <v>3207</v>
      </c>
      <c r="I154" s="217" t="s">
        <v>3212</v>
      </c>
      <c r="J154" s="214" t="s">
        <v>225</v>
      </c>
      <c r="K154" s="215"/>
      <c r="L154" s="226"/>
      <c r="M154" s="227"/>
      <c r="N154" s="224"/>
      <c r="O154" s="210"/>
    </row>
    <row r="155">
      <c r="A155" s="212">
        <f t="shared" si="1"/>
        <v>153</v>
      </c>
      <c r="B155" s="212" t="s">
        <v>2902</v>
      </c>
      <c r="C155" s="225" t="s">
        <v>226</v>
      </c>
      <c r="D155" s="220"/>
      <c r="E155" s="220"/>
      <c r="F155" s="225" t="s">
        <v>3214</v>
      </c>
      <c r="G155" s="217" t="s">
        <v>3215</v>
      </c>
      <c r="H155" s="217" t="s">
        <v>3216</v>
      </c>
      <c r="I155" s="217" t="s">
        <v>3217</v>
      </c>
      <c r="J155" s="214" t="s">
        <v>225</v>
      </c>
      <c r="K155" s="215"/>
      <c r="L155" s="224"/>
      <c r="M155" s="224"/>
      <c r="N155" s="224"/>
      <c r="O155" s="210"/>
    </row>
    <row r="156">
      <c r="A156" s="212">
        <f t="shared" si="1"/>
        <v>154</v>
      </c>
      <c r="B156" s="212" t="s">
        <v>2902</v>
      </c>
      <c r="C156" s="225" t="s">
        <v>226</v>
      </c>
      <c r="D156" s="39"/>
      <c r="E156" s="39"/>
      <c r="F156" s="39"/>
      <c r="G156" s="217" t="s">
        <v>3218</v>
      </c>
      <c r="H156" s="217" t="s">
        <v>3219</v>
      </c>
      <c r="I156" s="217" t="s">
        <v>3220</v>
      </c>
      <c r="J156" s="214" t="s">
        <v>225</v>
      </c>
      <c r="K156" s="215"/>
      <c r="L156" s="224"/>
      <c r="M156" s="224"/>
      <c r="N156" s="224"/>
      <c r="O156" s="210"/>
    </row>
    <row r="157">
      <c r="A157" s="212">
        <f t="shared" si="1"/>
        <v>155</v>
      </c>
      <c r="B157" s="212" t="s">
        <v>2902</v>
      </c>
      <c r="C157" s="225" t="s">
        <v>226</v>
      </c>
      <c r="D157" s="225" t="s">
        <v>3187</v>
      </c>
      <c r="E157" s="225" t="s">
        <v>2782</v>
      </c>
      <c r="F157" s="212" t="s">
        <v>613</v>
      </c>
      <c r="G157" s="217" t="s">
        <v>92</v>
      </c>
      <c r="H157" s="217" t="s">
        <v>3221</v>
      </c>
      <c r="I157" s="217" t="s">
        <v>3222</v>
      </c>
      <c r="J157" s="214" t="s">
        <v>225</v>
      </c>
      <c r="K157" s="215"/>
      <c r="L157" s="224"/>
      <c r="M157" s="227"/>
      <c r="N157" s="224"/>
      <c r="O157" s="210"/>
    </row>
    <row r="158">
      <c r="A158" s="212">
        <f t="shared" si="1"/>
        <v>156</v>
      </c>
      <c r="B158" s="212" t="s">
        <v>2902</v>
      </c>
      <c r="C158" s="225" t="s">
        <v>226</v>
      </c>
      <c r="D158" s="220"/>
      <c r="E158" s="220"/>
      <c r="F158" s="212" t="s">
        <v>3223</v>
      </c>
      <c r="G158" s="217" t="s">
        <v>92</v>
      </c>
      <c r="H158" s="217" t="s">
        <v>3224</v>
      </c>
      <c r="I158" s="217" t="s">
        <v>3225</v>
      </c>
      <c r="J158" s="214" t="s">
        <v>225</v>
      </c>
      <c r="K158" s="215"/>
      <c r="L158" s="224"/>
      <c r="M158" s="224"/>
      <c r="N158" s="224"/>
      <c r="O158" s="210"/>
    </row>
    <row r="159">
      <c r="A159" s="212">
        <f t="shared" si="1"/>
        <v>157</v>
      </c>
      <c r="B159" s="212" t="s">
        <v>2902</v>
      </c>
      <c r="C159" s="225" t="s">
        <v>226</v>
      </c>
      <c r="D159" s="220"/>
      <c r="E159" s="220"/>
      <c r="F159" s="225" t="s">
        <v>3226</v>
      </c>
      <c r="G159" s="217" t="s">
        <v>3227</v>
      </c>
      <c r="H159" s="217" t="s">
        <v>3228</v>
      </c>
      <c r="I159" s="217" t="s">
        <v>3229</v>
      </c>
      <c r="J159" s="214" t="s">
        <v>225</v>
      </c>
      <c r="K159" s="215"/>
      <c r="L159" s="224"/>
      <c r="M159" s="224"/>
      <c r="N159" s="224"/>
      <c r="O159" s="210"/>
    </row>
    <row r="160">
      <c r="A160" s="212">
        <f t="shared" si="1"/>
        <v>158</v>
      </c>
      <c r="B160" s="212" t="s">
        <v>2902</v>
      </c>
      <c r="C160" s="225" t="s">
        <v>226</v>
      </c>
      <c r="D160" s="220"/>
      <c r="E160" s="220"/>
      <c r="F160" s="39"/>
      <c r="G160" s="217" t="s">
        <v>3230</v>
      </c>
      <c r="H160" s="217" t="s">
        <v>3228</v>
      </c>
      <c r="I160" s="217" t="s">
        <v>3231</v>
      </c>
      <c r="J160" s="214" t="s">
        <v>225</v>
      </c>
      <c r="K160" s="215"/>
      <c r="L160" s="224"/>
      <c r="M160" s="224"/>
      <c r="N160" s="224"/>
      <c r="O160" s="210"/>
    </row>
    <row r="161">
      <c r="A161" s="212">
        <f t="shared" si="1"/>
        <v>159</v>
      </c>
      <c r="B161" s="212" t="s">
        <v>2902</v>
      </c>
      <c r="C161" s="225" t="s">
        <v>226</v>
      </c>
      <c r="D161" s="220"/>
      <c r="E161" s="220"/>
      <c r="F161" s="225" t="s">
        <v>3188</v>
      </c>
      <c r="G161" s="217" t="s">
        <v>3232</v>
      </c>
      <c r="H161" s="217" t="s">
        <v>3233</v>
      </c>
      <c r="I161" s="217" t="s">
        <v>3229</v>
      </c>
      <c r="J161" s="214" t="s">
        <v>225</v>
      </c>
      <c r="K161" s="215"/>
      <c r="L161" s="224"/>
      <c r="M161" s="224"/>
      <c r="N161" s="224"/>
      <c r="O161" s="210"/>
    </row>
    <row r="162">
      <c r="A162" s="212">
        <f t="shared" si="1"/>
        <v>160</v>
      </c>
      <c r="B162" s="212" t="s">
        <v>2902</v>
      </c>
      <c r="C162" s="225" t="s">
        <v>226</v>
      </c>
      <c r="D162" s="220"/>
      <c r="E162" s="220"/>
      <c r="F162" s="39"/>
      <c r="G162" s="217" t="s">
        <v>3234</v>
      </c>
      <c r="H162" s="217" t="s">
        <v>3233</v>
      </c>
      <c r="I162" s="217" t="s">
        <v>3235</v>
      </c>
      <c r="J162" s="214" t="s">
        <v>225</v>
      </c>
      <c r="K162" s="215"/>
      <c r="L162" s="224"/>
      <c r="M162" s="224"/>
      <c r="N162" s="224"/>
      <c r="O162" s="210"/>
    </row>
    <row r="163">
      <c r="A163" s="212">
        <f t="shared" si="1"/>
        <v>161</v>
      </c>
      <c r="B163" s="212" t="s">
        <v>2902</v>
      </c>
      <c r="C163" s="225" t="s">
        <v>226</v>
      </c>
      <c r="D163" s="220"/>
      <c r="E163" s="220"/>
      <c r="F163" s="225" t="s">
        <v>3236</v>
      </c>
      <c r="G163" s="217" t="s">
        <v>3227</v>
      </c>
      <c r="H163" s="217" t="s">
        <v>3237</v>
      </c>
      <c r="I163" s="217" t="s">
        <v>3229</v>
      </c>
      <c r="J163" s="214" t="s">
        <v>225</v>
      </c>
      <c r="K163" s="215"/>
      <c r="L163" s="224"/>
      <c r="M163" s="224"/>
      <c r="N163" s="224"/>
      <c r="O163" s="210"/>
    </row>
    <row r="164">
      <c r="A164" s="212">
        <f t="shared" si="1"/>
        <v>162</v>
      </c>
      <c r="B164" s="212" t="s">
        <v>2902</v>
      </c>
      <c r="C164" s="225" t="s">
        <v>226</v>
      </c>
      <c r="D164" s="220"/>
      <c r="E164" s="220"/>
      <c r="F164" s="39"/>
      <c r="G164" s="217" t="s">
        <v>3230</v>
      </c>
      <c r="H164" s="217" t="s">
        <v>3237</v>
      </c>
      <c r="I164" s="217" t="s">
        <v>3231</v>
      </c>
      <c r="J164" s="214" t="s">
        <v>225</v>
      </c>
      <c r="K164" s="215"/>
      <c r="L164" s="224"/>
      <c r="M164" s="224"/>
      <c r="N164" s="224"/>
      <c r="O164" s="210"/>
    </row>
    <row r="165">
      <c r="A165" s="212">
        <f t="shared" si="1"/>
        <v>163</v>
      </c>
      <c r="B165" s="212" t="s">
        <v>2902</v>
      </c>
      <c r="C165" s="225" t="s">
        <v>226</v>
      </c>
      <c r="D165" s="220"/>
      <c r="E165" s="220"/>
      <c r="F165" s="225" t="s">
        <v>3238</v>
      </c>
      <c r="G165" s="217" t="s">
        <v>3232</v>
      </c>
      <c r="H165" s="217" t="s">
        <v>3239</v>
      </c>
      <c r="I165" s="217" t="s">
        <v>3229</v>
      </c>
      <c r="J165" s="214" t="s">
        <v>225</v>
      </c>
      <c r="K165" s="215"/>
      <c r="L165" s="224"/>
      <c r="M165" s="224"/>
      <c r="N165" s="224"/>
      <c r="O165" s="210"/>
    </row>
    <row r="166">
      <c r="A166" s="212">
        <f t="shared" si="1"/>
        <v>164</v>
      </c>
      <c r="B166" s="212" t="s">
        <v>2902</v>
      </c>
      <c r="C166" s="225" t="s">
        <v>226</v>
      </c>
      <c r="D166" s="220"/>
      <c r="E166" s="220"/>
      <c r="F166" s="39"/>
      <c r="G166" s="217" t="s">
        <v>3234</v>
      </c>
      <c r="H166" s="217" t="s">
        <v>3239</v>
      </c>
      <c r="I166" s="217" t="s">
        <v>3235</v>
      </c>
      <c r="J166" s="214" t="s">
        <v>225</v>
      </c>
      <c r="K166" s="215"/>
      <c r="L166" s="224"/>
      <c r="M166" s="224"/>
      <c r="N166" s="224"/>
      <c r="O166" s="210"/>
    </row>
    <row r="167">
      <c r="A167" s="212">
        <f t="shared" si="1"/>
        <v>165</v>
      </c>
      <c r="B167" s="212" t="s">
        <v>2902</v>
      </c>
      <c r="C167" s="225" t="s">
        <v>226</v>
      </c>
      <c r="D167" s="220"/>
      <c r="E167" s="220"/>
      <c r="F167" s="212" t="s">
        <v>3240</v>
      </c>
      <c r="G167" s="217" t="s">
        <v>3241</v>
      </c>
      <c r="H167" s="217" t="s">
        <v>3242</v>
      </c>
      <c r="I167" s="217" t="s">
        <v>3243</v>
      </c>
      <c r="J167" s="214" t="s">
        <v>225</v>
      </c>
      <c r="K167" s="215"/>
      <c r="L167" s="224"/>
      <c r="M167" s="224"/>
      <c r="N167" s="224"/>
      <c r="O167" s="210"/>
    </row>
    <row r="168">
      <c r="A168" s="212">
        <f t="shared" si="1"/>
        <v>166</v>
      </c>
      <c r="B168" s="212" t="s">
        <v>2902</v>
      </c>
      <c r="C168" s="225" t="s">
        <v>226</v>
      </c>
      <c r="D168" s="220"/>
      <c r="E168" s="220"/>
      <c r="F168" s="212" t="s">
        <v>3244</v>
      </c>
      <c r="G168" s="217" t="s">
        <v>92</v>
      </c>
      <c r="H168" s="217" t="s">
        <v>3245</v>
      </c>
      <c r="I168" s="217" t="s">
        <v>3246</v>
      </c>
      <c r="J168" s="214" t="s">
        <v>225</v>
      </c>
      <c r="K168" s="215"/>
      <c r="L168" s="224"/>
      <c r="M168" s="224"/>
      <c r="N168" s="224"/>
      <c r="O168" s="210"/>
    </row>
    <row r="169">
      <c r="A169" s="212">
        <f t="shared" si="1"/>
        <v>167</v>
      </c>
      <c r="B169" s="212" t="s">
        <v>2902</v>
      </c>
      <c r="C169" s="225" t="s">
        <v>226</v>
      </c>
      <c r="D169" s="220"/>
      <c r="E169" s="220"/>
      <c r="F169" s="212" t="s">
        <v>2830</v>
      </c>
      <c r="G169" s="217" t="s">
        <v>92</v>
      </c>
      <c r="H169" s="217" t="s">
        <v>3247</v>
      </c>
      <c r="I169" s="217" t="s">
        <v>3248</v>
      </c>
      <c r="J169" s="214" t="s">
        <v>225</v>
      </c>
      <c r="K169" s="215"/>
      <c r="L169" s="224"/>
      <c r="M169" s="224"/>
      <c r="N169" s="224"/>
      <c r="O169" s="210"/>
    </row>
    <row r="170">
      <c r="A170" s="212">
        <f t="shared" si="1"/>
        <v>168</v>
      </c>
      <c r="B170" s="212" t="s">
        <v>2902</v>
      </c>
      <c r="C170" s="225" t="s">
        <v>226</v>
      </c>
      <c r="D170" s="220"/>
      <c r="E170" s="220"/>
      <c r="F170" s="225" t="s">
        <v>3194</v>
      </c>
      <c r="G170" s="217" t="s">
        <v>3249</v>
      </c>
      <c r="H170" s="217" t="s">
        <v>3250</v>
      </c>
      <c r="I170" s="217" t="s">
        <v>3229</v>
      </c>
      <c r="J170" s="214" t="s">
        <v>225</v>
      </c>
      <c r="K170" s="215"/>
      <c r="L170" s="224"/>
      <c r="M170" s="224"/>
      <c r="N170" s="224"/>
      <c r="O170" s="210"/>
    </row>
    <row r="171">
      <c r="A171" s="212">
        <f t="shared" si="1"/>
        <v>169</v>
      </c>
      <c r="B171" s="212" t="s">
        <v>2902</v>
      </c>
      <c r="C171" s="225" t="s">
        <v>226</v>
      </c>
      <c r="D171" s="220"/>
      <c r="E171" s="220"/>
      <c r="F171" s="39"/>
      <c r="G171" s="217" t="s">
        <v>3251</v>
      </c>
      <c r="H171" s="217" t="s">
        <v>3250</v>
      </c>
      <c r="I171" s="217" t="s">
        <v>3252</v>
      </c>
      <c r="J171" s="214" t="s">
        <v>225</v>
      </c>
      <c r="K171" s="215"/>
      <c r="L171" s="224"/>
      <c r="M171" s="224"/>
      <c r="N171" s="224"/>
      <c r="O171" s="210"/>
    </row>
    <row r="172">
      <c r="A172" s="212">
        <f t="shared" si="1"/>
        <v>170</v>
      </c>
      <c r="B172" s="212" t="s">
        <v>2902</v>
      </c>
      <c r="C172" s="225" t="s">
        <v>226</v>
      </c>
      <c r="D172" s="220"/>
      <c r="E172" s="220"/>
      <c r="F172" s="212" t="s">
        <v>3253</v>
      </c>
      <c r="G172" s="217" t="s">
        <v>3241</v>
      </c>
      <c r="H172" s="217" t="s">
        <v>3254</v>
      </c>
      <c r="I172" s="217" t="s">
        <v>3255</v>
      </c>
      <c r="J172" s="214" t="s">
        <v>225</v>
      </c>
      <c r="K172" s="215"/>
      <c r="L172" s="224"/>
      <c r="M172" s="224"/>
      <c r="N172" s="224"/>
      <c r="O172" s="210"/>
    </row>
    <row r="173">
      <c r="A173" s="212">
        <f t="shared" si="1"/>
        <v>171</v>
      </c>
      <c r="B173" s="212" t="s">
        <v>2902</v>
      </c>
      <c r="C173" s="225" t="s">
        <v>226</v>
      </c>
      <c r="D173" s="220"/>
      <c r="E173" s="220"/>
      <c r="F173" s="225" t="s">
        <v>3256</v>
      </c>
      <c r="G173" s="217" t="s">
        <v>3257</v>
      </c>
      <c r="H173" s="217" t="s">
        <v>3258</v>
      </c>
      <c r="I173" s="217" t="s">
        <v>3259</v>
      </c>
      <c r="J173" s="214" t="s">
        <v>225</v>
      </c>
      <c r="K173" s="215"/>
      <c r="L173" s="224"/>
      <c r="M173" s="224"/>
      <c r="N173" s="224"/>
      <c r="O173" s="210"/>
    </row>
    <row r="174">
      <c r="A174" s="212">
        <f t="shared" si="1"/>
        <v>172</v>
      </c>
      <c r="B174" s="212" t="s">
        <v>2902</v>
      </c>
      <c r="C174" s="225" t="s">
        <v>226</v>
      </c>
      <c r="D174" s="220"/>
      <c r="E174" s="220"/>
      <c r="F174" s="39"/>
      <c r="G174" s="217" t="s">
        <v>3260</v>
      </c>
      <c r="H174" s="217" t="s">
        <v>3258</v>
      </c>
      <c r="I174" s="217" t="s">
        <v>3261</v>
      </c>
      <c r="J174" s="214" t="s">
        <v>225</v>
      </c>
      <c r="K174" s="215"/>
      <c r="L174" s="224"/>
      <c r="M174" s="224"/>
      <c r="N174" s="224"/>
      <c r="O174" s="210"/>
    </row>
    <row r="175">
      <c r="A175" s="212">
        <f t="shared" si="1"/>
        <v>173</v>
      </c>
      <c r="B175" s="212" t="s">
        <v>2902</v>
      </c>
      <c r="C175" s="225" t="s">
        <v>226</v>
      </c>
      <c r="D175" s="220"/>
      <c r="E175" s="220"/>
      <c r="F175" s="225" t="s">
        <v>3262</v>
      </c>
      <c r="G175" s="217" t="s">
        <v>3257</v>
      </c>
      <c r="H175" s="217" t="s">
        <v>3263</v>
      </c>
      <c r="I175" s="217" t="s">
        <v>3261</v>
      </c>
      <c r="J175" s="214" t="s">
        <v>225</v>
      </c>
      <c r="K175" s="215"/>
      <c r="L175" s="224"/>
      <c r="M175" s="224"/>
      <c r="N175" s="224"/>
      <c r="O175" s="210"/>
    </row>
    <row r="176">
      <c r="A176" s="212">
        <f t="shared" si="1"/>
        <v>174</v>
      </c>
      <c r="B176" s="212" t="s">
        <v>2902</v>
      </c>
      <c r="C176" s="225" t="s">
        <v>226</v>
      </c>
      <c r="D176" s="220"/>
      <c r="E176" s="220"/>
      <c r="F176" s="39"/>
      <c r="G176" s="217" t="s">
        <v>3260</v>
      </c>
      <c r="H176" s="217" t="s">
        <v>3263</v>
      </c>
      <c r="I176" s="217" t="s">
        <v>3264</v>
      </c>
      <c r="J176" s="214" t="s">
        <v>225</v>
      </c>
      <c r="K176" s="215"/>
      <c r="L176" s="224"/>
      <c r="M176" s="224"/>
      <c r="N176" s="224"/>
      <c r="O176" s="210"/>
    </row>
    <row r="177">
      <c r="A177" s="212">
        <f t="shared" si="1"/>
        <v>175</v>
      </c>
      <c r="B177" s="212" t="s">
        <v>2902</v>
      </c>
      <c r="C177" s="225" t="s">
        <v>226</v>
      </c>
      <c r="D177" s="220"/>
      <c r="E177" s="220"/>
      <c r="F177" s="225" t="s">
        <v>3197</v>
      </c>
      <c r="G177" s="217" t="s">
        <v>3265</v>
      </c>
      <c r="H177" s="217" t="s">
        <v>3266</v>
      </c>
      <c r="I177" s="217" t="s">
        <v>3267</v>
      </c>
      <c r="J177" s="214" t="s">
        <v>225</v>
      </c>
      <c r="K177" s="215"/>
      <c r="L177" s="224"/>
      <c r="M177" s="224"/>
      <c r="N177" s="224"/>
      <c r="O177" s="210"/>
    </row>
    <row r="178">
      <c r="A178" s="212">
        <f t="shared" si="1"/>
        <v>176</v>
      </c>
      <c r="B178" s="212" t="s">
        <v>2902</v>
      </c>
      <c r="C178" s="225" t="s">
        <v>226</v>
      </c>
      <c r="D178" s="220"/>
      <c r="E178" s="220"/>
      <c r="F178" s="220"/>
      <c r="G178" s="217" t="s">
        <v>3268</v>
      </c>
      <c r="H178" s="217" t="s">
        <v>3269</v>
      </c>
      <c r="I178" s="217" t="s">
        <v>3270</v>
      </c>
      <c r="J178" s="214" t="s">
        <v>225</v>
      </c>
      <c r="K178" s="215"/>
      <c r="L178" s="224"/>
      <c r="M178" s="224"/>
      <c r="N178" s="224"/>
      <c r="O178" s="210"/>
    </row>
    <row r="179">
      <c r="A179" s="212">
        <f t="shared" si="1"/>
        <v>177</v>
      </c>
      <c r="B179" s="212" t="s">
        <v>2902</v>
      </c>
      <c r="C179" s="225" t="s">
        <v>226</v>
      </c>
      <c r="D179" s="220"/>
      <c r="E179" s="220"/>
      <c r="F179" s="220"/>
      <c r="G179" s="217" t="s">
        <v>3271</v>
      </c>
      <c r="H179" s="217" t="s">
        <v>3269</v>
      </c>
      <c r="I179" s="217" t="s">
        <v>3272</v>
      </c>
      <c r="J179" s="214" t="s">
        <v>225</v>
      </c>
      <c r="K179" s="215"/>
      <c r="L179" s="224"/>
      <c r="M179" s="224"/>
      <c r="N179" s="224"/>
      <c r="O179" s="210"/>
    </row>
    <row r="180">
      <c r="A180" s="212">
        <f t="shared" si="1"/>
        <v>178</v>
      </c>
      <c r="B180" s="212" t="s">
        <v>2902</v>
      </c>
      <c r="C180" s="225" t="s">
        <v>226</v>
      </c>
      <c r="D180" s="220"/>
      <c r="E180" s="220"/>
      <c r="F180" s="220"/>
      <c r="G180" s="217" t="s">
        <v>3273</v>
      </c>
      <c r="H180" s="217" t="s">
        <v>3269</v>
      </c>
      <c r="I180" s="217" t="s">
        <v>3274</v>
      </c>
      <c r="J180" s="214" t="s">
        <v>225</v>
      </c>
      <c r="K180" s="215"/>
      <c r="L180" s="224"/>
      <c r="M180" s="224"/>
      <c r="N180" s="224"/>
      <c r="O180" s="210"/>
    </row>
    <row r="181">
      <c r="A181" s="212">
        <f t="shared" si="1"/>
        <v>179</v>
      </c>
      <c r="B181" s="212" t="s">
        <v>2902</v>
      </c>
      <c r="C181" s="225" t="s">
        <v>226</v>
      </c>
      <c r="D181" s="220"/>
      <c r="E181" s="220"/>
      <c r="F181" s="220"/>
      <c r="G181" s="217" t="s">
        <v>3275</v>
      </c>
      <c r="H181" s="217" t="s">
        <v>3269</v>
      </c>
      <c r="I181" s="217" t="s">
        <v>3276</v>
      </c>
      <c r="J181" s="214" t="s">
        <v>225</v>
      </c>
      <c r="K181" s="215"/>
      <c r="L181" s="224"/>
      <c r="M181" s="224"/>
      <c r="N181" s="224"/>
      <c r="O181" s="210"/>
    </row>
    <row r="182">
      <c r="A182" s="212">
        <f t="shared" si="1"/>
        <v>180</v>
      </c>
      <c r="B182" s="212" t="s">
        <v>2902</v>
      </c>
      <c r="C182" s="225" t="s">
        <v>226</v>
      </c>
      <c r="D182" s="220"/>
      <c r="E182" s="220"/>
      <c r="F182" s="39"/>
      <c r="G182" s="217" t="s">
        <v>3277</v>
      </c>
      <c r="H182" s="217" t="s">
        <v>3269</v>
      </c>
      <c r="I182" s="217" t="s">
        <v>3278</v>
      </c>
      <c r="J182" s="214" t="s">
        <v>225</v>
      </c>
      <c r="K182" s="215"/>
      <c r="L182" s="224"/>
      <c r="M182" s="224"/>
      <c r="N182" s="224"/>
      <c r="O182" s="210"/>
    </row>
    <row r="183">
      <c r="A183" s="212">
        <f t="shared" si="1"/>
        <v>181</v>
      </c>
      <c r="B183" s="212" t="s">
        <v>2902</v>
      </c>
      <c r="C183" s="225" t="s">
        <v>226</v>
      </c>
      <c r="D183" s="220"/>
      <c r="E183" s="220"/>
      <c r="F183" s="225" t="s">
        <v>3015</v>
      </c>
      <c r="G183" s="217" t="s">
        <v>3279</v>
      </c>
      <c r="H183" s="217" t="s">
        <v>3017</v>
      </c>
      <c r="I183" s="217" t="s">
        <v>3182</v>
      </c>
      <c r="J183" s="214" t="s">
        <v>225</v>
      </c>
      <c r="K183" s="215"/>
      <c r="L183" s="224"/>
      <c r="M183" s="224"/>
      <c r="N183" s="224"/>
      <c r="O183" s="210"/>
    </row>
    <row r="184">
      <c r="A184" s="212">
        <f t="shared" si="1"/>
        <v>182</v>
      </c>
      <c r="B184" s="212" t="s">
        <v>2902</v>
      </c>
      <c r="C184" s="225" t="s">
        <v>226</v>
      </c>
      <c r="D184" s="39"/>
      <c r="E184" s="39"/>
      <c r="F184" s="39"/>
      <c r="G184" s="217" t="s">
        <v>3280</v>
      </c>
      <c r="H184" s="217" t="s">
        <v>3017</v>
      </c>
      <c r="I184" s="217" t="s">
        <v>3184</v>
      </c>
      <c r="J184" s="214" t="s">
        <v>225</v>
      </c>
      <c r="K184" s="215"/>
      <c r="L184" s="224"/>
      <c r="M184" s="224"/>
      <c r="N184" s="224"/>
      <c r="O184" s="210"/>
    </row>
    <row r="185">
      <c r="A185" s="212">
        <f t="shared" si="1"/>
        <v>183</v>
      </c>
      <c r="B185" s="212" t="s">
        <v>2902</v>
      </c>
      <c r="C185" s="212" t="s">
        <v>225</v>
      </c>
      <c r="D185" s="225" t="s">
        <v>3281</v>
      </c>
      <c r="E185" s="225" t="s">
        <v>92</v>
      </c>
      <c r="F185" s="212" t="s">
        <v>613</v>
      </c>
      <c r="G185" s="217" t="s">
        <v>92</v>
      </c>
      <c r="H185" s="217" t="s">
        <v>3282</v>
      </c>
      <c r="I185" s="217" t="s">
        <v>3283</v>
      </c>
      <c r="J185" s="214" t="s">
        <v>225</v>
      </c>
      <c r="K185" s="215"/>
      <c r="L185" s="224"/>
      <c r="M185" s="224"/>
      <c r="N185" s="224"/>
      <c r="O185" s="210"/>
    </row>
    <row r="186">
      <c r="A186" s="212">
        <f t="shared" si="1"/>
        <v>184</v>
      </c>
      <c r="B186" s="212" t="s">
        <v>2902</v>
      </c>
      <c r="C186" s="212" t="s">
        <v>225</v>
      </c>
      <c r="D186" s="220"/>
      <c r="E186" s="225" t="s">
        <v>587</v>
      </c>
      <c r="F186" s="212" t="s">
        <v>3284</v>
      </c>
      <c r="G186" s="217" t="s">
        <v>92</v>
      </c>
      <c r="H186" s="217" t="s">
        <v>3285</v>
      </c>
      <c r="I186" s="217" t="s">
        <v>3286</v>
      </c>
      <c r="J186" s="214" t="s">
        <v>225</v>
      </c>
      <c r="K186" s="215"/>
      <c r="L186" s="226"/>
      <c r="M186" s="227"/>
      <c r="N186" s="224"/>
      <c r="O186" s="210"/>
    </row>
    <row r="187">
      <c r="A187" s="212">
        <f t="shared" si="1"/>
        <v>185</v>
      </c>
      <c r="B187" s="212" t="s">
        <v>2902</v>
      </c>
      <c r="C187" s="212" t="s">
        <v>225</v>
      </c>
      <c r="D187" s="220"/>
      <c r="E187" s="220"/>
      <c r="F187" s="212" t="s">
        <v>3287</v>
      </c>
      <c r="G187" s="217" t="s">
        <v>92</v>
      </c>
      <c r="H187" s="217" t="s">
        <v>3288</v>
      </c>
      <c r="I187" s="217" t="s">
        <v>3289</v>
      </c>
      <c r="J187" s="214" t="s">
        <v>225</v>
      </c>
      <c r="K187" s="215"/>
      <c r="L187" s="226"/>
      <c r="M187" s="227"/>
      <c r="N187" s="224"/>
      <c r="O187" s="210"/>
    </row>
    <row r="188">
      <c r="A188" s="212">
        <f t="shared" si="1"/>
        <v>186</v>
      </c>
      <c r="B188" s="212" t="s">
        <v>2902</v>
      </c>
      <c r="C188" s="212" t="s">
        <v>225</v>
      </c>
      <c r="D188" s="220"/>
      <c r="E188" s="220"/>
      <c r="F188" s="212" t="s">
        <v>3290</v>
      </c>
      <c r="G188" s="217" t="s">
        <v>92</v>
      </c>
      <c r="H188" s="217" t="s">
        <v>3291</v>
      </c>
      <c r="I188" s="217" t="s">
        <v>3292</v>
      </c>
      <c r="J188" s="214" t="s">
        <v>225</v>
      </c>
      <c r="K188" s="215"/>
      <c r="L188" s="226"/>
      <c r="M188" s="227"/>
      <c r="N188" s="224"/>
      <c r="O188" s="210"/>
    </row>
    <row r="189">
      <c r="A189" s="212">
        <f t="shared" si="1"/>
        <v>187</v>
      </c>
      <c r="B189" s="212" t="s">
        <v>2902</v>
      </c>
      <c r="C189" s="212" t="s">
        <v>225</v>
      </c>
      <c r="D189" s="220"/>
      <c r="E189" s="220"/>
      <c r="F189" s="212" t="s">
        <v>3293</v>
      </c>
      <c r="G189" s="217"/>
      <c r="H189" s="217" t="s">
        <v>3294</v>
      </c>
      <c r="I189" s="217" t="s">
        <v>3295</v>
      </c>
      <c r="J189" s="214" t="s">
        <v>225</v>
      </c>
      <c r="K189" s="215"/>
      <c r="L189" s="224"/>
      <c r="M189" s="224"/>
      <c r="N189" s="224"/>
      <c r="O189" s="210"/>
    </row>
    <row r="190">
      <c r="A190" s="212">
        <f t="shared" si="1"/>
        <v>188</v>
      </c>
      <c r="B190" s="212" t="s">
        <v>2902</v>
      </c>
      <c r="C190" s="212" t="s">
        <v>225</v>
      </c>
      <c r="D190" s="220"/>
      <c r="E190" s="220"/>
      <c r="F190" s="212" t="s">
        <v>3200</v>
      </c>
      <c r="G190" s="217" t="s">
        <v>92</v>
      </c>
      <c r="H190" s="217" t="s">
        <v>3201</v>
      </c>
      <c r="I190" s="217" t="s">
        <v>3202</v>
      </c>
      <c r="J190" s="214" t="s">
        <v>225</v>
      </c>
      <c r="K190" s="215"/>
      <c r="L190" s="224"/>
      <c r="M190" s="224"/>
      <c r="N190" s="224"/>
      <c r="O190" s="210"/>
    </row>
    <row r="191">
      <c r="A191" s="212">
        <f t="shared" si="1"/>
        <v>189</v>
      </c>
      <c r="B191" s="212" t="s">
        <v>2902</v>
      </c>
      <c r="C191" s="212" t="s">
        <v>225</v>
      </c>
      <c r="D191" s="220"/>
      <c r="E191" s="220"/>
      <c r="F191" s="212" t="s">
        <v>608</v>
      </c>
      <c r="G191" s="217" t="s">
        <v>3203</v>
      </c>
      <c r="H191" s="217" t="s">
        <v>1479</v>
      </c>
      <c r="I191" s="217" t="s">
        <v>3204</v>
      </c>
      <c r="J191" s="214" t="s">
        <v>225</v>
      </c>
      <c r="K191" s="215"/>
      <c r="L191" s="226"/>
      <c r="M191" s="227"/>
      <c r="N191" s="224"/>
      <c r="O191" s="210"/>
    </row>
    <row r="192">
      <c r="A192" s="212">
        <f t="shared" si="1"/>
        <v>190</v>
      </c>
      <c r="B192" s="212" t="s">
        <v>2902</v>
      </c>
      <c r="C192" s="212" t="s">
        <v>225</v>
      </c>
      <c r="D192" s="220"/>
      <c r="E192" s="220"/>
      <c r="F192" s="225" t="s">
        <v>3205</v>
      </c>
      <c r="G192" s="217" t="s">
        <v>3296</v>
      </c>
      <c r="H192" s="217" t="s">
        <v>3207</v>
      </c>
      <c r="I192" s="217" t="s">
        <v>3208</v>
      </c>
      <c r="J192" s="214" t="s">
        <v>225</v>
      </c>
      <c r="K192" s="215"/>
      <c r="L192" s="224"/>
      <c r="M192" s="224"/>
      <c r="N192" s="224"/>
      <c r="O192" s="210"/>
    </row>
    <row r="193">
      <c r="A193" s="212">
        <f t="shared" si="1"/>
        <v>191</v>
      </c>
      <c r="B193" s="212" t="s">
        <v>2902</v>
      </c>
      <c r="C193" s="212" t="s">
        <v>225</v>
      </c>
      <c r="D193" s="220"/>
      <c r="E193" s="220"/>
      <c r="F193" s="220"/>
      <c r="G193" s="217" t="s">
        <v>3297</v>
      </c>
      <c r="H193" s="217" t="s">
        <v>3207</v>
      </c>
      <c r="I193" s="217" t="s">
        <v>3208</v>
      </c>
      <c r="J193" s="214" t="s">
        <v>225</v>
      </c>
      <c r="K193" s="215"/>
      <c r="L193" s="224"/>
      <c r="M193" s="224"/>
      <c r="N193" s="224"/>
      <c r="O193" s="210"/>
    </row>
    <row r="194">
      <c r="A194" s="212">
        <f t="shared" si="1"/>
        <v>192</v>
      </c>
      <c r="B194" s="212" t="s">
        <v>2902</v>
      </c>
      <c r="C194" s="212" t="s">
        <v>225</v>
      </c>
      <c r="D194" s="220"/>
      <c r="E194" s="220"/>
      <c r="F194" s="220"/>
      <c r="G194" s="217" t="s">
        <v>3298</v>
      </c>
      <c r="H194" s="217" t="s">
        <v>3207</v>
      </c>
      <c r="I194" s="217" t="s">
        <v>3208</v>
      </c>
      <c r="J194" s="214" t="s">
        <v>225</v>
      </c>
      <c r="K194" s="215"/>
      <c r="L194" s="224"/>
      <c r="M194" s="224"/>
      <c r="N194" s="224"/>
      <c r="O194" s="210"/>
    </row>
    <row r="195">
      <c r="A195" s="212">
        <f t="shared" si="1"/>
        <v>193</v>
      </c>
      <c r="B195" s="212" t="s">
        <v>2902</v>
      </c>
      <c r="C195" s="212" t="s">
        <v>225</v>
      </c>
      <c r="D195" s="220"/>
      <c r="E195" s="220"/>
      <c r="F195" s="220"/>
      <c r="G195" s="217" t="s">
        <v>3299</v>
      </c>
      <c r="H195" s="217" t="s">
        <v>3207</v>
      </c>
      <c r="I195" s="217" t="s">
        <v>3212</v>
      </c>
      <c r="J195" s="214" t="s">
        <v>225</v>
      </c>
      <c r="K195" s="215"/>
      <c r="L195" s="224"/>
      <c r="M195" s="224"/>
      <c r="N195" s="224"/>
      <c r="O195" s="210"/>
    </row>
    <row r="196">
      <c r="A196" s="212">
        <f t="shared" si="1"/>
        <v>194</v>
      </c>
      <c r="B196" s="212" t="s">
        <v>2902</v>
      </c>
      <c r="C196" s="212" t="s">
        <v>225</v>
      </c>
      <c r="D196" s="220"/>
      <c r="E196" s="220"/>
      <c r="F196" s="39"/>
      <c r="G196" s="217" t="s">
        <v>3300</v>
      </c>
      <c r="H196" s="217" t="s">
        <v>3207</v>
      </c>
      <c r="I196" s="217" t="s">
        <v>3212</v>
      </c>
      <c r="J196" s="214" t="s">
        <v>225</v>
      </c>
      <c r="K196" s="215"/>
      <c r="L196" s="224"/>
      <c r="M196" s="224"/>
      <c r="N196" s="224"/>
      <c r="O196" s="210"/>
    </row>
    <row r="197">
      <c r="A197" s="212">
        <f t="shared" si="1"/>
        <v>195</v>
      </c>
      <c r="B197" s="212" t="s">
        <v>2902</v>
      </c>
      <c r="C197" s="212" t="s">
        <v>225</v>
      </c>
      <c r="D197" s="220"/>
      <c r="E197" s="220"/>
      <c r="F197" s="225" t="s">
        <v>3214</v>
      </c>
      <c r="G197" s="217" t="s">
        <v>3215</v>
      </c>
      <c r="H197" s="217" t="s">
        <v>3216</v>
      </c>
      <c r="I197" s="217" t="s">
        <v>3217</v>
      </c>
      <c r="J197" s="214" t="s">
        <v>225</v>
      </c>
      <c r="K197" s="215"/>
      <c r="L197" s="224"/>
      <c r="M197" s="224"/>
      <c r="N197" s="224"/>
      <c r="O197" s="210"/>
    </row>
    <row r="198">
      <c r="A198" s="212">
        <f t="shared" si="1"/>
        <v>196</v>
      </c>
      <c r="B198" s="212" t="s">
        <v>2902</v>
      </c>
      <c r="C198" s="212" t="s">
        <v>225</v>
      </c>
      <c r="D198" s="39"/>
      <c r="E198" s="39"/>
      <c r="F198" s="39"/>
      <c r="G198" s="217" t="s">
        <v>3218</v>
      </c>
      <c r="H198" s="217" t="s">
        <v>3219</v>
      </c>
      <c r="I198" s="217" t="s">
        <v>3220</v>
      </c>
      <c r="J198" s="214" t="s">
        <v>225</v>
      </c>
      <c r="K198" s="215"/>
      <c r="L198" s="224"/>
      <c r="M198" s="224"/>
      <c r="N198" s="224"/>
      <c r="O198" s="210"/>
    </row>
    <row r="199">
      <c r="A199" s="212">
        <f t="shared" si="1"/>
        <v>197</v>
      </c>
      <c r="B199" s="212" t="s">
        <v>2902</v>
      </c>
      <c r="C199" s="212" t="s">
        <v>225</v>
      </c>
      <c r="D199" s="225" t="s">
        <v>3281</v>
      </c>
      <c r="E199" s="225" t="s">
        <v>2782</v>
      </c>
      <c r="F199" s="212" t="s">
        <v>613</v>
      </c>
      <c r="G199" s="217" t="s">
        <v>92</v>
      </c>
      <c r="H199" s="217" t="s">
        <v>3221</v>
      </c>
      <c r="I199" s="217" t="s">
        <v>3301</v>
      </c>
      <c r="J199" s="214" t="s">
        <v>225</v>
      </c>
      <c r="K199" s="215"/>
      <c r="L199" s="224"/>
      <c r="M199" s="224"/>
      <c r="N199" s="224"/>
      <c r="O199" s="210"/>
    </row>
    <row r="200">
      <c r="A200" s="212">
        <f t="shared" si="1"/>
        <v>198</v>
      </c>
      <c r="B200" s="212" t="s">
        <v>2902</v>
      </c>
      <c r="C200" s="212" t="s">
        <v>225</v>
      </c>
      <c r="D200" s="220"/>
      <c r="E200" s="220"/>
      <c r="F200" s="212" t="s">
        <v>3223</v>
      </c>
      <c r="G200" s="217" t="s">
        <v>92</v>
      </c>
      <c r="H200" s="217" t="s">
        <v>3224</v>
      </c>
      <c r="I200" s="217" t="s">
        <v>3225</v>
      </c>
      <c r="J200" s="214" t="s">
        <v>225</v>
      </c>
      <c r="K200" s="215"/>
      <c r="L200" s="224"/>
      <c r="M200" s="224"/>
      <c r="N200" s="224"/>
      <c r="O200" s="210"/>
    </row>
    <row r="201">
      <c r="A201" s="212">
        <f t="shared" si="1"/>
        <v>199</v>
      </c>
      <c r="B201" s="212" t="s">
        <v>2902</v>
      </c>
      <c r="C201" s="212" t="s">
        <v>225</v>
      </c>
      <c r="D201" s="220"/>
      <c r="E201" s="220"/>
      <c r="F201" s="225" t="s">
        <v>3284</v>
      </c>
      <c r="G201" s="217" t="s">
        <v>3302</v>
      </c>
      <c r="H201" s="217" t="s">
        <v>3303</v>
      </c>
      <c r="I201" s="217" t="s">
        <v>3229</v>
      </c>
      <c r="J201" s="214" t="s">
        <v>225</v>
      </c>
      <c r="K201" s="215"/>
      <c r="L201" s="224"/>
      <c r="M201" s="224"/>
      <c r="N201" s="224"/>
      <c r="O201" s="210"/>
    </row>
    <row r="202">
      <c r="A202" s="212">
        <f t="shared" si="1"/>
        <v>200</v>
      </c>
      <c r="B202" s="212" t="s">
        <v>2902</v>
      </c>
      <c r="C202" s="212" t="s">
        <v>225</v>
      </c>
      <c r="D202" s="220"/>
      <c r="E202" s="220"/>
      <c r="F202" s="39"/>
      <c r="G202" s="217" t="s">
        <v>3304</v>
      </c>
      <c r="H202" s="217" t="s">
        <v>3303</v>
      </c>
      <c r="I202" s="217" t="s">
        <v>3305</v>
      </c>
      <c r="J202" s="214" t="s">
        <v>225</v>
      </c>
      <c r="K202" s="215"/>
      <c r="L202" s="224"/>
      <c r="M202" s="224"/>
      <c r="N202" s="224"/>
      <c r="O202" s="210"/>
    </row>
    <row r="203">
      <c r="A203" s="212">
        <f t="shared" si="1"/>
        <v>201</v>
      </c>
      <c r="B203" s="212" t="s">
        <v>2902</v>
      </c>
      <c r="C203" s="212" t="s">
        <v>225</v>
      </c>
      <c r="D203" s="220"/>
      <c r="E203" s="220"/>
      <c r="F203" s="212" t="s">
        <v>2830</v>
      </c>
      <c r="G203" s="217" t="s">
        <v>92</v>
      </c>
      <c r="H203" s="217" t="s">
        <v>3247</v>
      </c>
      <c r="I203" s="217" t="s">
        <v>3248</v>
      </c>
      <c r="J203" s="214" t="s">
        <v>225</v>
      </c>
      <c r="K203" s="215"/>
      <c r="L203" s="224"/>
      <c r="M203" s="224"/>
      <c r="N203" s="224"/>
      <c r="O203" s="210"/>
    </row>
    <row r="204">
      <c r="A204" s="212">
        <f t="shared" si="1"/>
        <v>202</v>
      </c>
      <c r="B204" s="212" t="s">
        <v>2902</v>
      </c>
      <c r="C204" s="212" t="s">
        <v>225</v>
      </c>
      <c r="D204" s="220"/>
      <c r="E204" s="220"/>
      <c r="F204" s="212" t="s">
        <v>3306</v>
      </c>
      <c r="G204" s="217" t="s">
        <v>92</v>
      </c>
      <c r="H204" s="217" t="s">
        <v>3307</v>
      </c>
      <c r="I204" s="217" t="s">
        <v>3246</v>
      </c>
      <c r="J204" s="214" t="s">
        <v>225</v>
      </c>
      <c r="K204" s="215"/>
      <c r="L204" s="224"/>
      <c r="M204" s="224"/>
      <c r="N204" s="224"/>
      <c r="O204" s="210"/>
    </row>
    <row r="205">
      <c r="A205" s="212">
        <f t="shared" si="1"/>
        <v>203</v>
      </c>
      <c r="B205" s="212" t="s">
        <v>2902</v>
      </c>
      <c r="C205" s="212" t="s">
        <v>225</v>
      </c>
      <c r="D205" s="220"/>
      <c r="E205" s="220"/>
      <c r="F205" s="225" t="s">
        <v>3287</v>
      </c>
      <c r="G205" s="217" t="s">
        <v>3308</v>
      </c>
      <c r="H205" s="217" t="s">
        <v>3309</v>
      </c>
      <c r="I205" s="217" t="s">
        <v>3229</v>
      </c>
      <c r="J205" s="214" t="s">
        <v>225</v>
      </c>
      <c r="K205" s="215"/>
      <c r="L205" s="224"/>
      <c r="M205" s="224"/>
      <c r="N205" s="224"/>
      <c r="O205" s="210"/>
    </row>
    <row r="206">
      <c r="A206" s="212">
        <f t="shared" si="1"/>
        <v>204</v>
      </c>
      <c r="B206" s="212" t="s">
        <v>2902</v>
      </c>
      <c r="C206" s="212" t="s">
        <v>225</v>
      </c>
      <c r="D206" s="220"/>
      <c r="E206" s="220"/>
      <c r="F206" s="39"/>
      <c r="G206" s="217" t="s">
        <v>3310</v>
      </c>
      <c r="H206" s="217" t="s">
        <v>3309</v>
      </c>
      <c r="I206" s="217" t="s">
        <v>3311</v>
      </c>
      <c r="J206" s="214" t="s">
        <v>225</v>
      </c>
      <c r="K206" s="215"/>
      <c r="L206" s="224"/>
      <c r="M206" s="224"/>
      <c r="N206" s="224"/>
      <c r="O206" s="210"/>
    </row>
    <row r="207">
      <c r="A207" s="212">
        <f t="shared" si="1"/>
        <v>205</v>
      </c>
      <c r="B207" s="212" t="s">
        <v>2902</v>
      </c>
      <c r="C207" s="212" t="s">
        <v>225</v>
      </c>
      <c r="D207" s="220"/>
      <c r="E207" s="220"/>
      <c r="F207" s="225" t="s">
        <v>2840</v>
      </c>
      <c r="G207" s="217" t="s">
        <v>3312</v>
      </c>
      <c r="H207" s="217" t="s">
        <v>3313</v>
      </c>
      <c r="I207" s="217" t="s">
        <v>3314</v>
      </c>
      <c r="J207" s="214" t="s">
        <v>225</v>
      </c>
      <c r="K207" s="215"/>
      <c r="L207" s="224"/>
      <c r="M207" s="224"/>
      <c r="N207" s="224"/>
      <c r="O207" s="210"/>
    </row>
    <row r="208">
      <c r="A208" s="212">
        <f t="shared" si="1"/>
        <v>206</v>
      </c>
      <c r="B208" s="212" t="s">
        <v>2902</v>
      </c>
      <c r="C208" s="212" t="s">
        <v>225</v>
      </c>
      <c r="D208" s="220"/>
      <c r="E208" s="220"/>
      <c r="F208" s="39"/>
      <c r="G208" s="217" t="s">
        <v>3315</v>
      </c>
      <c r="H208" s="217" t="s">
        <v>3313</v>
      </c>
      <c r="I208" s="217" t="s">
        <v>3316</v>
      </c>
      <c r="J208" s="214" t="s">
        <v>225</v>
      </c>
      <c r="K208" s="215"/>
      <c r="L208" s="224"/>
      <c r="M208" s="224"/>
      <c r="N208" s="224"/>
      <c r="O208" s="210"/>
    </row>
    <row r="209">
      <c r="A209" s="212">
        <f t="shared" si="1"/>
        <v>207</v>
      </c>
      <c r="B209" s="212" t="s">
        <v>2902</v>
      </c>
      <c r="C209" s="212" t="s">
        <v>225</v>
      </c>
      <c r="D209" s="220"/>
      <c r="E209" s="220"/>
      <c r="F209" s="225" t="s">
        <v>3293</v>
      </c>
      <c r="G209" s="217" t="s">
        <v>3265</v>
      </c>
      <c r="H209" s="217" t="s">
        <v>3266</v>
      </c>
      <c r="I209" s="217" t="s">
        <v>3267</v>
      </c>
      <c r="J209" s="214" t="s">
        <v>225</v>
      </c>
      <c r="K209" s="215"/>
      <c r="L209" s="224"/>
      <c r="M209" s="224"/>
      <c r="N209" s="224"/>
      <c r="O209" s="210"/>
    </row>
    <row r="210">
      <c r="A210" s="212">
        <f t="shared" si="1"/>
        <v>208</v>
      </c>
      <c r="B210" s="212" t="s">
        <v>2902</v>
      </c>
      <c r="C210" s="212" t="s">
        <v>225</v>
      </c>
      <c r="D210" s="220"/>
      <c r="E210" s="220"/>
      <c r="F210" s="220"/>
      <c r="G210" s="217" t="s">
        <v>3268</v>
      </c>
      <c r="H210" s="217" t="s">
        <v>3266</v>
      </c>
      <c r="I210" s="217" t="s">
        <v>3317</v>
      </c>
      <c r="J210" s="214" t="s">
        <v>225</v>
      </c>
      <c r="K210" s="215"/>
      <c r="L210" s="224"/>
      <c r="M210" s="224"/>
      <c r="N210" s="224"/>
      <c r="O210" s="210"/>
    </row>
    <row r="211">
      <c r="A211" s="212">
        <f t="shared" si="1"/>
        <v>209</v>
      </c>
      <c r="B211" s="212" t="s">
        <v>2902</v>
      </c>
      <c r="C211" s="212" t="s">
        <v>225</v>
      </c>
      <c r="D211" s="220"/>
      <c r="E211" s="220"/>
      <c r="F211" s="220"/>
      <c r="G211" s="217" t="s">
        <v>3271</v>
      </c>
      <c r="H211" s="217" t="s">
        <v>3266</v>
      </c>
      <c r="I211" s="217" t="s">
        <v>3318</v>
      </c>
      <c r="J211" s="214" t="s">
        <v>225</v>
      </c>
      <c r="K211" s="215"/>
      <c r="L211" s="224"/>
      <c r="M211" s="224"/>
      <c r="N211" s="224"/>
      <c r="O211" s="210"/>
    </row>
    <row r="212">
      <c r="A212" s="212">
        <f t="shared" si="1"/>
        <v>210</v>
      </c>
      <c r="B212" s="212" t="s">
        <v>2902</v>
      </c>
      <c r="C212" s="212" t="s">
        <v>225</v>
      </c>
      <c r="D212" s="220"/>
      <c r="E212" s="220"/>
      <c r="F212" s="220"/>
      <c r="G212" s="217" t="s">
        <v>3273</v>
      </c>
      <c r="H212" s="217" t="s">
        <v>3266</v>
      </c>
      <c r="I212" s="217" t="s">
        <v>3319</v>
      </c>
      <c r="J212" s="214" t="s">
        <v>225</v>
      </c>
      <c r="K212" s="215"/>
      <c r="L212" s="224"/>
      <c r="M212" s="224"/>
      <c r="N212" s="224"/>
      <c r="O212" s="210"/>
    </row>
    <row r="213">
      <c r="A213" s="212">
        <f t="shared" si="1"/>
        <v>211</v>
      </c>
      <c r="B213" s="212" t="s">
        <v>2902</v>
      </c>
      <c r="C213" s="212" t="s">
        <v>225</v>
      </c>
      <c r="D213" s="220"/>
      <c r="E213" s="220"/>
      <c r="F213" s="220"/>
      <c r="G213" s="217" t="s">
        <v>3275</v>
      </c>
      <c r="H213" s="217" t="s">
        <v>3266</v>
      </c>
      <c r="I213" s="217" t="s">
        <v>3320</v>
      </c>
      <c r="J213" s="214" t="s">
        <v>225</v>
      </c>
      <c r="K213" s="215"/>
      <c r="L213" s="224"/>
      <c r="M213" s="224"/>
      <c r="N213" s="224"/>
      <c r="O213" s="210"/>
    </row>
    <row r="214">
      <c r="A214" s="212">
        <f t="shared" si="1"/>
        <v>212</v>
      </c>
      <c r="B214" s="212" t="s">
        <v>2902</v>
      </c>
      <c r="C214" s="212" t="s">
        <v>225</v>
      </c>
      <c r="D214" s="220"/>
      <c r="E214" s="220"/>
      <c r="F214" s="220"/>
      <c r="G214" s="217" t="s">
        <v>3277</v>
      </c>
      <c r="H214" s="217" t="s">
        <v>3266</v>
      </c>
      <c r="I214" s="217" t="s">
        <v>3321</v>
      </c>
      <c r="J214" s="214" t="s">
        <v>225</v>
      </c>
      <c r="K214" s="215"/>
      <c r="L214" s="224"/>
      <c r="M214" s="224"/>
      <c r="N214" s="224"/>
      <c r="O214" s="210"/>
    </row>
    <row r="215">
      <c r="A215" s="212">
        <f t="shared" si="1"/>
        <v>213</v>
      </c>
      <c r="B215" s="212" t="s">
        <v>2902</v>
      </c>
      <c r="C215" s="212" t="s">
        <v>225</v>
      </c>
      <c r="D215" s="220"/>
      <c r="E215" s="220"/>
      <c r="F215" s="220"/>
      <c r="G215" s="217" t="s">
        <v>3322</v>
      </c>
      <c r="H215" s="217" t="s">
        <v>3266</v>
      </c>
      <c r="I215" s="217" t="s">
        <v>3323</v>
      </c>
      <c r="J215" s="214" t="s">
        <v>225</v>
      </c>
      <c r="K215" s="215"/>
      <c r="L215" s="224"/>
      <c r="M215" s="224"/>
      <c r="N215" s="224"/>
      <c r="O215" s="210"/>
    </row>
    <row r="216">
      <c r="A216" s="212">
        <f t="shared" si="1"/>
        <v>214</v>
      </c>
      <c r="B216" s="212" t="s">
        <v>2902</v>
      </c>
      <c r="C216" s="212" t="s">
        <v>225</v>
      </c>
      <c r="D216" s="220"/>
      <c r="E216" s="220"/>
      <c r="F216" s="39"/>
      <c r="G216" s="217" t="s">
        <v>3324</v>
      </c>
      <c r="H216" s="217" t="s">
        <v>3266</v>
      </c>
      <c r="I216" s="217" t="s">
        <v>3325</v>
      </c>
      <c r="J216" s="214" t="s">
        <v>225</v>
      </c>
      <c r="K216" s="215"/>
      <c r="L216" s="224"/>
      <c r="M216" s="224"/>
      <c r="N216" s="224"/>
      <c r="O216" s="210"/>
    </row>
    <row r="217">
      <c r="A217" s="212">
        <f t="shared" si="1"/>
        <v>215</v>
      </c>
      <c r="B217" s="212" t="s">
        <v>2902</v>
      </c>
      <c r="C217" s="212" t="s">
        <v>225</v>
      </c>
      <c r="D217" s="220"/>
      <c r="E217" s="220"/>
      <c r="F217" s="225" t="s">
        <v>3326</v>
      </c>
      <c r="G217" s="217" t="s">
        <v>3327</v>
      </c>
      <c r="H217" s="217" t="s">
        <v>3266</v>
      </c>
      <c r="I217" s="217" t="s">
        <v>3328</v>
      </c>
      <c r="J217" s="214" t="s">
        <v>225</v>
      </c>
      <c r="K217" s="215"/>
      <c r="L217" s="224"/>
      <c r="M217" s="224"/>
      <c r="N217" s="224"/>
      <c r="O217" s="210"/>
    </row>
    <row r="218">
      <c r="A218" s="212">
        <f t="shared" si="1"/>
        <v>216</v>
      </c>
      <c r="B218" s="212" t="s">
        <v>2902</v>
      </c>
      <c r="C218" s="212" t="s">
        <v>225</v>
      </c>
      <c r="D218" s="220"/>
      <c r="E218" s="220"/>
      <c r="F218" s="220"/>
      <c r="G218" s="217" t="s">
        <v>3329</v>
      </c>
      <c r="H218" s="217" t="s">
        <v>3266</v>
      </c>
      <c r="I218" s="217" t="s">
        <v>3330</v>
      </c>
      <c r="J218" s="214" t="s">
        <v>225</v>
      </c>
      <c r="K218" s="215"/>
      <c r="L218" s="224"/>
      <c r="M218" s="224"/>
      <c r="N218" s="224"/>
      <c r="O218" s="210"/>
    </row>
    <row r="219">
      <c r="A219" s="212">
        <f t="shared" si="1"/>
        <v>217</v>
      </c>
      <c r="B219" s="212" t="s">
        <v>2902</v>
      </c>
      <c r="C219" s="212" t="s">
        <v>225</v>
      </c>
      <c r="D219" s="220"/>
      <c r="E219" s="220"/>
      <c r="F219" s="39"/>
      <c r="G219" s="217" t="s">
        <v>3331</v>
      </c>
      <c r="H219" s="217" t="s">
        <v>3266</v>
      </c>
      <c r="I219" s="217" t="s">
        <v>3332</v>
      </c>
      <c r="J219" s="214" t="s">
        <v>225</v>
      </c>
      <c r="K219" s="215"/>
      <c r="L219" s="224"/>
      <c r="M219" s="224"/>
      <c r="N219" s="224"/>
      <c r="O219" s="210"/>
    </row>
    <row r="220">
      <c r="A220" s="212">
        <f t="shared" si="1"/>
        <v>218</v>
      </c>
      <c r="B220" s="212" t="s">
        <v>2902</v>
      </c>
      <c r="C220" s="212" t="s">
        <v>225</v>
      </c>
      <c r="D220" s="220"/>
      <c r="E220" s="220"/>
      <c r="F220" s="225" t="s">
        <v>3015</v>
      </c>
      <c r="G220" s="217" t="s">
        <v>3279</v>
      </c>
      <c r="H220" s="217" t="s">
        <v>3017</v>
      </c>
      <c r="I220" s="217" t="s">
        <v>3182</v>
      </c>
      <c r="J220" s="214" t="s">
        <v>225</v>
      </c>
      <c r="K220" s="215"/>
      <c r="L220" s="224"/>
      <c r="M220" s="224"/>
      <c r="N220" s="224"/>
      <c r="O220" s="210"/>
    </row>
    <row r="221">
      <c r="A221" s="212">
        <f t="shared" si="1"/>
        <v>219</v>
      </c>
      <c r="B221" s="212" t="s">
        <v>2902</v>
      </c>
      <c r="C221" s="212" t="s">
        <v>225</v>
      </c>
      <c r="D221" s="39"/>
      <c r="E221" s="39"/>
      <c r="F221" s="39"/>
      <c r="G221" s="217" t="s">
        <v>3280</v>
      </c>
      <c r="H221" s="217" t="s">
        <v>3017</v>
      </c>
      <c r="I221" s="217" t="s">
        <v>3184</v>
      </c>
      <c r="J221" s="214" t="s">
        <v>225</v>
      </c>
      <c r="K221" s="215"/>
      <c r="L221" s="224"/>
      <c r="M221" s="224"/>
      <c r="N221" s="224"/>
      <c r="O221" s="210"/>
    </row>
    <row r="222">
      <c r="A222" s="212">
        <f t="shared" si="1"/>
        <v>220</v>
      </c>
      <c r="B222" s="212" t="s">
        <v>2902</v>
      </c>
      <c r="C222" s="212" t="s">
        <v>225</v>
      </c>
      <c r="D222" s="225" t="s">
        <v>3333</v>
      </c>
      <c r="E222" s="225" t="s">
        <v>92</v>
      </c>
      <c r="F222" s="212" t="s">
        <v>613</v>
      </c>
      <c r="G222" s="217" t="s">
        <v>92</v>
      </c>
      <c r="H222" s="217" t="s">
        <v>3334</v>
      </c>
      <c r="I222" s="217" t="s">
        <v>3335</v>
      </c>
      <c r="J222" s="214" t="s">
        <v>225</v>
      </c>
      <c r="K222" s="215"/>
      <c r="L222" s="224"/>
      <c r="M222" s="224"/>
      <c r="N222" s="224"/>
      <c r="O222" s="210"/>
    </row>
    <row r="223">
      <c r="A223" s="212">
        <f t="shared" si="1"/>
        <v>221</v>
      </c>
      <c r="B223" s="212" t="s">
        <v>2902</v>
      </c>
      <c r="C223" s="212" t="s">
        <v>225</v>
      </c>
      <c r="D223" s="220"/>
      <c r="E223" s="225" t="s">
        <v>587</v>
      </c>
      <c r="F223" s="212" t="s">
        <v>3284</v>
      </c>
      <c r="G223" s="217" t="s">
        <v>92</v>
      </c>
      <c r="H223" s="217" t="s">
        <v>3285</v>
      </c>
      <c r="I223" s="217" t="s">
        <v>3336</v>
      </c>
      <c r="J223" s="214" t="s">
        <v>225</v>
      </c>
      <c r="K223" s="215"/>
      <c r="L223" s="226"/>
      <c r="M223" s="227"/>
      <c r="N223" s="224"/>
      <c r="O223" s="210"/>
    </row>
    <row r="224">
      <c r="A224" s="212">
        <f t="shared" si="1"/>
        <v>222</v>
      </c>
      <c r="B224" s="212" t="s">
        <v>2902</v>
      </c>
      <c r="C224" s="212" t="s">
        <v>225</v>
      </c>
      <c r="D224" s="220"/>
      <c r="E224" s="220"/>
      <c r="F224" s="212" t="s">
        <v>3287</v>
      </c>
      <c r="G224" s="217" t="s">
        <v>92</v>
      </c>
      <c r="H224" s="217" t="s">
        <v>3288</v>
      </c>
      <c r="I224" s="217" t="s">
        <v>3337</v>
      </c>
      <c r="J224" s="214" t="s">
        <v>225</v>
      </c>
      <c r="K224" s="215"/>
      <c r="L224" s="226"/>
      <c r="M224" s="227"/>
      <c r="N224" s="224"/>
      <c r="O224" s="210"/>
    </row>
    <row r="225">
      <c r="A225" s="212">
        <f t="shared" si="1"/>
        <v>223</v>
      </c>
      <c r="B225" s="212" t="s">
        <v>2902</v>
      </c>
      <c r="C225" s="212" t="s">
        <v>225</v>
      </c>
      <c r="D225" s="220"/>
      <c r="E225" s="220"/>
      <c r="F225" s="212" t="s">
        <v>3338</v>
      </c>
      <c r="G225" s="217" t="s">
        <v>92</v>
      </c>
      <c r="H225" s="217" t="s">
        <v>3339</v>
      </c>
      <c r="I225" s="217" t="s">
        <v>3340</v>
      </c>
      <c r="J225" s="214" t="s">
        <v>225</v>
      </c>
      <c r="K225" s="215"/>
      <c r="L225" s="226"/>
      <c r="M225" s="227"/>
      <c r="N225" s="224"/>
      <c r="O225" s="210"/>
    </row>
    <row r="226">
      <c r="A226" s="212">
        <f t="shared" si="1"/>
        <v>224</v>
      </c>
      <c r="B226" s="212" t="s">
        <v>2902</v>
      </c>
      <c r="C226" s="212" t="s">
        <v>225</v>
      </c>
      <c r="D226" s="220"/>
      <c r="E226" s="220"/>
      <c r="F226" s="225" t="s">
        <v>3341</v>
      </c>
      <c r="G226" s="217" t="s">
        <v>92</v>
      </c>
      <c r="H226" s="217" t="s">
        <v>3342</v>
      </c>
      <c r="I226" s="217" t="s">
        <v>3343</v>
      </c>
      <c r="J226" s="214" t="s">
        <v>225</v>
      </c>
      <c r="K226" s="215"/>
      <c r="L226" s="226"/>
      <c r="M226" s="227"/>
      <c r="N226" s="224"/>
      <c r="O226" s="210"/>
    </row>
    <row r="227">
      <c r="A227" s="212">
        <f t="shared" si="1"/>
        <v>225</v>
      </c>
      <c r="B227" s="212" t="s">
        <v>2902</v>
      </c>
      <c r="C227" s="212" t="s">
        <v>225</v>
      </c>
      <c r="D227" s="220"/>
      <c r="E227" s="220"/>
      <c r="F227" s="220"/>
      <c r="G227" s="217" t="s">
        <v>3344</v>
      </c>
      <c r="H227" s="217" t="s">
        <v>3345</v>
      </c>
      <c r="I227" s="217" t="s">
        <v>3346</v>
      </c>
      <c r="J227" s="214" t="s">
        <v>225</v>
      </c>
      <c r="K227" s="215"/>
      <c r="L227" s="224"/>
      <c r="M227" s="224"/>
      <c r="N227" s="224"/>
      <c r="O227" s="210"/>
    </row>
    <row r="228">
      <c r="A228" s="212">
        <f t="shared" si="1"/>
        <v>226</v>
      </c>
      <c r="B228" s="212" t="s">
        <v>2902</v>
      </c>
      <c r="C228" s="212" t="s">
        <v>225</v>
      </c>
      <c r="D228" s="220"/>
      <c r="E228" s="220"/>
      <c r="F228" s="39"/>
      <c r="G228" s="217" t="s">
        <v>3344</v>
      </c>
      <c r="H228" s="217" t="s">
        <v>3347</v>
      </c>
      <c r="I228" s="217" t="s">
        <v>3348</v>
      </c>
      <c r="J228" s="214" t="s">
        <v>225</v>
      </c>
      <c r="K228" s="215"/>
      <c r="L228" s="224"/>
      <c r="M228" s="224"/>
      <c r="N228" s="224"/>
      <c r="O228" s="210"/>
    </row>
    <row r="229">
      <c r="A229" s="212">
        <f t="shared" si="1"/>
        <v>227</v>
      </c>
      <c r="B229" s="212" t="s">
        <v>2902</v>
      </c>
      <c r="C229" s="212" t="s">
        <v>225</v>
      </c>
      <c r="D229" s="220"/>
      <c r="E229" s="220"/>
      <c r="F229" s="212" t="s">
        <v>608</v>
      </c>
      <c r="G229" s="217" t="s">
        <v>3203</v>
      </c>
      <c r="H229" s="217" t="s">
        <v>1479</v>
      </c>
      <c r="I229" s="217" t="s">
        <v>3204</v>
      </c>
      <c r="J229" s="214" t="s">
        <v>225</v>
      </c>
      <c r="K229" s="215"/>
      <c r="L229" s="224"/>
      <c r="M229" s="224"/>
      <c r="N229" s="224"/>
      <c r="O229" s="210"/>
    </row>
    <row r="230">
      <c r="A230" s="212">
        <f t="shared" si="1"/>
        <v>228</v>
      </c>
      <c r="B230" s="212" t="s">
        <v>2902</v>
      </c>
      <c r="C230" s="212" t="s">
        <v>225</v>
      </c>
      <c r="D230" s="220"/>
      <c r="E230" s="220"/>
      <c r="F230" s="225" t="s">
        <v>3205</v>
      </c>
      <c r="G230" s="217" t="s">
        <v>3349</v>
      </c>
      <c r="H230" s="217" t="s">
        <v>3207</v>
      </c>
      <c r="I230" s="217" t="s">
        <v>3350</v>
      </c>
      <c r="J230" s="214" t="s">
        <v>225</v>
      </c>
      <c r="K230" s="215"/>
      <c r="L230" s="224"/>
      <c r="M230" s="224"/>
      <c r="N230" s="224"/>
      <c r="O230" s="210"/>
    </row>
    <row r="231">
      <c r="A231" s="212">
        <f t="shared" si="1"/>
        <v>229</v>
      </c>
      <c r="B231" s="212" t="s">
        <v>2902</v>
      </c>
      <c r="C231" s="212" t="s">
        <v>225</v>
      </c>
      <c r="D231" s="220"/>
      <c r="E231" s="220"/>
      <c r="F231" s="220"/>
      <c r="G231" s="217" t="s">
        <v>3351</v>
      </c>
      <c r="H231" s="217" t="s">
        <v>3207</v>
      </c>
      <c r="I231" s="217" t="s">
        <v>3350</v>
      </c>
      <c r="J231" s="214" t="s">
        <v>225</v>
      </c>
      <c r="K231" s="215"/>
      <c r="L231" s="224"/>
      <c r="M231" s="224"/>
      <c r="N231" s="224"/>
      <c r="O231" s="210"/>
    </row>
    <row r="232">
      <c r="A232" s="212">
        <f t="shared" si="1"/>
        <v>230</v>
      </c>
      <c r="B232" s="212" t="s">
        <v>2902</v>
      </c>
      <c r="C232" s="212" t="s">
        <v>225</v>
      </c>
      <c r="D232" s="220"/>
      <c r="E232" s="220"/>
      <c r="F232" s="220"/>
      <c r="G232" s="217" t="s">
        <v>3352</v>
      </c>
      <c r="H232" s="217" t="s">
        <v>3207</v>
      </c>
      <c r="I232" s="217" t="s">
        <v>3353</v>
      </c>
      <c r="J232" s="214" t="s">
        <v>225</v>
      </c>
      <c r="K232" s="215"/>
      <c r="L232" s="224"/>
      <c r="M232" s="224"/>
      <c r="N232" s="224"/>
      <c r="O232" s="210"/>
    </row>
    <row r="233">
      <c r="A233" s="212">
        <f t="shared" si="1"/>
        <v>231</v>
      </c>
      <c r="B233" s="212" t="s">
        <v>2902</v>
      </c>
      <c r="C233" s="212" t="s">
        <v>225</v>
      </c>
      <c r="D233" s="220"/>
      <c r="E233" s="220"/>
      <c r="F233" s="220"/>
      <c r="G233" s="217" t="s">
        <v>3354</v>
      </c>
      <c r="H233" s="217" t="s">
        <v>3207</v>
      </c>
      <c r="I233" s="217" t="s">
        <v>3355</v>
      </c>
      <c r="J233" s="214" t="s">
        <v>225</v>
      </c>
      <c r="K233" s="215"/>
      <c r="L233" s="224"/>
      <c r="M233" s="224"/>
      <c r="N233" s="224"/>
      <c r="O233" s="210"/>
    </row>
    <row r="234">
      <c r="A234" s="212">
        <f t="shared" si="1"/>
        <v>232</v>
      </c>
      <c r="B234" s="212" t="s">
        <v>2902</v>
      </c>
      <c r="C234" s="212" t="s">
        <v>225</v>
      </c>
      <c r="D234" s="220"/>
      <c r="E234" s="220"/>
      <c r="F234" s="39"/>
      <c r="G234" s="217" t="s">
        <v>3356</v>
      </c>
      <c r="H234" s="217" t="s">
        <v>3207</v>
      </c>
      <c r="I234" s="217" t="s">
        <v>3355</v>
      </c>
      <c r="J234" s="214" t="s">
        <v>225</v>
      </c>
      <c r="K234" s="215"/>
      <c r="L234" s="224"/>
      <c r="M234" s="224"/>
      <c r="N234" s="224"/>
      <c r="O234" s="210"/>
    </row>
    <row r="235">
      <c r="A235" s="212">
        <f t="shared" si="1"/>
        <v>233</v>
      </c>
      <c r="B235" s="212" t="s">
        <v>2902</v>
      </c>
      <c r="C235" s="212" t="s">
        <v>225</v>
      </c>
      <c r="D235" s="220"/>
      <c r="E235" s="220"/>
      <c r="F235" s="225" t="s">
        <v>3214</v>
      </c>
      <c r="G235" s="217" t="s">
        <v>3215</v>
      </c>
      <c r="H235" s="217" t="s">
        <v>3216</v>
      </c>
      <c r="I235" s="217" t="s">
        <v>3217</v>
      </c>
      <c r="J235" s="214" t="s">
        <v>225</v>
      </c>
      <c r="K235" s="215"/>
      <c r="L235" s="224"/>
      <c r="M235" s="224"/>
      <c r="N235" s="224"/>
      <c r="O235" s="210"/>
    </row>
    <row r="236">
      <c r="A236" s="212">
        <f t="shared" si="1"/>
        <v>234</v>
      </c>
      <c r="B236" s="212" t="s">
        <v>2902</v>
      </c>
      <c r="C236" s="212" t="s">
        <v>225</v>
      </c>
      <c r="D236" s="39"/>
      <c r="E236" s="39"/>
      <c r="F236" s="39"/>
      <c r="G236" s="217" t="s">
        <v>3218</v>
      </c>
      <c r="H236" s="217" t="s">
        <v>3219</v>
      </c>
      <c r="I236" s="217" t="s">
        <v>3357</v>
      </c>
      <c r="J236" s="214" t="s">
        <v>225</v>
      </c>
      <c r="K236" s="215"/>
      <c r="L236" s="224"/>
      <c r="M236" s="224"/>
      <c r="N236" s="224"/>
      <c r="O236" s="210"/>
    </row>
    <row r="237">
      <c r="A237" s="212">
        <f t="shared" si="1"/>
        <v>235</v>
      </c>
      <c r="B237" s="212" t="s">
        <v>2902</v>
      </c>
      <c r="C237" s="212" t="s">
        <v>225</v>
      </c>
      <c r="D237" s="225" t="s">
        <v>3333</v>
      </c>
      <c r="E237" s="225" t="s">
        <v>2782</v>
      </c>
      <c r="F237" s="212" t="s">
        <v>613</v>
      </c>
      <c r="G237" s="217" t="s">
        <v>92</v>
      </c>
      <c r="H237" s="217" t="s">
        <v>3221</v>
      </c>
      <c r="I237" s="217" t="s">
        <v>3358</v>
      </c>
      <c r="J237" s="214" t="s">
        <v>225</v>
      </c>
      <c r="K237" s="215"/>
      <c r="L237" s="224"/>
      <c r="M237" s="224"/>
      <c r="N237" s="224"/>
      <c r="O237" s="210"/>
    </row>
    <row r="238">
      <c r="A238" s="212">
        <f t="shared" si="1"/>
        <v>236</v>
      </c>
      <c r="B238" s="212" t="s">
        <v>2902</v>
      </c>
      <c r="C238" s="212" t="s">
        <v>225</v>
      </c>
      <c r="D238" s="220"/>
      <c r="E238" s="220"/>
      <c r="F238" s="212" t="s">
        <v>3223</v>
      </c>
      <c r="G238" s="217" t="s">
        <v>92</v>
      </c>
      <c r="H238" s="217" t="s">
        <v>3224</v>
      </c>
      <c r="I238" s="217" t="s">
        <v>3225</v>
      </c>
      <c r="J238" s="214" t="s">
        <v>225</v>
      </c>
      <c r="K238" s="215"/>
      <c r="L238" s="224"/>
      <c r="M238" s="224"/>
      <c r="N238" s="224"/>
      <c r="O238" s="210"/>
    </row>
    <row r="239">
      <c r="A239" s="212">
        <f t="shared" si="1"/>
        <v>237</v>
      </c>
      <c r="B239" s="212" t="s">
        <v>2902</v>
      </c>
      <c r="C239" s="212" t="s">
        <v>225</v>
      </c>
      <c r="D239" s="220"/>
      <c r="E239" s="220"/>
      <c r="F239" s="225" t="s">
        <v>3284</v>
      </c>
      <c r="G239" s="217" t="s">
        <v>3302</v>
      </c>
      <c r="H239" s="217" t="s">
        <v>3303</v>
      </c>
      <c r="I239" s="217" t="s">
        <v>3229</v>
      </c>
      <c r="J239" s="214" t="s">
        <v>225</v>
      </c>
      <c r="K239" s="215"/>
      <c r="L239" s="224"/>
      <c r="M239" s="224"/>
      <c r="N239" s="224"/>
      <c r="O239" s="210"/>
    </row>
    <row r="240">
      <c r="A240" s="212">
        <f t="shared" si="1"/>
        <v>238</v>
      </c>
      <c r="B240" s="212" t="s">
        <v>2902</v>
      </c>
      <c r="C240" s="212" t="s">
        <v>225</v>
      </c>
      <c r="D240" s="220"/>
      <c r="E240" s="220"/>
      <c r="F240" s="39"/>
      <c r="G240" s="217" t="s">
        <v>3304</v>
      </c>
      <c r="H240" s="217" t="s">
        <v>3303</v>
      </c>
      <c r="I240" s="217" t="s">
        <v>3305</v>
      </c>
      <c r="J240" s="214" t="s">
        <v>225</v>
      </c>
      <c r="K240" s="215"/>
      <c r="L240" s="224"/>
      <c r="M240" s="224"/>
      <c r="N240" s="224"/>
      <c r="O240" s="210"/>
    </row>
    <row r="241">
      <c r="A241" s="212">
        <f>COUNTA($I$3:$I242)</f>
        <v>240</v>
      </c>
      <c r="B241" s="212" t="s">
        <v>2902</v>
      </c>
      <c r="C241" s="212" t="s">
        <v>225</v>
      </c>
      <c r="D241" s="220"/>
      <c r="E241" s="220"/>
      <c r="F241" s="212" t="s">
        <v>3306</v>
      </c>
      <c r="G241" s="217" t="s">
        <v>92</v>
      </c>
      <c r="H241" s="217" t="s">
        <v>3307</v>
      </c>
      <c r="I241" s="217" t="s">
        <v>3246</v>
      </c>
      <c r="J241" s="214" t="s">
        <v>225</v>
      </c>
      <c r="K241" s="215"/>
      <c r="L241" s="224"/>
      <c r="M241" s="224"/>
      <c r="N241" s="224"/>
      <c r="O241" s="210"/>
    </row>
    <row r="242">
      <c r="A242" s="212">
        <f t="shared" ref="A242:A248" si="2">COUNTA($I$3:$I242)</f>
        <v>240</v>
      </c>
      <c r="B242" s="212" t="s">
        <v>2902</v>
      </c>
      <c r="C242" s="212" t="s">
        <v>225</v>
      </c>
      <c r="D242" s="220"/>
      <c r="E242" s="220"/>
      <c r="F242" s="212" t="s">
        <v>2830</v>
      </c>
      <c r="G242" s="217" t="s">
        <v>92</v>
      </c>
      <c r="H242" s="217" t="s">
        <v>3247</v>
      </c>
      <c r="I242" s="217" t="s">
        <v>3359</v>
      </c>
      <c r="J242" s="214" t="s">
        <v>225</v>
      </c>
      <c r="K242" s="215"/>
      <c r="L242" s="224"/>
      <c r="M242" s="224"/>
      <c r="N242" s="224"/>
      <c r="O242" s="210"/>
    </row>
    <row r="243">
      <c r="A243" s="212">
        <f t="shared" si="2"/>
        <v>241</v>
      </c>
      <c r="B243" s="212" t="s">
        <v>2902</v>
      </c>
      <c r="C243" s="212" t="s">
        <v>225</v>
      </c>
      <c r="D243" s="220"/>
      <c r="E243" s="220"/>
      <c r="F243" s="212" t="s">
        <v>3360</v>
      </c>
      <c r="G243" s="217" t="s">
        <v>3361</v>
      </c>
      <c r="H243" s="217" t="s">
        <v>3362</v>
      </c>
      <c r="I243" s="217" t="s">
        <v>3363</v>
      </c>
      <c r="J243" s="214" t="s">
        <v>225</v>
      </c>
      <c r="K243" s="215"/>
      <c r="L243" s="224"/>
      <c r="M243" s="224"/>
      <c r="N243" s="224"/>
      <c r="O243" s="210"/>
    </row>
    <row r="244">
      <c r="A244" s="212">
        <f t="shared" si="2"/>
        <v>242</v>
      </c>
      <c r="B244" s="212" t="s">
        <v>2902</v>
      </c>
      <c r="C244" s="212" t="s">
        <v>225</v>
      </c>
      <c r="D244" s="220"/>
      <c r="E244" s="220"/>
      <c r="F244" s="212" t="s">
        <v>2840</v>
      </c>
      <c r="G244" s="217" t="s">
        <v>92</v>
      </c>
      <c r="H244" s="217" t="s">
        <v>3364</v>
      </c>
      <c r="I244" s="217" t="s">
        <v>3365</v>
      </c>
      <c r="J244" s="214" t="s">
        <v>225</v>
      </c>
      <c r="K244" s="215"/>
      <c r="L244" s="224"/>
      <c r="M244" s="224"/>
      <c r="N244" s="224"/>
      <c r="O244" s="210"/>
    </row>
    <row r="245">
      <c r="A245" s="212">
        <f t="shared" si="2"/>
        <v>243</v>
      </c>
      <c r="B245" s="212" t="s">
        <v>2902</v>
      </c>
      <c r="C245" s="212" t="s">
        <v>225</v>
      </c>
      <c r="D245" s="220"/>
      <c r="E245" s="220"/>
      <c r="F245" s="225" t="s">
        <v>3287</v>
      </c>
      <c r="G245" s="217" t="s">
        <v>3308</v>
      </c>
      <c r="H245" s="217" t="s">
        <v>3309</v>
      </c>
      <c r="I245" s="217" t="s">
        <v>3229</v>
      </c>
      <c r="J245" s="214" t="s">
        <v>225</v>
      </c>
      <c r="K245" s="215"/>
      <c r="L245" s="224"/>
      <c r="M245" s="224"/>
      <c r="N245" s="224"/>
      <c r="O245" s="210"/>
    </row>
    <row r="246">
      <c r="A246" s="212">
        <f t="shared" si="2"/>
        <v>244</v>
      </c>
      <c r="B246" s="212" t="s">
        <v>2902</v>
      </c>
      <c r="C246" s="212" t="s">
        <v>225</v>
      </c>
      <c r="D246" s="220"/>
      <c r="E246" s="220"/>
      <c r="F246" s="39"/>
      <c r="G246" s="217" t="s">
        <v>3310</v>
      </c>
      <c r="H246" s="217" t="s">
        <v>3309</v>
      </c>
      <c r="I246" s="217" t="s">
        <v>3311</v>
      </c>
      <c r="J246" s="214" t="s">
        <v>225</v>
      </c>
      <c r="K246" s="215"/>
      <c r="L246" s="224"/>
      <c r="M246" s="224"/>
      <c r="N246" s="224"/>
      <c r="O246" s="210"/>
    </row>
    <row r="247">
      <c r="A247" s="212">
        <f t="shared" si="2"/>
        <v>245</v>
      </c>
      <c r="B247" s="212" t="s">
        <v>2902</v>
      </c>
      <c r="C247" s="212" t="s">
        <v>225</v>
      </c>
      <c r="D247" s="220"/>
      <c r="E247" s="220"/>
      <c r="F247" s="225" t="s">
        <v>3015</v>
      </c>
      <c r="G247" s="217" t="s">
        <v>3279</v>
      </c>
      <c r="H247" s="217" t="s">
        <v>3017</v>
      </c>
      <c r="I247" s="217" t="s">
        <v>3182</v>
      </c>
      <c r="J247" s="214" t="s">
        <v>225</v>
      </c>
      <c r="K247" s="215" t="s">
        <v>3366</v>
      </c>
      <c r="L247" s="240" t="s">
        <v>3367</v>
      </c>
      <c r="M247" s="227" t="s">
        <v>3368</v>
      </c>
      <c r="N247" s="224"/>
      <c r="O247" s="210"/>
    </row>
    <row r="248">
      <c r="A248" s="212">
        <f t="shared" si="2"/>
        <v>246</v>
      </c>
      <c r="B248" s="212" t="s">
        <v>2902</v>
      </c>
      <c r="C248" s="212" t="s">
        <v>225</v>
      </c>
      <c r="D248" s="39"/>
      <c r="E248" s="39"/>
      <c r="F248" s="39"/>
      <c r="G248" s="217" t="s">
        <v>3280</v>
      </c>
      <c r="H248" s="217" t="s">
        <v>3017</v>
      </c>
      <c r="I248" s="217" t="s">
        <v>3184</v>
      </c>
      <c r="J248" s="214" t="s">
        <v>225</v>
      </c>
      <c r="K248" s="215" t="s">
        <v>3366</v>
      </c>
      <c r="L248" s="240" t="s">
        <v>3367</v>
      </c>
      <c r="M248" s="227" t="s">
        <v>3369</v>
      </c>
      <c r="N248" s="224"/>
      <c r="O248" s="210"/>
    </row>
  </sheetData>
  <mergeCells count="105">
    <mergeCell ref="K1:K2"/>
    <mergeCell ref="L1:L2"/>
    <mergeCell ref="M1:M2"/>
    <mergeCell ref="N1:N2"/>
    <mergeCell ref="A1:A2"/>
    <mergeCell ref="C1:E1"/>
    <mergeCell ref="F1:F2"/>
    <mergeCell ref="G1:G2"/>
    <mergeCell ref="H1:H2"/>
    <mergeCell ref="I1:I2"/>
    <mergeCell ref="J1:J2"/>
    <mergeCell ref="D3:D4"/>
    <mergeCell ref="E3:E4"/>
    <mergeCell ref="F3:F4"/>
    <mergeCell ref="D7:D8"/>
    <mergeCell ref="D9:D12"/>
    <mergeCell ref="F10:F12"/>
    <mergeCell ref="F15:F16"/>
    <mergeCell ref="F18:F20"/>
    <mergeCell ref="F22:F24"/>
    <mergeCell ref="F25:F27"/>
    <mergeCell ref="F29:F31"/>
    <mergeCell ref="F32:F35"/>
    <mergeCell ref="G32:G35"/>
    <mergeCell ref="F36:F38"/>
    <mergeCell ref="F39:F40"/>
    <mergeCell ref="F43:F44"/>
    <mergeCell ref="F45:F46"/>
    <mergeCell ref="F48:F49"/>
    <mergeCell ref="F52:F53"/>
    <mergeCell ref="F56:F60"/>
    <mergeCell ref="F61:F63"/>
    <mergeCell ref="D74:D95"/>
    <mergeCell ref="D96:D110"/>
    <mergeCell ref="E96:E110"/>
    <mergeCell ref="G96:G100"/>
    <mergeCell ref="G101:G105"/>
    <mergeCell ref="F107:F110"/>
    <mergeCell ref="D14:D17"/>
    <mergeCell ref="D18:D21"/>
    <mergeCell ref="D22:D27"/>
    <mergeCell ref="D28:D38"/>
    <mergeCell ref="D39:D49"/>
    <mergeCell ref="D52:D71"/>
    <mergeCell ref="D72:D73"/>
    <mergeCell ref="F209:F216"/>
    <mergeCell ref="F217:F219"/>
    <mergeCell ref="F177:F182"/>
    <mergeCell ref="F183:F184"/>
    <mergeCell ref="F192:F196"/>
    <mergeCell ref="F197:F198"/>
    <mergeCell ref="F201:F202"/>
    <mergeCell ref="F205:F206"/>
    <mergeCell ref="F207:F208"/>
    <mergeCell ref="F235:F236"/>
    <mergeCell ref="F239:F240"/>
    <mergeCell ref="E186:E198"/>
    <mergeCell ref="E199:E221"/>
    <mergeCell ref="F220:F221"/>
    <mergeCell ref="E223:E236"/>
    <mergeCell ref="F226:F228"/>
    <mergeCell ref="F230:F234"/>
    <mergeCell ref="E237:E248"/>
    <mergeCell ref="F66:F68"/>
    <mergeCell ref="F70:F71"/>
    <mergeCell ref="F72:F73"/>
    <mergeCell ref="F74:F75"/>
    <mergeCell ref="F81:F82"/>
    <mergeCell ref="F83:F87"/>
    <mergeCell ref="F88:F90"/>
    <mergeCell ref="F92:F94"/>
    <mergeCell ref="F96:F105"/>
    <mergeCell ref="E111:E125"/>
    <mergeCell ref="F111:F120"/>
    <mergeCell ref="G111:G115"/>
    <mergeCell ref="G116:G120"/>
    <mergeCell ref="F122:F125"/>
    <mergeCell ref="F126:F135"/>
    <mergeCell ref="G126:G130"/>
    <mergeCell ref="G131:G135"/>
    <mergeCell ref="F137:F140"/>
    <mergeCell ref="F141:F142"/>
    <mergeCell ref="F150:F154"/>
    <mergeCell ref="F155:F156"/>
    <mergeCell ref="F159:F160"/>
    <mergeCell ref="F161:F162"/>
    <mergeCell ref="F163:F164"/>
    <mergeCell ref="F165:F166"/>
    <mergeCell ref="F170:F171"/>
    <mergeCell ref="F173:F174"/>
    <mergeCell ref="F175:F176"/>
    <mergeCell ref="D157:D184"/>
    <mergeCell ref="D185:D198"/>
    <mergeCell ref="D199:D221"/>
    <mergeCell ref="D222:D236"/>
    <mergeCell ref="D237:D248"/>
    <mergeCell ref="D111:D125"/>
    <mergeCell ref="D126:D140"/>
    <mergeCell ref="E126:E140"/>
    <mergeCell ref="D141:D142"/>
    <mergeCell ref="D144:D156"/>
    <mergeCell ref="E144:E156"/>
    <mergeCell ref="E157:E184"/>
    <mergeCell ref="F245:F246"/>
    <mergeCell ref="F247:F248"/>
  </mergeCells>
  <conditionalFormatting sqref="K13">
    <cfRule type="notContainsBlanks" dxfId="4" priority="1">
      <formula>LEN(TRIM(K13))&gt;0</formula>
    </cfRule>
  </conditionalFormatting>
  <conditionalFormatting sqref="K14">
    <cfRule type="notContainsBlanks" dxfId="4" priority="2">
      <formula>LEN(TRIM(K14))&gt;0</formula>
    </cfRule>
  </conditionalFormatting>
  <conditionalFormatting sqref="K3:K248">
    <cfRule type="cellIs" dxfId="4" priority="3" operator="equal">
      <formula>"PASS"</formula>
    </cfRule>
  </conditionalFormatting>
  <conditionalFormatting sqref="K3:K248">
    <cfRule type="cellIs" dxfId="5" priority="4" operator="equal">
      <formula>"FAIL"</formula>
    </cfRule>
  </conditionalFormatting>
  <conditionalFormatting sqref="K3:K248">
    <cfRule type="cellIs" dxfId="6" priority="5" operator="equal">
      <formula>"N/A"</formula>
    </cfRule>
  </conditionalFormatting>
  <conditionalFormatting sqref="K3:K248">
    <cfRule type="cellIs" dxfId="7" priority="6" operator="equal">
      <formula>"N/T"</formula>
    </cfRule>
  </conditionalFormatting>
  <dataValidations>
    <dataValidation type="list" allowBlank="1" sqref="K3:K248">
      <formula1>"PASS,FAIL,N/A,N/T"</formula1>
    </dataValidation>
  </dataValidations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  <hyperlink r:id="rId9" ref="J13"/>
    <hyperlink r:id="rId10" ref="L13"/>
    <hyperlink r:id="rId11" ref="J14"/>
    <hyperlink r:id="rId12" ref="J15"/>
    <hyperlink r:id="rId13" ref="J16"/>
    <hyperlink r:id="rId14" ref="J17"/>
    <hyperlink r:id="rId15" ref="J18"/>
    <hyperlink r:id="rId16" ref="J19"/>
    <hyperlink r:id="rId17" ref="J20"/>
    <hyperlink r:id="rId18" ref="J21"/>
    <hyperlink r:id="rId19" ref="J22"/>
    <hyperlink r:id="rId20" ref="J23"/>
    <hyperlink r:id="rId21" ref="J24"/>
    <hyperlink r:id="rId22" ref="J25"/>
    <hyperlink r:id="rId23" ref="J26"/>
    <hyperlink r:id="rId24" ref="J27"/>
    <hyperlink r:id="rId25" ref="J28"/>
    <hyperlink r:id="rId26" ref="J29"/>
    <hyperlink r:id="rId27" ref="J30"/>
    <hyperlink r:id="rId28" ref="J31"/>
    <hyperlink r:id="rId29" ref="J32"/>
    <hyperlink r:id="rId30" ref="J33"/>
    <hyperlink r:id="rId31" ref="J34"/>
    <hyperlink r:id="rId32" ref="J35"/>
    <hyperlink r:id="rId33" ref="J36"/>
    <hyperlink r:id="rId34" ref="J37"/>
    <hyperlink r:id="rId35" ref="J38"/>
    <hyperlink r:id="rId36" ref="J39"/>
    <hyperlink r:id="rId37" ref="J40"/>
    <hyperlink r:id="rId38" ref="J41"/>
    <hyperlink r:id="rId39" ref="J42"/>
    <hyperlink r:id="rId40" ref="J43"/>
    <hyperlink r:id="rId41" ref="J44"/>
    <hyperlink r:id="rId42" ref="J45"/>
    <hyperlink r:id="rId43" ref="J46"/>
    <hyperlink r:id="rId44" ref="J47"/>
    <hyperlink r:id="rId45" ref="J48"/>
    <hyperlink r:id="rId46" ref="J49"/>
    <hyperlink r:id="rId47" ref="J50"/>
    <hyperlink r:id="rId48" ref="J51"/>
    <hyperlink r:id="rId49" ref="J52"/>
    <hyperlink r:id="rId50" ref="J53"/>
    <hyperlink r:id="rId51" ref="J54"/>
    <hyperlink r:id="rId52" ref="J55"/>
    <hyperlink r:id="rId53" ref="J56"/>
    <hyperlink r:id="rId54" ref="J57"/>
    <hyperlink r:id="rId55" ref="J58"/>
    <hyperlink r:id="rId56" ref="J59"/>
    <hyperlink r:id="rId57" ref="J60"/>
    <hyperlink r:id="rId58" ref="J61"/>
    <hyperlink r:id="rId59" ref="J62"/>
    <hyperlink r:id="rId60" ref="J63"/>
    <hyperlink r:id="rId61" ref="J64"/>
    <hyperlink r:id="rId62" ref="J65"/>
    <hyperlink r:id="rId63" ref="J66"/>
    <hyperlink r:id="rId64" ref="J67"/>
    <hyperlink r:id="rId65" ref="J68"/>
    <hyperlink r:id="rId66" ref="J69"/>
    <hyperlink r:id="rId67" ref="J70"/>
    <hyperlink r:id="rId68" ref="J71"/>
    <hyperlink r:id="rId69" ref="J72"/>
    <hyperlink r:id="rId70" ref="J73"/>
    <hyperlink r:id="rId71" ref="J74"/>
    <hyperlink r:id="rId72" ref="J75"/>
    <hyperlink r:id="rId73" ref="J76"/>
    <hyperlink r:id="rId74" ref="J77"/>
    <hyperlink r:id="rId75" ref="J78"/>
    <hyperlink r:id="rId76" ref="J79"/>
    <hyperlink r:id="rId77" ref="J80"/>
    <hyperlink r:id="rId78" ref="J81"/>
    <hyperlink r:id="rId79" ref="J82"/>
    <hyperlink r:id="rId80" ref="J83"/>
    <hyperlink r:id="rId81" ref="J84"/>
    <hyperlink r:id="rId82" ref="J85"/>
    <hyperlink r:id="rId83" ref="J86"/>
    <hyperlink r:id="rId84" ref="J87"/>
    <hyperlink r:id="rId85" ref="J88"/>
    <hyperlink r:id="rId86" ref="J89"/>
    <hyperlink r:id="rId87" ref="J90"/>
    <hyperlink r:id="rId88" ref="J91"/>
    <hyperlink r:id="rId89" ref="J92"/>
    <hyperlink r:id="rId90" ref="J93"/>
    <hyperlink r:id="rId91" ref="J94"/>
    <hyperlink r:id="rId92" ref="J95"/>
    <hyperlink r:id="rId93" ref="J96"/>
    <hyperlink r:id="rId94" ref="J97"/>
    <hyperlink r:id="rId95" ref="J98"/>
    <hyperlink r:id="rId96" ref="J99"/>
    <hyperlink r:id="rId97" ref="J100"/>
    <hyperlink r:id="rId98" ref="J101"/>
    <hyperlink r:id="rId99" ref="J102"/>
    <hyperlink r:id="rId100" ref="J103"/>
    <hyperlink r:id="rId101" ref="J104"/>
    <hyperlink r:id="rId102" ref="J105"/>
    <hyperlink r:id="rId103" ref="J106"/>
    <hyperlink r:id="rId104" ref="J107"/>
    <hyperlink r:id="rId105" ref="J108"/>
    <hyperlink r:id="rId106" ref="J109"/>
    <hyperlink r:id="rId107" ref="J110"/>
    <hyperlink r:id="rId108" ref="J111"/>
    <hyperlink r:id="rId109" ref="J112"/>
    <hyperlink r:id="rId110" ref="J113"/>
    <hyperlink r:id="rId111" ref="J114"/>
    <hyperlink r:id="rId112" ref="J115"/>
    <hyperlink r:id="rId113" ref="J116"/>
    <hyperlink r:id="rId114" ref="J117"/>
    <hyperlink r:id="rId115" ref="J118"/>
    <hyperlink r:id="rId116" ref="J119"/>
    <hyperlink r:id="rId117" ref="J120"/>
    <hyperlink r:id="rId118" ref="J121"/>
    <hyperlink r:id="rId119" ref="J122"/>
    <hyperlink r:id="rId120" ref="J123"/>
    <hyperlink r:id="rId121" ref="J124"/>
    <hyperlink r:id="rId122" ref="J125"/>
    <hyperlink r:id="rId123" ref="J126"/>
    <hyperlink r:id="rId124" ref="J127"/>
    <hyperlink r:id="rId125" ref="J128"/>
    <hyperlink r:id="rId126" ref="J129"/>
    <hyperlink r:id="rId127" ref="J130"/>
    <hyperlink r:id="rId128" ref="J131"/>
    <hyperlink r:id="rId129" ref="J132"/>
    <hyperlink r:id="rId130" ref="J133"/>
    <hyperlink r:id="rId131" ref="J134"/>
    <hyperlink r:id="rId132" ref="J135"/>
    <hyperlink r:id="rId133" ref="J136"/>
    <hyperlink r:id="rId134" ref="J137"/>
    <hyperlink r:id="rId135" ref="J138"/>
    <hyperlink r:id="rId136" ref="J139"/>
    <hyperlink r:id="rId137" ref="J140"/>
    <hyperlink r:id="rId138" ref="J141"/>
    <hyperlink r:id="rId139" ref="J142"/>
    <hyperlink r:id="rId140" ref="J143"/>
    <hyperlink r:id="rId141" ref="J144"/>
    <hyperlink r:id="rId142" ref="J145"/>
    <hyperlink r:id="rId143" ref="J146"/>
    <hyperlink r:id="rId144" ref="J147"/>
    <hyperlink r:id="rId145" ref="J148"/>
    <hyperlink r:id="rId146" ref="J149"/>
    <hyperlink r:id="rId147" ref="J150"/>
    <hyperlink r:id="rId148" ref="J151"/>
    <hyperlink r:id="rId149" ref="J152"/>
    <hyperlink r:id="rId150" ref="J153"/>
    <hyperlink r:id="rId151" ref="J154"/>
    <hyperlink r:id="rId152" ref="J155"/>
    <hyperlink r:id="rId153" ref="J156"/>
    <hyperlink r:id="rId154" ref="J157"/>
    <hyperlink r:id="rId155" ref="J158"/>
    <hyperlink r:id="rId156" ref="J159"/>
    <hyperlink r:id="rId157" ref="J160"/>
    <hyperlink r:id="rId158" ref="J161"/>
    <hyperlink r:id="rId159" ref="J162"/>
    <hyperlink r:id="rId160" ref="J163"/>
    <hyperlink r:id="rId161" ref="J164"/>
    <hyperlink r:id="rId162" ref="J165"/>
    <hyperlink r:id="rId163" ref="J166"/>
    <hyperlink r:id="rId164" ref="J167"/>
    <hyperlink r:id="rId165" ref="J168"/>
    <hyperlink r:id="rId166" ref="J169"/>
    <hyperlink r:id="rId167" ref="J170"/>
    <hyperlink r:id="rId168" ref="J171"/>
    <hyperlink r:id="rId169" ref="J172"/>
    <hyperlink r:id="rId170" ref="J173"/>
    <hyperlink r:id="rId171" ref="J174"/>
    <hyperlink r:id="rId172" ref="J175"/>
    <hyperlink r:id="rId173" ref="J176"/>
    <hyperlink r:id="rId174" ref="J177"/>
    <hyperlink r:id="rId175" ref="J178"/>
    <hyperlink r:id="rId176" ref="J179"/>
    <hyperlink r:id="rId177" ref="J180"/>
    <hyperlink r:id="rId178" ref="J181"/>
    <hyperlink r:id="rId179" ref="J182"/>
    <hyperlink r:id="rId180" ref="J183"/>
    <hyperlink r:id="rId181" ref="J184"/>
    <hyperlink r:id="rId182" ref="J185"/>
    <hyperlink r:id="rId183" ref="J186"/>
    <hyperlink r:id="rId184" ref="J187"/>
    <hyperlink r:id="rId185" ref="J188"/>
    <hyperlink r:id="rId186" ref="J189"/>
    <hyperlink r:id="rId187" ref="J190"/>
    <hyperlink r:id="rId188" ref="J191"/>
    <hyperlink r:id="rId189" ref="J192"/>
    <hyperlink r:id="rId190" ref="J193"/>
    <hyperlink r:id="rId191" ref="J194"/>
    <hyperlink r:id="rId192" ref="J195"/>
    <hyperlink r:id="rId193" ref="J196"/>
    <hyperlink r:id="rId194" ref="J197"/>
    <hyperlink r:id="rId195" ref="J198"/>
    <hyperlink r:id="rId196" ref="J199"/>
    <hyperlink r:id="rId197" ref="J200"/>
    <hyperlink r:id="rId198" ref="J201"/>
    <hyperlink r:id="rId199" ref="J202"/>
    <hyperlink r:id="rId200" ref="J203"/>
    <hyperlink r:id="rId201" ref="J204"/>
    <hyperlink r:id="rId202" ref="J205"/>
    <hyperlink r:id="rId203" ref="J206"/>
    <hyperlink r:id="rId204" ref="J207"/>
    <hyperlink r:id="rId205" ref="J208"/>
    <hyperlink r:id="rId206" ref="J209"/>
    <hyperlink r:id="rId207" ref="J210"/>
    <hyperlink r:id="rId208" ref="J211"/>
    <hyperlink r:id="rId209" ref="J212"/>
    <hyperlink r:id="rId210" ref="J213"/>
    <hyperlink r:id="rId211" ref="J214"/>
    <hyperlink r:id="rId212" ref="J215"/>
    <hyperlink r:id="rId213" ref="J216"/>
    <hyperlink r:id="rId214" ref="J217"/>
    <hyperlink r:id="rId215" ref="J218"/>
    <hyperlink r:id="rId216" ref="J219"/>
    <hyperlink r:id="rId217" ref="J220"/>
    <hyperlink r:id="rId218" ref="J221"/>
    <hyperlink r:id="rId219" ref="J222"/>
    <hyperlink r:id="rId220" ref="J223"/>
    <hyperlink r:id="rId221" ref="J224"/>
    <hyperlink r:id="rId222" ref="J225"/>
    <hyperlink r:id="rId223" ref="J226"/>
    <hyperlink r:id="rId224" ref="J227"/>
    <hyperlink r:id="rId225" ref="J228"/>
    <hyperlink r:id="rId226" ref="J229"/>
    <hyperlink r:id="rId227" ref="J230"/>
    <hyperlink r:id="rId228" ref="J231"/>
    <hyperlink r:id="rId229" ref="J232"/>
    <hyperlink r:id="rId230" ref="J233"/>
    <hyperlink r:id="rId231" ref="J234"/>
    <hyperlink r:id="rId232" ref="J235"/>
    <hyperlink r:id="rId233" ref="J236"/>
    <hyperlink r:id="rId234" ref="J237"/>
    <hyperlink r:id="rId235" ref="J238"/>
    <hyperlink r:id="rId236" ref="J239"/>
    <hyperlink r:id="rId237" ref="J240"/>
    <hyperlink r:id="rId238" ref="J241"/>
    <hyperlink r:id="rId239" ref="J242"/>
    <hyperlink r:id="rId240" ref="J243"/>
    <hyperlink r:id="rId241" ref="J244"/>
    <hyperlink r:id="rId242" ref="J245"/>
    <hyperlink r:id="rId243" ref="J246"/>
    <hyperlink r:id="rId244" ref="J247"/>
    <hyperlink r:id="rId245" ref="L247"/>
    <hyperlink r:id="rId246" ref="J248"/>
    <hyperlink r:id="rId247" ref="L248"/>
  </hyperlinks>
  <drawing r:id="rId248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152" t="s">
        <v>75</v>
      </c>
      <c r="D2" s="153" t="s">
        <v>76</v>
      </c>
      <c r="E2" s="153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59" si="1">COUNTA($I$3:$I3)</f>
        <v>1</v>
      </c>
      <c r="B3" s="212" t="s">
        <v>46</v>
      </c>
      <c r="C3" s="212" t="s">
        <v>227</v>
      </c>
      <c r="D3" s="212" t="s">
        <v>92</v>
      </c>
      <c r="E3" s="212" t="s">
        <v>92</v>
      </c>
      <c r="F3" s="212" t="s">
        <v>613</v>
      </c>
      <c r="G3" s="213"/>
      <c r="H3" s="213" t="s">
        <v>3370</v>
      </c>
      <c r="I3" s="213" t="s">
        <v>3371</v>
      </c>
      <c r="J3" s="214" t="s">
        <v>229</v>
      </c>
      <c r="K3" s="215" t="s">
        <v>33</v>
      </c>
      <c r="L3" s="216"/>
      <c r="M3" s="216"/>
      <c r="N3" s="217"/>
      <c r="O3" s="210"/>
    </row>
    <row r="4">
      <c r="A4" s="212">
        <f t="shared" si="1"/>
        <v>2</v>
      </c>
      <c r="B4" s="212"/>
      <c r="C4" s="212" t="s">
        <v>227</v>
      </c>
      <c r="D4" s="212" t="s">
        <v>3372</v>
      </c>
      <c r="E4" s="212" t="s">
        <v>92</v>
      </c>
      <c r="F4" s="212" t="s">
        <v>3373</v>
      </c>
      <c r="G4" s="217"/>
      <c r="H4" s="213" t="s">
        <v>3374</v>
      </c>
      <c r="I4" s="213" t="s">
        <v>3375</v>
      </c>
      <c r="J4" s="214" t="s">
        <v>3376</v>
      </c>
      <c r="K4" s="215" t="s">
        <v>33</v>
      </c>
      <c r="L4" s="216"/>
      <c r="M4" s="216"/>
      <c r="N4" s="217"/>
      <c r="O4" s="210"/>
    </row>
    <row r="5">
      <c r="A5" s="212">
        <f t="shared" si="1"/>
        <v>3</v>
      </c>
      <c r="B5" s="212"/>
      <c r="C5" s="212" t="s">
        <v>227</v>
      </c>
      <c r="D5" s="212" t="s">
        <v>3372</v>
      </c>
      <c r="E5" s="212" t="s">
        <v>92</v>
      </c>
      <c r="F5" s="212" t="s">
        <v>1378</v>
      </c>
      <c r="G5" s="217"/>
      <c r="H5" s="213" t="s">
        <v>1379</v>
      </c>
      <c r="I5" s="213" t="s">
        <v>3377</v>
      </c>
      <c r="J5" s="214" t="s">
        <v>3376</v>
      </c>
      <c r="K5" s="215" t="s">
        <v>33</v>
      </c>
      <c r="L5" s="216"/>
      <c r="M5" s="216"/>
      <c r="N5" s="217"/>
      <c r="O5" s="210"/>
    </row>
    <row r="6">
      <c r="A6" s="212">
        <f t="shared" si="1"/>
        <v>4</v>
      </c>
      <c r="B6" s="212"/>
      <c r="C6" s="212" t="s">
        <v>227</v>
      </c>
      <c r="D6" s="212" t="s">
        <v>3378</v>
      </c>
      <c r="E6" s="212" t="s">
        <v>92</v>
      </c>
      <c r="F6" s="212" t="s">
        <v>613</v>
      </c>
      <c r="G6" s="216"/>
      <c r="H6" s="213" t="s">
        <v>3379</v>
      </c>
      <c r="I6" s="217" t="s">
        <v>3380</v>
      </c>
      <c r="J6" s="214" t="s">
        <v>3381</v>
      </c>
      <c r="K6" s="215" t="s">
        <v>33</v>
      </c>
      <c r="L6" s="224"/>
      <c r="M6" s="224"/>
      <c r="N6" s="217"/>
      <c r="O6" s="210"/>
    </row>
    <row r="7">
      <c r="A7" s="212">
        <f t="shared" si="1"/>
        <v>5</v>
      </c>
      <c r="B7" s="212"/>
      <c r="C7" s="212" t="s">
        <v>227</v>
      </c>
      <c r="D7" s="212" t="s">
        <v>3378</v>
      </c>
      <c r="E7" s="212" t="s">
        <v>92</v>
      </c>
      <c r="F7" s="225" t="s">
        <v>1191</v>
      </c>
      <c r="G7" s="217"/>
      <c r="H7" s="213" t="s">
        <v>3382</v>
      </c>
      <c r="I7" s="217" t="s">
        <v>3383</v>
      </c>
      <c r="J7" s="214" t="s">
        <v>3384</v>
      </c>
      <c r="K7" s="215" t="s">
        <v>33</v>
      </c>
      <c r="L7" s="226"/>
      <c r="M7" s="224"/>
      <c r="N7" s="217"/>
      <c r="O7" s="210"/>
    </row>
    <row r="8">
      <c r="A8" s="212">
        <f t="shared" si="1"/>
        <v>6</v>
      </c>
      <c r="B8" s="212"/>
      <c r="C8" s="212" t="s">
        <v>227</v>
      </c>
      <c r="D8" s="212" t="s">
        <v>3378</v>
      </c>
      <c r="E8" s="212" t="s">
        <v>92</v>
      </c>
      <c r="F8" s="39"/>
      <c r="G8" s="217"/>
      <c r="H8" s="213" t="s">
        <v>3385</v>
      </c>
      <c r="I8" s="217" t="s">
        <v>3386</v>
      </c>
      <c r="J8" s="214" t="s">
        <v>3384</v>
      </c>
      <c r="K8" s="215" t="s">
        <v>33</v>
      </c>
      <c r="L8" s="226"/>
      <c r="M8" s="224"/>
      <c r="N8" s="217"/>
      <c r="O8" s="210"/>
    </row>
    <row r="9">
      <c r="A9" s="212">
        <f t="shared" si="1"/>
        <v>7</v>
      </c>
      <c r="B9" s="212"/>
      <c r="C9" s="212" t="s">
        <v>227</v>
      </c>
      <c r="D9" s="212" t="s">
        <v>3378</v>
      </c>
      <c r="E9" s="212" t="s">
        <v>92</v>
      </c>
      <c r="F9" s="212" t="s">
        <v>608</v>
      </c>
      <c r="G9" s="227" t="s">
        <v>3387</v>
      </c>
      <c r="H9" s="213" t="s">
        <v>1479</v>
      </c>
      <c r="I9" s="227" t="s">
        <v>3388</v>
      </c>
      <c r="J9" s="214" t="s">
        <v>3384</v>
      </c>
      <c r="K9" s="215" t="s">
        <v>33</v>
      </c>
      <c r="L9" s="224"/>
      <c r="M9" s="224"/>
      <c r="N9" s="217"/>
      <c r="O9" s="210"/>
    </row>
    <row r="10">
      <c r="A10" s="212">
        <f t="shared" si="1"/>
        <v>8</v>
      </c>
      <c r="B10" s="212"/>
      <c r="C10" s="212" t="s">
        <v>227</v>
      </c>
      <c r="D10" s="212" t="s">
        <v>3378</v>
      </c>
      <c r="E10" s="212" t="s">
        <v>92</v>
      </c>
      <c r="F10" s="225" t="s">
        <v>1310</v>
      </c>
      <c r="G10" s="227"/>
      <c r="H10" s="213" t="s">
        <v>3389</v>
      </c>
      <c r="I10" s="227" t="s">
        <v>3390</v>
      </c>
      <c r="J10" s="242" t="s">
        <v>92</v>
      </c>
      <c r="K10" s="215" t="s">
        <v>33</v>
      </c>
      <c r="L10" s="224"/>
      <c r="M10" s="224"/>
      <c r="N10" s="217"/>
      <c r="O10" s="210"/>
    </row>
    <row r="11">
      <c r="A11" s="212">
        <f t="shared" si="1"/>
        <v>9</v>
      </c>
      <c r="B11" s="212"/>
      <c r="C11" s="212" t="s">
        <v>227</v>
      </c>
      <c r="D11" s="212" t="s">
        <v>3378</v>
      </c>
      <c r="E11" s="212" t="s">
        <v>92</v>
      </c>
      <c r="F11" s="39"/>
      <c r="G11" s="227" t="s">
        <v>3387</v>
      </c>
      <c r="H11" s="213" t="s">
        <v>1863</v>
      </c>
      <c r="I11" s="227" t="s">
        <v>3391</v>
      </c>
      <c r="J11" s="214" t="s">
        <v>3384</v>
      </c>
      <c r="K11" s="215" t="s">
        <v>33</v>
      </c>
      <c r="L11" s="224"/>
      <c r="M11" s="224"/>
      <c r="N11" s="217"/>
      <c r="O11" s="210"/>
    </row>
    <row r="12">
      <c r="A12" s="212">
        <f t="shared" si="1"/>
        <v>10</v>
      </c>
      <c r="B12" s="212"/>
      <c r="C12" s="212" t="s">
        <v>227</v>
      </c>
      <c r="D12" s="212" t="s">
        <v>3392</v>
      </c>
      <c r="E12" s="212" t="s">
        <v>92</v>
      </c>
      <c r="F12" s="212" t="s">
        <v>613</v>
      </c>
      <c r="G12" s="227"/>
      <c r="H12" s="213" t="s">
        <v>3393</v>
      </c>
      <c r="I12" s="227" t="s">
        <v>3394</v>
      </c>
      <c r="J12" s="214" t="s">
        <v>3395</v>
      </c>
      <c r="K12" s="215"/>
      <c r="L12" s="224"/>
      <c r="M12" s="224"/>
      <c r="N12" s="217"/>
      <c r="O12" s="210"/>
    </row>
    <row r="13">
      <c r="A13" s="212">
        <f t="shared" si="1"/>
        <v>11</v>
      </c>
      <c r="B13" s="212"/>
      <c r="C13" s="212" t="s">
        <v>227</v>
      </c>
      <c r="D13" s="212" t="s">
        <v>3392</v>
      </c>
      <c r="E13" s="212" t="s">
        <v>92</v>
      </c>
      <c r="F13" s="225" t="s">
        <v>3396</v>
      </c>
      <c r="G13" s="227" t="s">
        <v>3397</v>
      </c>
      <c r="H13" s="213" t="s">
        <v>3398</v>
      </c>
      <c r="I13" s="227" t="s">
        <v>3399</v>
      </c>
      <c r="J13" s="214" t="s">
        <v>3395</v>
      </c>
      <c r="K13" s="215" t="s">
        <v>33</v>
      </c>
      <c r="L13" s="224"/>
      <c r="M13" s="224"/>
      <c r="N13" s="217"/>
      <c r="O13" s="210"/>
    </row>
    <row r="14">
      <c r="A14" s="212">
        <f t="shared" si="1"/>
        <v>12</v>
      </c>
      <c r="B14" s="212"/>
      <c r="C14" s="212" t="s">
        <v>227</v>
      </c>
      <c r="D14" s="212" t="s">
        <v>3392</v>
      </c>
      <c r="E14" s="212" t="s">
        <v>92</v>
      </c>
      <c r="F14" s="39"/>
      <c r="G14" s="227" t="s">
        <v>3400</v>
      </c>
      <c r="H14" s="213" t="s">
        <v>3401</v>
      </c>
      <c r="I14" s="227" t="s">
        <v>3402</v>
      </c>
      <c r="J14" s="214" t="s">
        <v>3395</v>
      </c>
      <c r="K14" s="215" t="s">
        <v>33</v>
      </c>
      <c r="L14" s="224"/>
      <c r="M14" s="224"/>
      <c r="N14" s="217"/>
      <c r="O14" s="210"/>
    </row>
    <row r="15">
      <c r="A15" s="212">
        <f t="shared" si="1"/>
        <v>13</v>
      </c>
      <c r="B15" s="228"/>
      <c r="C15" s="212" t="s">
        <v>227</v>
      </c>
      <c r="D15" s="212" t="s">
        <v>3403</v>
      </c>
      <c r="E15" s="212" t="s">
        <v>92</v>
      </c>
      <c r="F15" s="212" t="s">
        <v>483</v>
      </c>
      <c r="G15" s="227"/>
      <c r="H15" s="227" t="s">
        <v>3404</v>
      </c>
      <c r="I15" s="227" t="s">
        <v>3405</v>
      </c>
      <c r="J15" s="214" t="s">
        <v>3406</v>
      </c>
      <c r="K15" s="215" t="s">
        <v>33</v>
      </c>
      <c r="L15" s="224"/>
      <c r="M15" s="224"/>
      <c r="N15" s="217"/>
      <c r="O15" s="210"/>
    </row>
    <row r="16">
      <c r="A16" s="212">
        <f t="shared" si="1"/>
        <v>14</v>
      </c>
      <c r="B16" s="228"/>
      <c r="C16" s="212" t="s">
        <v>227</v>
      </c>
      <c r="D16" s="212" t="s">
        <v>3403</v>
      </c>
      <c r="E16" s="212" t="s">
        <v>92</v>
      </c>
      <c r="F16" s="212" t="s">
        <v>3407</v>
      </c>
      <c r="G16" s="227"/>
      <c r="H16" s="227" t="s">
        <v>3404</v>
      </c>
      <c r="I16" s="227" t="s">
        <v>3408</v>
      </c>
      <c r="J16" s="242" t="s">
        <v>92</v>
      </c>
      <c r="K16" s="215" t="s">
        <v>33</v>
      </c>
      <c r="L16" s="224"/>
      <c r="M16" s="224"/>
      <c r="N16" s="217"/>
      <c r="O16" s="210"/>
    </row>
    <row r="17">
      <c r="A17" s="212">
        <f t="shared" si="1"/>
        <v>15</v>
      </c>
      <c r="B17" s="228"/>
      <c r="C17" s="212" t="s">
        <v>227</v>
      </c>
      <c r="D17" s="212" t="s">
        <v>3403</v>
      </c>
      <c r="E17" s="212" t="s">
        <v>92</v>
      </c>
      <c r="F17" s="212" t="s">
        <v>3409</v>
      </c>
      <c r="G17" s="227"/>
      <c r="H17" s="227" t="s">
        <v>3410</v>
      </c>
      <c r="I17" s="227" t="s">
        <v>3411</v>
      </c>
      <c r="J17" s="242" t="s">
        <v>92</v>
      </c>
      <c r="K17" s="215" t="s">
        <v>33</v>
      </c>
      <c r="L17" s="224"/>
      <c r="M17" s="224"/>
      <c r="N17" s="217"/>
      <c r="O17" s="210"/>
    </row>
    <row r="18">
      <c r="A18" s="212">
        <f t="shared" si="1"/>
        <v>16</v>
      </c>
      <c r="B18" s="228"/>
      <c r="C18" s="212" t="s">
        <v>227</v>
      </c>
      <c r="D18" s="212" t="s">
        <v>3403</v>
      </c>
      <c r="E18" s="212" t="s">
        <v>92</v>
      </c>
      <c r="F18" s="212" t="s">
        <v>3412</v>
      </c>
      <c r="G18" s="227"/>
      <c r="H18" s="227" t="s">
        <v>3413</v>
      </c>
      <c r="I18" s="227" t="s">
        <v>3414</v>
      </c>
      <c r="J18" s="214" t="s">
        <v>3406</v>
      </c>
      <c r="K18" s="215" t="s">
        <v>33</v>
      </c>
      <c r="L18" s="224"/>
      <c r="M18" s="224"/>
      <c r="N18" s="217"/>
      <c r="O18" s="210"/>
    </row>
    <row r="19">
      <c r="A19" s="212">
        <f t="shared" si="1"/>
        <v>17</v>
      </c>
      <c r="B19" s="228"/>
      <c r="C19" s="212" t="s">
        <v>227</v>
      </c>
      <c r="D19" s="212" t="s">
        <v>3403</v>
      </c>
      <c r="E19" s="212" t="s">
        <v>92</v>
      </c>
      <c r="F19" s="212" t="s">
        <v>3415</v>
      </c>
      <c r="G19" s="227"/>
      <c r="H19" s="227" t="s">
        <v>3416</v>
      </c>
      <c r="I19" s="227" t="s">
        <v>3417</v>
      </c>
      <c r="J19" s="214" t="s">
        <v>3406</v>
      </c>
      <c r="K19" s="215" t="s">
        <v>33</v>
      </c>
      <c r="L19" s="226"/>
      <c r="M19" s="224"/>
      <c r="N19" s="217"/>
      <c r="O19" s="210"/>
    </row>
    <row r="20">
      <c r="A20" s="212">
        <f t="shared" si="1"/>
        <v>18</v>
      </c>
      <c r="B20" s="228"/>
      <c r="C20" s="212" t="s">
        <v>227</v>
      </c>
      <c r="D20" s="212" t="s">
        <v>3403</v>
      </c>
      <c r="E20" s="212" t="s">
        <v>3418</v>
      </c>
      <c r="F20" s="212" t="s">
        <v>613</v>
      </c>
      <c r="G20" s="224"/>
      <c r="H20" s="227" t="s">
        <v>3419</v>
      </c>
      <c r="I20" s="227" t="s">
        <v>3420</v>
      </c>
      <c r="J20" s="214" t="s">
        <v>3406</v>
      </c>
      <c r="K20" s="215"/>
      <c r="L20" s="226"/>
      <c r="M20" s="227"/>
      <c r="N20" s="217"/>
      <c r="O20" s="210"/>
    </row>
    <row r="21">
      <c r="A21" s="212">
        <f t="shared" si="1"/>
        <v>19</v>
      </c>
      <c r="B21" s="228"/>
      <c r="C21" s="212" t="s">
        <v>227</v>
      </c>
      <c r="D21" s="212" t="s">
        <v>3403</v>
      </c>
      <c r="E21" s="212" t="s">
        <v>3418</v>
      </c>
      <c r="F21" s="212" t="s">
        <v>1229</v>
      </c>
      <c r="G21" s="224"/>
      <c r="H21" s="227" t="s">
        <v>1230</v>
      </c>
      <c r="I21" s="227" t="s">
        <v>3421</v>
      </c>
      <c r="J21" s="242" t="s">
        <v>92</v>
      </c>
      <c r="K21" s="215" t="s">
        <v>33</v>
      </c>
      <c r="L21" s="224"/>
      <c r="M21" s="224"/>
      <c r="N21" s="217"/>
      <c r="O21" s="210"/>
    </row>
    <row r="22">
      <c r="A22" s="212">
        <f t="shared" si="1"/>
        <v>20</v>
      </c>
      <c r="B22" s="228"/>
      <c r="C22" s="212" t="s">
        <v>227</v>
      </c>
      <c r="D22" s="212" t="s">
        <v>3403</v>
      </c>
      <c r="E22" s="212" t="s">
        <v>3418</v>
      </c>
      <c r="F22" s="212" t="s">
        <v>3373</v>
      </c>
      <c r="G22" s="224"/>
      <c r="H22" s="227" t="s">
        <v>3374</v>
      </c>
      <c r="I22" s="227" t="s">
        <v>3422</v>
      </c>
      <c r="J22" s="242" t="s">
        <v>92</v>
      </c>
      <c r="K22" s="215" t="s">
        <v>33</v>
      </c>
      <c r="L22" s="224"/>
      <c r="M22" s="224"/>
      <c r="N22" s="217"/>
      <c r="O22" s="210"/>
    </row>
    <row r="23">
      <c r="A23" s="212">
        <f t="shared" si="1"/>
        <v>21</v>
      </c>
      <c r="B23" s="228"/>
      <c r="C23" s="212" t="s">
        <v>227</v>
      </c>
      <c r="D23" s="212" t="s">
        <v>3403</v>
      </c>
      <c r="E23" s="212" t="s">
        <v>3418</v>
      </c>
      <c r="F23" s="212" t="s">
        <v>3423</v>
      </c>
      <c r="G23" s="224"/>
      <c r="H23" s="227" t="s">
        <v>3424</v>
      </c>
      <c r="I23" s="227" t="s">
        <v>3425</v>
      </c>
      <c r="J23" s="242" t="s">
        <v>92</v>
      </c>
      <c r="K23" s="215"/>
      <c r="L23" s="224"/>
      <c r="M23" s="224"/>
      <c r="N23" s="217"/>
      <c r="O23" s="210"/>
    </row>
    <row r="24">
      <c r="A24" s="212">
        <f t="shared" si="1"/>
        <v>22</v>
      </c>
      <c r="B24" s="228"/>
      <c r="C24" s="212" t="s">
        <v>227</v>
      </c>
      <c r="D24" s="212" t="s">
        <v>3403</v>
      </c>
      <c r="E24" s="212" t="s">
        <v>3418</v>
      </c>
      <c r="F24" s="212" t="s">
        <v>3426</v>
      </c>
      <c r="G24" s="224"/>
      <c r="H24" s="227" t="s">
        <v>3427</v>
      </c>
      <c r="I24" s="227" t="s">
        <v>3428</v>
      </c>
      <c r="J24" s="242" t="s">
        <v>92</v>
      </c>
      <c r="K24" s="215"/>
      <c r="L24" s="224"/>
      <c r="M24" s="224"/>
      <c r="N24" s="217"/>
      <c r="O24" s="210"/>
    </row>
    <row r="25">
      <c r="A25" s="212">
        <f t="shared" si="1"/>
        <v>23</v>
      </c>
      <c r="B25" s="228"/>
      <c r="C25" s="212" t="s">
        <v>227</v>
      </c>
      <c r="D25" s="212" t="s">
        <v>3403</v>
      </c>
      <c r="E25" s="212" t="s">
        <v>3418</v>
      </c>
      <c r="F25" s="212" t="s">
        <v>3429</v>
      </c>
      <c r="G25" s="224"/>
      <c r="H25" s="227" t="s">
        <v>3430</v>
      </c>
      <c r="I25" s="227" t="s">
        <v>3431</v>
      </c>
      <c r="J25" s="242" t="s">
        <v>92</v>
      </c>
      <c r="K25" s="215"/>
      <c r="L25" s="224"/>
      <c r="M25" s="224"/>
      <c r="N25" s="217"/>
      <c r="O25" s="210"/>
    </row>
    <row r="26">
      <c r="A26" s="212">
        <f t="shared" si="1"/>
        <v>24</v>
      </c>
      <c r="B26" s="228"/>
      <c r="C26" s="212" t="s">
        <v>227</v>
      </c>
      <c r="D26" s="212" t="s">
        <v>3403</v>
      </c>
      <c r="E26" s="212" t="s">
        <v>92</v>
      </c>
      <c r="F26" s="225" t="s">
        <v>3015</v>
      </c>
      <c r="G26" s="254" t="s">
        <v>3432</v>
      </c>
      <c r="H26" s="219" t="s">
        <v>3017</v>
      </c>
      <c r="I26" s="217" t="s">
        <v>3433</v>
      </c>
      <c r="J26" s="242" t="s">
        <v>92</v>
      </c>
      <c r="K26" s="215" t="s">
        <v>33</v>
      </c>
      <c r="L26" s="224"/>
      <c r="M26" s="224"/>
      <c r="N26" s="217"/>
      <c r="O26" s="210"/>
    </row>
    <row r="27">
      <c r="A27" s="212">
        <f t="shared" si="1"/>
        <v>25</v>
      </c>
      <c r="B27" s="261"/>
      <c r="C27" s="212" t="s">
        <v>227</v>
      </c>
      <c r="D27" s="212" t="s">
        <v>3403</v>
      </c>
      <c r="E27" s="212" t="s">
        <v>92</v>
      </c>
      <c r="F27" s="39"/>
      <c r="G27" s="39"/>
      <c r="H27" s="217" t="s">
        <v>3434</v>
      </c>
      <c r="I27" s="213" t="s">
        <v>3435</v>
      </c>
      <c r="J27" s="242" t="s">
        <v>92</v>
      </c>
      <c r="K27" s="215" t="s">
        <v>33</v>
      </c>
      <c r="L27" s="224"/>
      <c r="M27" s="224"/>
      <c r="N27" s="217"/>
      <c r="O27" s="210"/>
    </row>
    <row r="28">
      <c r="A28" s="212">
        <f t="shared" si="1"/>
        <v>26</v>
      </c>
      <c r="B28" s="261"/>
      <c r="C28" s="212" t="s">
        <v>3436</v>
      </c>
      <c r="D28" s="212" t="s">
        <v>92</v>
      </c>
      <c r="E28" s="212" t="s">
        <v>92</v>
      </c>
      <c r="F28" s="212" t="s">
        <v>613</v>
      </c>
      <c r="G28" s="213"/>
      <c r="H28" s="213" t="s">
        <v>3437</v>
      </c>
      <c r="I28" s="213" t="s">
        <v>3438</v>
      </c>
      <c r="J28" s="256" t="s">
        <v>232</v>
      </c>
      <c r="K28" s="215"/>
      <c r="L28" s="224"/>
      <c r="M28" s="224"/>
      <c r="N28" s="217"/>
      <c r="O28" s="210"/>
    </row>
    <row r="29">
      <c r="A29" s="212">
        <f t="shared" si="1"/>
        <v>27</v>
      </c>
      <c r="B29" s="261"/>
      <c r="C29" s="212" t="s">
        <v>3436</v>
      </c>
      <c r="D29" s="212" t="s">
        <v>3372</v>
      </c>
      <c r="E29" s="212" t="s">
        <v>92</v>
      </c>
      <c r="F29" s="212" t="s">
        <v>3373</v>
      </c>
      <c r="G29" s="217"/>
      <c r="H29" s="213" t="s">
        <v>3374</v>
      </c>
      <c r="I29" s="213" t="s">
        <v>3439</v>
      </c>
      <c r="J29" s="256" t="s">
        <v>3440</v>
      </c>
      <c r="K29" s="215"/>
      <c r="L29" s="224"/>
      <c r="M29" s="224"/>
      <c r="N29" s="217"/>
      <c r="O29" s="210"/>
    </row>
    <row r="30">
      <c r="A30" s="212">
        <f t="shared" si="1"/>
        <v>28</v>
      </c>
      <c r="B30" s="261"/>
      <c r="C30" s="212" t="s">
        <v>3436</v>
      </c>
      <c r="D30" s="212" t="s">
        <v>3372</v>
      </c>
      <c r="E30" s="212" t="s">
        <v>92</v>
      </c>
      <c r="F30" s="212" t="s">
        <v>1378</v>
      </c>
      <c r="G30" s="217"/>
      <c r="H30" s="213" t="s">
        <v>1379</v>
      </c>
      <c r="I30" s="213" t="s">
        <v>3441</v>
      </c>
      <c r="J30" s="256" t="s">
        <v>3440</v>
      </c>
      <c r="K30" s="215"/>
      <c r="L30" s="224"/>
      <c r="M30" s="224"/>
      <c r="N30" s="217"/>
      <c r="O30" s="210"/>
    </row>
    <row r="31">
      <c r="A31" s="212">
        <f t="shared" si="1"/>
        <v>29</v>
      </c>
      <c r="B31" s="261"/>
      <c r="C31" s="212" t="s">
        <v>3436</v>
      </c>
      <c r="D31" s="212" t="s">
        <v>3442</v>
      </c>
      <c r="E31" s="212" t="s">
        <v>92</v>
      </c>
      <c r="F31" s="212" t="s">
        <v>613</v>
      </c>
      <c r="G31" s="216"/>
      <c r="H31" s="213" t="s">
        <v>3379</v>
      </c>
      <c r="I31" s="217" t="s">
        <v>3443</v>
      </c>
      <c r="J31" s="256" t="s">
        <v>3444</v>
      </c>
      <c r="K31" s="215"/>
      <c r="L31" s="224"/>
      <c r="M31" s="224"/>
      <c r="N31" s="217"/>
      <c r="O31" s="210"/>
    </row>
    <row r="32">
      <c r="A32" s="212">
        <f t="shared" si="1"/>
        <v>30</v>
      </c>
      <c r="B32" s="261"/>
      <c r="C32" s="212" t="s">
        <v>3436</v>
      </c>
      <c r="D32" s="212" t="s">
        <v>3442</v>
      </c>
      <c r="E32" s="212" t="s">
        <v>92</v>
      </c>
      <c r="F32" s="225" t="s">
        <v>3024</v>
      </c>
      <c r="G32" s="224"/>
      <c r="H32" s="213" t="s">
        <v>3382</v>
      </c>
      <c r="I32" s="217" t="s">
        <v>3445</v>
      </c>
      <c r="J32" s="256" t="s">
        <v>3446</v>
      </c>
      <c r="K32" s="215"/>
      <c r="L32" s="224"/>
      <c r="M32" s="224"/>
      <c r="N32" s="217"/>
      <c r="O32" s="210"/>
    </row>
    <row r="33">
      <c r="A33" s="212">
        <f t="shared" si="1"/>
        <v>31</v>
      </c>
      <c r="B33" s="261"/>
      <c r="C33" s="212" t="s">
        <v>3436</v>
      </c>
      <c r="D33" s="212" t="s">
        <v>3442</v>
      </c>
      <c r="E33" s="212" t="s">
        <v>92</v>
      </c>
      <c r="F33" s="39"/>
      <c r="G33" s="227"/>
      <c r="H33" s="213" t="s">
        <v>3385</v>
      </c>
      <c r="I33" s="217" t="s">
        <v>3447</v>
      </c>
      <c r="J33" s="259" t="s">
        <v>92</v>
      </c>
      <c r="K33" s="215"/>
      <c r="L33" s="226"/>
      <c r="M33" s="224"/>
      <c r="N33" s="217"/>
      <c r="O33" s="210"/>
    </row>
    <row r="34">
      <c r="A34" s="212">
        <f t="shared" si="1"/>
        <v>32</v>
      </c>
      <c r="B34" s="261"/>
      <c r="C34" s="212" t="s">
        <v>3436</v>
      </c>
      <c r="D34" s="212" t="s">
        <v>3442</v>
      </c>
      <c r="E34" s="212" t="s">
        <v>92</v>
      </c>
      <c r="F34" s="225" t="s">
        <v>635</v>
      </c>
      <c r="G34" s="227"/>
      <c r="H34" s="213" t="s">
        <v>3448</v>
      </c>
      <c r="I34" s="227" t="s">
        <v>3449</v>
      </c>
      <c r="J34" s="256" t="s">
        <v>3446</v>
      </c>
      <c r="K34" s="215"/>
      <c r="L34" s="226"/>
      <c r="M34" s="224"/>
      <c r="N34" s="217"/>
      <c r="O34" s="210"/>
    </row>
    <row r="35">
      <c r="A35" s="212">
        <f t="shared" si="1"/>
        <v>33</v>
      </c>
      <c r="B35" s="261"/>
      <c r="C35" s="212" t="s">
        <v>3436</v>
      </c>
      <c r="D35" s="212" t="s">
        <v>3442</v>
      </c>
      <c r="E35" s="212" t="s">
        <v>92</v>
      </c>
      <c r="F35" s="39"/>
      <c r="G35" s="227"/>
      <c r="H35" s="213" t="s">
        <v>3450</v>
      </c>
      <c r="I35" s="227" t="s">
        <v>3451</v>
      </c>
      <c r="J35" s="259" t="s">
        <v>92</v>
      </c>
      <c r="K35" s="215"/>
      <c r="L35" s="226"/>
      <c r="M35" s="224"/>
      <c r="N35" s="217"/>
      <c r="O35" s="210"/>
    </row>
    <row r="36">
      <c r="A36" s="212">
        <f t="shared" si="1"/>
        <v>34</v>
      </c>
      <c r="B36" s="261"/>
      <c r="C36" s="212" t="s">
        <v>3436</v>
      </c>
      <c r="D36" s="212" t="s">
        <v>3442</v>
      </c>
      <c r="E36" s="212" t="s">
        <v>92</v>
      </c>
      <c r="F36" s="212" t="s">
        <v>608</v>
      </c>
      <c r="G36" s="227" t="s">
        <v>3387</v>
      </c>
      <c r="H36" s="213" t="s">
        <v>1479</v>
      </c>
      <c r="I36" s="227" t="s">
        <v>3388</v>
      </c>
      <c r="J36" s="256" t="s">
        <v>3452</v>
      </c>
      <c r="K36" s="215"/>
      <c r="L36" s="226"/>
      <c r="M36" s="224"/>
      <c r="N36" s="217"/>
      <c r="O36" s="210"/>
    </row>
    <row r="37">
      <c r="A37" s="212">
        <f t="shared" si="1"/>
        <v>35</v>
      </c>
      <c r="B37" s="261"/>
      <c r="C37" s="212" t="s">
        <v>3436</v>
      </c>
      <c r="D37" s="212" t="s">
        <v>3442</v>
      </c>
      <c r="E37" s="212" t="s">
        <v>92</v>
      </c>
      <c r="F37" s="225" t="s">
        <v>1310</v>
      </c>
      <c r="G37" s="227"/>
      <c r="H37" s="213" t="s">
        <v>3389</v>
      </c>
      <c r="I37" s="227" t="s">
        <v>3453</v>
      </c>
      <c r="J37" s="259" t="s">
        <v>92</v>
      </c>
      <c r="K37" s="215"/>
      <c r="L37" s="224"/>
      <c r="M37" s="224"/>
      <c r="N37" s="217"/>
      <c r="O37" s="210"/>
    </row>
    <row r="38">
      <c r="A38" s="212">
        <f t="shared" si="1"/>
        <v>36</v>
      </c>
      <c r="B38" s="261"/>
      <c r="C38" s="212" t="s">
        <v>3436</v>
      </c>
      <c r="D38" s="212" t="s">
        <v>3442</v>
      </c>
      <c r="E38" s="212" t="s">
        <v>92</v>
      </c>
      <c r="F38" s="39"/>
      <c r="G38" s="227" t="s">
        <v>3387</v>
      </c>
      <c r="H38" s="213" t="s">
        <v>1863</v>
      </c>
      <c r="I38" s="227" t="s">
        <v>3454</v>
      </c>
      <c r="J38" s="256" t="s">
        <v>3452</v>
      </c>
      <c r="K38" s="215"/>
      <c r="L38" s="224"/>
      <c r="M38" s="224"/>
      <c r="N38" s="217"/>
      <c r="O38" s="210"/>
    </row>
    <row r="39">
      <c r="A39" s="212">
        <f t="shared" si="1"/>
        <v>37</v>
      </c>
      <c r="B39" s="261"/>
      <c r="C39" s="212" t="s">
        <v>3436</v>
      </c>
      <c r="D39" s="212" t="s">
        <v>3455</v>
      </c>
      <c r="E39" s="212" t="s">
        <v>92</v>
      </c>
      <c r="F39" s="212" t="s">
        <v>613</v>
      </c>
      <c r="G39" s="224"/>
      <c r="H39" s="227" t="s">
        <v>3456</v>
      </c>
      <c r="I39" s="227" t="s">
        <v>3457</v>
      </c>
      <c r="J39" s="256" t="s">
        <v>3458</v>
      </c>
      <c r="K39" s="215"/>
      <c r="L39" s="224"/>
      <c r="M39" s="224"/>
      <c r="N39" s="217"/>
      <c r="O39" s="210"/>
    </row>
    <row r="40">
      <c r="A40" s="212">
        <f t="shared" si="1"/>
        <v>38</v>
      </c>
      <c r="B40" s="261"/>
      <c r="C40" s="212" t="s">
        <v>3436</v>
      </c>
      <c r="D40" s="212" t="s">
        <v>3455</v>
      </c>
      <c r="E40" s="212" t="s">
        <v>92</v>
      </c>
      <c r="F40" s="212" t="s">
        <v>3407</v>
      </c>
      <c r="G40" s="227" t="s">
        <v>3459</v>
      </c>
      <c r="H40" s="227" t="s">
        <v>3456</v>
      </c>
      <c r="I40" s="227" t="s">
        <v>3460</v>
      </c>
      <c r="J40" s="259" t="s">
        <v>92</v>
      </c>
      <c r="K40" s="215"/>
      <c r="L40" s="224"/>
      <c r="M40" s="224"/>
      <c r="N40" s="217"/>
      <c r="O40" s="210"/>
    </row>
    <row r="41">
      <c r="A41" s="212">
        <f t="shared" si="1"/>
        <v>39</v>
      </c>
      <c r="B41" s="261"/>
      <c r="C41" s="212" t="s">
        <v>3436</v>
      </c>
      <c r="D41" s="212" t="s">
        <v>3455</v>
      </c>
      <c r="E41" s="212" t="s">
        <v>92</v>
      </c>
      <c r="F41" s="225" t="s">
        <v>612</v>
      </c>
      <c r="G41" s="227" t="s">
        <v>3461</v>
      </c>
      <c r="H41" s="227" t="s">
        <v>3462</v>
      </c>
      <c r="I41" s="227" t="s">
        <v>3463</v>
      </c>
      <c r="J41" s="256" t="s">
        <v>3458</v>
      </c>
      <c r="K41" s="215"/>
      <c r="L41" s="224"/>
      <c r="M41" s="224"/>
      <c r="N41" s="217"/>
      <c r="O41" s="210"/>
    </row>
    <row r="42">
      <c r="A42" s="212">
        <f t="shared" si="1"/>
        <v>40</v>
      </c>
      <c r="B42" s="261"/>
      <c r="C42" s="212" t="s">
        <v>3436</v>
      </c>
      <c r="D42" s="212" t="s">
        <v>3455</v>
      </c>
      <c r="E42" s="212" t="s">
        <v>92</v>
      </c>
      <c r="F42" s="220"/>
      <c r="G42" s="227" t="s">
        <v>3464</v>
      </c>
      <c r="H42" s="227" t="s">
        <v>3462</v>
      </c>
      <c r="I42" s="227" t="s">
        <v>3465</v>
      </c>
      <c r="J42" s="256" t="s">
        <v>3458</v>
      </c>
      <c r="K42" s="215"/>
      <c r="L42" s="226"/>
      <c r="M42" s="224"/>
      <c r="N42" s="217"/>
      <c r="O42" s="210"/>
    </row>
    <row r="43">
      <c r="A43" s="212">
        <f t="shared" si="1"/>
        <v>41</v>
      </c>
      <c r="B43" s="261"/>
      <c r="C43" s="212" t="s">
        <v>3436</v>
      </c>
      <c r="D43" s="212" t="s">
        <v>3455</v>
      </c>
      <c r="E43" s="212" t="s">
        <v>92</v>
      </c>
      <c r="F43" s="220"/>
      <c r="G43" s="227" t="s">
        <v>3466</v>
      </c>
      <c r="H43" s="227" t="s">
        <v>3462</v>
      </c>
      <c r="I43" s="227" t="s">
        <v>3467</v>
      </c>
      <c r="J43" s="256" t="s">
        <v>3458</v>
      </c>
      <c r="K43" s="215"/>
      <c r="L43" s="226"/>
      <c r="M43" s="227"/>
      <c r="N43" s="217"/>
      <c r="O43" s="210"/>
    </row>
    <row r="44">
      <c r="A44" s="212">
        <f t="shared" si="1"/>
        <v>42</v>
      </c>
      <c r="B44" s="261"/>
      <c r="C44" s="212" t="s">
        <v>3436</v>
      </c>
      <c r="D44" s="212" t="s">
        <v>3455</v>
      </c>
      <c r="E44" s="212" t="s">
        <v>92</v>
      </c>
      <c r="F44" s="39"/>
      <c r="G44" s="227" t="s">
        <v>3468</v>
      </c>
      <c r="H44" s="227" t="s">
        <v>3462</v>
      </c>
      <c r="I44" s="227" t="s">
        <v>3469</v>
      </c>
      <c r="J44" s="256" t="s">
        <v>3458</v>
      </c>
      <c r="K44" s="215"/>
      <c r="L44" s="224"/>
      <c r="M44" s="227"/>
      <c r="N44" s="217"/>
      <c r="O44" s="210"/>
    </row>
    <row r="45">
      <c r="A45" s="212">
        <f t="shared" si="1"/>
        <v>43</v>
      </c>
      <c r="B45" s="228"/>
      <c r="C45" s="212" t="s">
        <v>3436</v>
      </c>
      <c r="D45" s="212" t="s">
        <v>3470</v>
      </c>
      <c r="E45" s="212" t="s">
        <v>92</v>
      </c>
      <c r="F45" s="212" t="s">
        <v>613</v>
      </c>
      <c r="G45" s="224"/>
      <c r="H45" s="213" t="s">
        <v>3471</v>
      </c>
      <c r="I45" s="213" t="s">
        <v>3472</v>
      </c>
      <c r="J45" s="256" t="s">
        <v>3473</v>
      </c>
      <c r="K45" s="215"/>
      <c r="L45" s="224"/>
      <c r="M45" s="224"/>
      <c r="N45" s="217"/>
      <c r="O45" s="210"/>
    </row>
    <row r="46">
      <c r="A46" s="212">
        <f t="shared" si="1"/>
        <v>44</v>
      </c>
      <c r="B46" s="228"/>
      <c r="C46" s="212" t="s">
        <v>3436</v>
      </c>
      <c r="D46" s="212" t="s">
        <v>3470</v>
      </c>
      <c r="E46" s="212" t="s">
        <v>92</v>
      </c>
      <c r="F46" s="212" t="s">
        <v>3407</v>
      </c>
      <c r="G46" s="227" t="s">
        <v>3459</v>
      </c>
      <c r="H46" s="213" t="s">
        <v>3471</v>
      </c>
      <c r="I46" s="227" t="s">
        <v>3474</v>
      </c>
      <c r="J46" s="259" t="s">
        <v>92</v>
      </c>
      <c r="K46" s="215"/>
      <c r="L46" s="224"/>
      <c r="M46" s="224"/>
      <c r="N46" s="217"/>
      <c r="O46" s="210"/>
    </row>
    <row r="47">
      <c r="A47" s="212">
        <f t="shared" si="1"/>
        <v>45</v>
      </c>
      <c r="B47" s="228"/>
      <c r="C47" s="212" t="s">
        <v>3436</v>
      </c>
      <c r="D47" s="212" t="s">
        <v>3470</v>
      </c>
      <c r="E47" s="212" t="s">
        <v>92</v>
      </c>
      <c r="F47" s="225" t="s">
        <v>3475</v>
      </c>
      <c r="G47" s="227" t="s">
        <v>3461</v>
      </c>
      <c r="H47" s="213" t="s">
        <v>3476</v>
      </c>
      <c r="I47" s="213" t="s">
        <v>3477</v>
      </c>
      <c r="J47" s="256" t="s">
        <v>3473</v>
      </c>
      <c r="K47" s="215"/>
      <c r="L47" s="224"/>
      <c r="M47" s="224"/>
      <c r="N47" s="217"/>
      <c r="O47" s="210"/>
    </row>
    <row r="48">
      <c r="A48" s="212">
        <f t="shared" si="1"/>
        <v>46</v>
      </c>
      <c r="B48" s="228"/>
      <c r="C48" s="212" t="s">
        <v>3436</v>
      </c>
      <c r="D48" s="212" t="s">
        <v>3470</v>
      </c>
      <c r="E48" s="212" t="s">
        <v>92</v>
      </c>
      <c r="F48" s="220"/>
      <c r="G48" s="227" t="s">
        <v>3464</v>
      </c>
      <c r="H48" s="213" t="s">
        <v>3476</v>
      </c>
      <c r="I48" s="213" t="s">
        <v>3478</v>
      </c>
      <c r="J48" s="256" t="s">
        <v>3473</v>
      </c>
      <c r="K48" s="215"/>
      <c r="L48" s="224"/>
      <c r="M48" s="224"/>
      <c r="N48" s="217"/>
      <c r="O48" s="210"/>
    </row>
    <row r="49">
      <c r="A49" s="212">
        <f t="shared" si="1"/>
        <v>47</v>
      </c>
      <c r="B49" s="228"/>
      <c r="C49" s="212" t="s">
        <v>3436</v>
      </c>
      <c r="D49" s="212" t="s">
        <v>3470</v>
      </c>
      <c r="E49" s="212" t="s">
        <v>92</v>
      </c>
      <c r="F49" s="220"/>
      <c r="G49" s="227" t="s">
        <v>3466</v>
      </c>
      <c r="H49" s="213" t="s">
        <v>3476</v>
      </c>
      <c r="I49" s="213" t="s">
        <v>3479</v>
      </c>
      <c r="J49" s="256" t="s">
        <v>3473</v>
      </c>
      <c r="K49" s="215"/>
      <c r="L49" s="224"/>
      <c r="M49" s="224"/>
      <c r="N49" s="217"/>
      <c r="O49" s="210"/>
    </row>
    <row r="50">
      <c r="A50" s="212">
        <f t="shared" si="1"/>
        <v>48</v>
      </c>
      <c r="B50" s="228"/>
      <c r="C50" s="212" t="s">
        <v>3436</v>
      </c>
      <c r="D50" s="212" t="s">
        <v>3470</v>
      </c>
      <c r="E50" s="212" t="s">
        <v>92</v>
      </c>
      <c r="F50" s="39"/>
      <c r="G50" s="227" t="s">
        <v>3468</v>
      </c>
      <c r="H50" s="213" t="s">
        <v>3476</v>
      </c>
      <c r="I50" s="213" t="s">
        <v>3480</v>
      </c>
      <c r="J50" s="256" t="s">
        <v>3473</v>
      </c>
      <c r="K50" s="215"/>
      <c r="L50" s="224"/>
      <c r="M50" s="224"/>
      <c r="N50" s="217"/>
      <c r="O50" s="210"/>
    </row>
    <row r="51">
      <c r="A51" s="212">
        <f t="shared" si="1"/>
        <v>49</v>
      </c>
      <c r="B51" s="228"/>
      <c r="C51" s="212" t="s">
        <v>3436</v>
      </c>
      <c r="D51" s="212" t="s">
        <v>3481</v>
      </c>
      <c r="E51" s="212" t="s">
        <v>92</v>
      </c>
      <c r="F51" s="212" t="s">
        <v>613</v>
      </c>
      <c r="G51" s="224"/>
      <c r="H51" s="213" t="s">
        <v>3482</v>
      </c>
      <c r="I51" s="213" t="s">
        <v>3483</v>
      </c>
      <c r="J51" s="256" t="s">
        <v>3484</v>
      </c>
      <c r="K51" s="215"/>
      <c r="L51" s="226"/>
      <c r="M51" s="224"/>
      <c r="N51" s="217"/>
      <c r="O51" s="210"/>
    </row>
    <row r="52">
      <c r="A52" s="212">
        <f t="shared" si="1"/>
        <v>50</v>
      </c>
      <c r="B52" s="228"/>
      <c r="C52" s="212" t="s">
        <v>3436</v>
      </c>
      <c r="D52" s="212" t="s">
        <v>3481</v>
      </c>
      <c r="E52" s="212" t="s">
        <v>92</v>
      </c>
      <c r="F52" s="212" t="s">
        <v>3407</v>
      </c>
      <c r="G52" s="227" t="s">
        <v>3459</v>
      </c>
      <c r="H52" s="213" t="s">
        <v>3482</v>
      </c>
      <c r="I52" s="227" t="s">
        <v>3474</v>
      </c>
      <c r="J52" s="259" t="s">
        <v>92</v>
      </c>
      <c r="K52" s="215"/>
      <c r="L52" s="226"/>
      <c r="M52" s="224"/>
      <c r="N52" s="217"/>
      <c r="O52" s="210"/>
    </row>
    <row r="53">
      <c r="A53" s="212">
        <f t="shared" si="1"/>
        <v>51</v>
      </c>
      <c r="B53" s="228"/>
      <c r="C53" s="212" t="s">
        <v>3436</v>
      </c>
      <c r="D53" s="212" t="s">
        <v>3481</v>
      </c>
      <c r="E53" s="212" t="s">
        <v>92</v>
      </c>
      <c r="F53" s="212" t="s">
        <v>448</v>
      </c>
      <c r="G53" s="227" t="s">
        <v>3485</v>
      </c>
      <c r="H53" s="227" t="s">
        <v>579</v>
      </c>
      <c r="I53" s="227" t="s">
        <v>3486</v>
      </c>
      <c r="J53" s="259" t="s">
        <v>92</v>
      </c>
      <c r="K53" s="215"/>
      <c r="L53" s="226"/>
      <c r="M53" s="227"/>
      <c r="N53" s="217"/>
      <c r="O53" s="210"/>
    </row>
    <row r="54">
      <c r="A54" s="212">
        <f t="shared" si="1"/>
        <v>52</v>
      </c>
      <c r="B54" s="228"/>
      <c r="C54" s="212" t="s">
        <v>3436</v>
      </c>
      <c r="D54" s="212" t="s">
        <v>3481</v>
      </c>
      <c r="E54" s="212" t="s">
        <v>92</v>
      </c>
      <c r="F54" s="285" t="s">
        <v>3487</v>
      </c>
      <c r="G54" s="227"/>
      <c r="H54" s="213" t="s">
        <v>3488</v>
      </c>
      <c r="I54" s="213" t="s">
        <v>3489</v>
      </c>
      <c r="J54" s="256" t="s">
        <v>3484</v>
      </c>
      <c r="K54" s="215"/>
      <c r="L54" s="226"/>
      <c r="M54" s="224"/>
      <c r="N54" s="217"/>
      <c r="O54" s="210"/>
    </row>
    <row r="55">
      <c r="A55" s="212">
        <f t="shared" si="1"/>
        <v>53</v>
      </c>
      <c r="B55" s="228"/>
      <c r="C55" s="212" t="s">
        <v>3436</v>
      </c>
      <c r="D55" s="212" t="s">
        <v>3481</v>
      </c>
      <c r="E55" s="212" t="s">
        <v>92</v>
      </c>
      <c r="F55" s="220"/>
      <c r="G55" s="227" t="s">
        <v>3461</v>
      </c>
      <c r="H55" s="213" t="s">
        <v>3490</v>
      </c>
      <c r="I55" s="213" t="s">
        <v>3491</v>
      </c>
      <c r="J55" s="256" t="s">
        <v>3484</v>
      </c>
      <c r="K55" s="215"/>
      <c r="L55" s="226"/>
      <c r="M55" s="224"/>
      <c r="N55" s="217"/>
      <c r="O55" s="210"/>
    </row>
    <row r="56">
      <c r="A56" s="212">
        <f t="shared" si="1"/>
        <v>54</v>
      </c>
      <c r="B56" s="228"/>
      <c r="C56" s="212" t="s">
        <v>3436</v>
      </c>
      <c r="D56" s="212" t="s">
        <v>3481</v>
      </c>
      <c r="E56" s="212" t="s">
        <v>92</v>
      </c>
      <c r="F56" s="220"/>
      <c r="G56" s="227" t="s">
        <v>3464</v>
      </c>
      <c r="H56" s="213" t="s">
        <v>3490</v>
      </c>
      <c r="I56" s="213" t="s">
        <v>3492</v>
      </c>
      <c r="J56" s="256" t="s">
        <v>3484</v>
      </c>
      <c r="K56" s="215"/>
      <c r="L56" s="224"/>
      <c r="M56" s="224"/>
      <c r="N56" s="217"/>
      <c r="O56" s="210"/>
    </row>
    <row r="57">
      <c r="A57" s="212">
        <f t="shared" si="1"/>
        <v>55</v>
      </c>
      <c r="B57" s="228"/>
      <c r="C57" s="212" t="s">
        <v>3436</v>
      </c>
      <c r="D57" s="212" t="s">
        <v>3481</v>
      </c>
      <c r="E57" s="212" t="s">
        <v>92</v>
      </c>
      <c r="F57" s="220"/>
      <c r="G57" s="227" t="s">
        <v>3466</v>
      </c>
      <c r="H57" s="213" t="s">
        <v>3490</v>
      </c>
      <c r="I57" s="213" t="s">
        <v>3493</v>
      </c>
      <c r="J57" s="256" t="s">
        <v>3484</v>
      </c>
      <c r="K57" s="215"/>
      <c r="L57" s="224"/>
      <c r="M57" s="224"/>
      <c r="N57" s="217"/>
      <c r="O57" s="210"/>
    </row>
    <row r="58">
      <c r="A58" s="212">
        <f t="shared" si="1"/>
        <v>56</v>
      </c>
      <c r="B58" s="228"/>
      <c r="C58" s="212" t="s">
        <v>3436</v>
      </c>
      <c r="D58" s="212" t="s">
        <v>3481</v>
      </c>
      <c r="E58" s="212" t="s">
        <v>92</v>
      </c>
      <c r="F58" s="39"/>
      <c r="G58" s="227" t="s">
        <v>3468</v>
      </c>
      <c r="H58" s="213" t="s">
        <v>3490</v>
      </c>
      <c r="I58" s="213" t="s">
        <v>3494</v>
      </c>
      <c r="J58" s="256" t="s">
        <v>3484</v>
      </c>
      <c r="K58" s="215"/>
      <c r="L58" s="224"/>
      <c r="M58" s="224"/>
      <c r="N58" s="217"/>
      <c r="O58" s="210"/>
    </row>
    <row r="59">
      <c r="A59" s="212">
        <f t="shared" si="1"/>
        <v>57</v>
      </c>
      <c r="B59" s="228"/>
      <c r="C59" s="212" t="s">
        <v>3436</v>
      </c>
      <c r="D59" s="212" t="s">
        <v>3481</v>
      </c>
      <c r="E59" s="212" t="s">
        <v>92</v>
      </c>
      <c r="F59" s="212" t="s">
        <v>3495</v>
      </c>
      <c r="G59" s="227"/>
      <c r="H59" s="227" t="s">
        <v>3496</v>
      </c>
      <c r="I59" s="227" t="s">
        <v>3497</v>
      </c>
      <c r="J59" s="256" t="s">
        <v>3484</v>
      </c>
      <c r="K59" s="215"/>
      <c r="L59" s="224"/>
      <c r="M59" s="224"/>
      <c r="N59" s="217"/>
      <c r="O59" s="210"/>
    </row>
    <row r="60">
      <c r="A60" s="212"/>
      <c r="B60" s="228"/>
      <c r="C60" s="212"/>
      <c r="D60" s="212"/>
      <c r="E60" s="212"/>
      <c r="F60" s="212"/>
      <c r="G60" s="224"/>
      <c r="H60" s="227"/>
      <c r="I60" s="227"/>
      <c r="J60" s="259"/>
      <c r="K60" s="215"/>
      <c r="L60" s="224"/>
      <c r="M60" s="227"/>
      <c r="N60" s="217"/>
      <c r="O60" s="210"/>
    </row>
    <row r="61">
      <c r="A61" s="212"/>
      <c r="B61" s="228"/>
      <c r="C61" s="212"/>
      <c r="D61" s="212"/>
      <c r="E61" s="212"/>
      <c r="F61" s="212"/>
      <c r="G61" s="224"/>
      <c r="H61" s="227"/>
      <c r="I61" s="213"/>
      <c r="J61" s="259"/>
      <c r="K61" s="215"/>
      <c r="L61" s="224"/>
      <c r="M61" s="224"/>
      <c r="N61" s="217"/>
      <c r="O61" s="210"/>
    </row>
    <row r="62">
      <c r="A62" s="212"/>
      <c r="B62" s="228"/>
      <c r="C62" s="212"/>
      <c r="D62" s="212"/>
      <c r="E62" s="212"/>
      <c r="F62" s="212"/>
      <c r="G62" s="224"/>
      <c r="H62" s="213"/>
      <c r="I62" s="227"/>
      <c r="J62" s="259"/>
      <c r="K62" s="215"/>
      <c r="L62" s="224"/>
      <c r="M62" s="224"/>
      <c r="N62" s="217"/>
      <c r="O62" s="210"/>
    </row>
    <row r="63">
      <c r="A63" s="212"/>
      <c r="B63" s="228"/>
      <c r="C63" s="212"/>
      <c r="D63" s="212"/>
      <c r="E63" s="212"/>
      <c r="F63" s="212"/>
      <c r="G63" s="224"/>
      <c r="H63" s="213"/>
      <c r="I63" s="227"/>
      <c r="J63" s="259"/>
      <c r="K63" s="215"/>
      <c r="L63" s="224"/>
      <c r="M63" s="224"/>
      <c r="N63" s="217"/>
      <c r="O63" s="210"/>
    </row>
    <row r="64">
      <c r="A64" s="212"/>
      <c r="B64" s="228"/>
      <c r="C64" s="212"/>
      <c r="D64" s="212"/>
      <c r="E64" s="212"/>
      <c r="F64" s="212"/>
      <c r="G64" s="216"/>
      <c r="H64" s="213"/>
      <c r="I64" s="217"/>
      <c r="J64" s="259"/>
      <c r="K64" s="215"/>
      <c r="L64" s="224"/>
      <c r="M64" s="224"/>
      <c r="N64" s="217"/>
      <c r="O64" s="210"/>
    </row>
    <row r="65">
      <c r="A65" s="212"/>
      <c r="B65" s="228"/>
      <c r="C65" s="212"/>
      <c r="D65" s="212"/>
      <c r="E65" s="212"/>
      <c r="F65" s="212"/>
      <c r="G65" s="217"/>
      <c r="H65" s="213"/>
      <c r="I65" s="217"/>
      <c r="J65" s="259"/>
      <c r="K65" s="215"/>
      <c r="L65" s="224"/>
      <c r="M65" s="224"/>
      <c r="N65" s="217"/>
      <c r="O65" s="210"/>
    </row>
    <row r="66">
      <c r="A66" s="224"/>
      <c r="B66" s="228"/>
      <c r="C66" s="212"/>
      <c r="D66" s="212"/>
      <c r="E66" s="212"/>
      <c r="F66" s="212"/>
      <c r="G66" s="224"/>
      <c r="H66" s="224"/>
      <c r="I66" s="224"/>
      <c r="J66" s="228"/>
      <c r="K66" s="224"/>
      <c r="L66" s="224"/>
      <c r="M66" s="224"/>
      <c r="N66" s="224"/>
      <c r="O66" s="210"/>
    </row>
    <row r="67">
      <c r="A67" s="224"/>
      <c r="B67" s="228"/>
      <c r="C67" s="228"/>
      <c r="D67" s="228"/>
      <c r="E67" s="228"/>
      <c r="F67" s="228"/>
      <c r="G67" s="224"/>
      <c r="H67" s="224"/>
      <c r="I67" s="224"/>
      <c r="J67" s="228"/>
      <c r="K67" s="224"/>
      <c r="L67" s="224"/>
      <c r="M67" s="224"/>
      <c r="N67" s="224"/>
      <c r="O67" s="210"/>
    </row>
  </sheetData>
  <mergeCells count="22">
    <mergeCell ref="K1:K2"/>
    <mergeCell ref="L1:L2"/>
    <mergeCell ref="M1:M2"/>
    <mergeCell ref="N1:N2"/>
    <mergeCell ref="A1:A2"/>
    <mergeCell ref="C1:E1"/>
    <mergeCell ref="F1:F2"/>
    <mergeCell ref="G1:G2"/>
    <mergeCell ref="H1:H2"/>
    <mergeCell ref="I1:I2"/>
    <mergeCell ref="J1:J2"/>
    <mergeCell ref="F37:F38"/>
    <mergeCell ref="F41:F44"/>
    <mergeCell ref="F47:F50"/>
    <mergeCell ref="F54:F58"/>
    <mergeCell ref="F7:F8"/>
    <mergeCell ref="F10:F11"/>
    <mergeCell ref="F13:F14"/>
    <mergeCell ref="F26:F27"/>
    <mergeCell ref="G26:G27"/>
    <mergeCell ref="F32:F33"/>
    <mergeCell ref="F34:F35"/>
  </mergeCells>
  <conditionalFormatting sqref="K3:K65">
    <cfRule type="cellIs" dxfId="4" priority="1" operator="equal">
      <formula>"PASS"</formula>
    </cfRule>
  </conditionalFormatting>
  <conditionalFormatting sqref="K3:K65">
    <cfRule type="cellIs" dxfId="5" priority="2" operator="equal">
      <formula>"FAIL"</formula>
    </cfRule>
  </conditionalFormatting>
  <conditionalFormatting sqref="K3:K65">
    <cfRule type="cellIs" dxfId="6" priority="3" operator="equal">
      <formula>"N/A"</formula>
    </cfRule>
  </conditionalFormatting>
  <conditionalFormatting sqref="K3:K65">
    <cfRule type="cellIs" dxfId="7" priority="4" operator="equal">
      <formula>"N/T"</formula>
    </cfRule>
  </conditionalFormatting>
  <dataValidations>
    <dataValidation type="list" allowBlank="1" sqref="K3:K65">
      <formula1>"PASS,FAIL,N/A,N/T"</formula1>
    </dataValidation>
  </dataValidation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1"/>
    <hyperlink r:id="rId9" ref="J12"/>
    <hyperlink r:id="rId10" ref="J13"/>
    <hyperlink r:id="rId11" ref="J14"/>
    <hyperlink r:id="rId12" ref="J15"/>
    <hyperlink r:id="rId13" ref="J18"/>
    <hyperlink r:id="rId14" ref="J19"/>
    <hyperlink r:id="rId15" ref="J20"/>
    <hyperlink r:id="rId16" ref="J28"/>
    <hyperlink r:id="rId17" ref="J29"/>
    <hyperlink r:id="rId18" ref="J30"/>
    <hyperlink r:id="rId19" ref="J31"/>
    <hyperlink r:id="rId20" ref="J32"/>
    <hyperlink r:id="rId21" ref="J34"/>
    <hyperlink r:id="rId22" ref="J36"/>
    <hyperlink r:id="rId23" ref="J38"/>
    <hyperlink r:id="rId24" ref="J39"/>
    <hyperlink r:id="rId25" ref="J41"/>
    <hyperlink r:id="rId26" ref="J42"/>
    <hyperlink r:id="rId27" ref="J43"/>
    <hyperlink r:id="rId28" ref="J44"/>
    <hyperlink r:id="rId29" ref="J45"/>
    <hyperlink r:id="rId30" ref="J47"/>
    <hyperlink r:id="rId31" ref="J48"/>
    <hyperlink r:id="rId32" ref="J49"/>
    <hyperlink r:id="rId33" ref="J50"/>
    <hyperlink r:id="rId34" ref="J51"/>
    <hyperlink r:id="rId35" ref="J54"/>
    <hyperlink r:id="rId36" ref="J55"/>
    <hyperlink r:id="rId37" ref="J56"/>
    <hyperlink r:id="rId38" ref="J57"/>
    <hyperlink r:id="rId39" ref="J58"/>
    <hyperlink r:id="rId40" ref="J59"/>
  </hyperlinks>
  <drawing r:id="rId4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152" t="s">
        <v>75</v>
      </c>
      <c r="D2" s="153" t="s">
        <v>76</v>
      </c>
      <c r="E2" s="153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227" si="1">COUNTA($I$3:$I3)</f>
        <v>1</v>
      </c>
      <c r="B3" s="212" t="s">
        <v>47</v>
      </c>
      <c r="C3" s="212" t="s">
        <v>234</v>
      </c>
      <c r="D3" s="212" t="s">
        <v>92</v>
      </c>
      <c r="E3" s="212" t="s">
        <v>92</v>
      </c>
      <c r="F3" s="212" t="s">
        <v>613</v>
      </c>
      <c r="G3" s="213"/>
      <c r="H3" s="213" t="s">
        <v>3498</v>
      </c>
      <c r="I3" s="213" t="s">
        <v>3499</v>
      </c>
      <c r="J3" s="214" t="s">
        <v>234</v>
      </c>
      <c r="K3" s="215" t="s">
        <v>33</v>
      </c>
      <c r="L3" s="216"/>
      <c r="M3" s="216"/>
      <c r="N3" s="217"/>
      <c r="O3" s="210"/>
    </row>
    <row r="4">
      <c r="A4" s="212">
        <f t="shared" si="1"/>
        <v>2</v>
      </c>
      <c r="B4" s="212"/>
      <c r="C4" s="212" t="s">
        <v>234</v>
      </c>
      <c r="D4" s="212" t="s">
        <v>3372</v>
      </c>
      <c r="E4" s="212" t="s">
        <v>92</v>
      </c>
      <c r="F4" s="212" t="s">
        <v>3373</v>
      </c>
      <c r="G4" s="217"/>
      <c r="H4" s="213" t="s">
        <v>3374</v>
      </c>
      <c r="I4" s="213" t="s">
        <v>3500</v>
      </c>
      <c r="J4" s="214" t="s">
        <v>234</v>
      </c>
      <c r="K4" s="215" t="s">
        <v>33</v>
      </c>
      <c r="L4" s="216"/>
      <c r="M4" s="216"/>
      <c r="N4" s="217"/>
      <c r="O4" s="210"/>
    </row>
    <row r="5">
      <c r="A5" s="212">
        <f t="shared" si="1"/>
        <v>3</v>
      </c>
      <c r="B5" s="212"/>
      <c r="C5" s="212" t="s">
        <v>234</v>
      </c>
      <c r="D5" s="212" t="s">
        <v>3372</v>
      </c>
      <c r="E5" s="212" t="s">
        <v>92</v>
      </c>
      <c r="F5" s="212" t="s">
        <v>1378</v>
      </c>
      <c r="G5" s="217"/>
      <c r="H5" s="213" t="s">
        <v>1379</v>
      </c>
      <c r="I5" s="213" t="s">
        <v>3501</v>
      </c>
      <c r="J5" s="214" t="s">
        <v>234</v>
      </c>
      <c r="K5" s="215" t="s">
        <v>33</v>
      </c>
      <c r="L5" s="216"/>
      <c r="M5" s="216"/>
      <c r="N5" s="217"/>
      <c r="O5" s="210"/>
    </row>
    <row r="6">
      <c r="A6" s="212">
        <f t="shared" si="1"/>
        <v>4</v>
      </c>
      <c r="B6" s="212"/>
      <c r="C6" s="212" t="s">
        <v>234</v>
      </c>
      <c r="D6" s="212" t="s">
        <v>3502</v>
      </c>
      <c r="E6" s="212" t="s">
        <v>92</v>
      </c>
      <c r="F6" s="212" t="s">
        <v>613</v>
      </c>
      <c r="G6" s="216"/>
      <c r="H6" s="213" t="s">
        <v>3503</v>
      </c>
      <c r="I6" s="217" t="s">
        <v>3504</v>
      </c>
      <c r="J6" s="214" t="s">
        <v>234</v>
      </c>
      <c r="K6" s="215" t="s">
        <v>33</v>
      </c>
      <c r="L6" s="224"/>
      <c r="M6" s="224"/>
      <c r="N6" s="217"/>
      <c r="O6" s="210"/>
    </row>
    <row r="7">
      <c r="A7" s="212">
        <f t="shared" si="1"/>
        <v>5</v>
      </c>
      <c r="B7" s="212"/>
      <c r="C7" s="212" t="s">
        <v>234</v>
      </c>
      <c r="D7" s="212" t="s">
        <v>3502</v>
      </c>
      <c r="E7" s="212" t="s">
        <v>92</v>
      </c>
      <c r="F7" s="212" t="s">
        <v>3505</v>
      </c>
      <c r="G7" s="217"/>
      <c r="H7" s="213" t="s">
        <v>3506</v>
      </c>
      <c r="I7" s="217" t="s">
        <v>3507</v>
      </c>
      <c r="J7" s="214" t="s">
        <v>234</v>
      </c>
      <c r="K7" s="215" t="s">
        <v>33</v>
      </c>
      <c r="L7" s="226"/>
      <c r="M7" s="224"/>
      <c r="N7" s="217"/>
      <c r="O7" s="210"/>
    </row>
    <row r="8">
      <c r="A8" s="212">
        <f t="shared" si="1"/>
        <v>6</v>
      </c>
      <c r="B8" s="212"/>
      <c r="C8" s="212" t="s">
        <v>234</v>
      </c>
      <c r="D8" s="212" t="s">
        <v>3502</v>
      </c>
      <c r="E8" s="212" t="s">
        <v>92</v>
      </c>
      <c r="F8" s="212" t="s">
        <v>3508</v>
      </c>
      <c r="G8" s="217"/>
      <c r="H8" s="213" t="s">
        <v>3509</v>
      </c>
      <c r="I8" s="217" t="s">
        <v>3510</v>
      </c>
      <c r="J8" s="214" t="s">
        <v>234</v>
      </c>
      <c r="K8" s="215"/>
      <c r="L8" s="226"/>
      <c r="M8" s="224"/>
      <c r="N8" s="217"/>
      <c r="O8" s="210"/>
    </row>
    <row r="9">
      <c r="A9" s="212">
        <f t="shared" si="1"/>
        <v>7</v>
      </c>
      <c r="B9" s="228"/>
      <c r="C9" s="212" t="s">
        <v>234</v>
      </c>
      <c r="D9" s="212" t="s">
        <v>3502</v>
      </c>
      <c r="E9" s="212" t="s">
        <v>92</v>
      </c>
      <c r="F9" s="212" t="s">
        <v>3511</v>
      </c>
      <c r="G9" s="227" t="s">
        <v>3512</v>
      </c>
      <c r="H9" s="213" t="s">
        <v>3513</v>
      </c>
      <c r="I9" s="227" t="s">
        <v>3514</v>
      </c>
      <c r="J9" s="214" t="s">
        <v>234</v>
      </c>
      <c r="K9" s="215"/>
      <c r="L9" s="224"/>
      <c r="M9" s="224"/>
      <c r="N9" s="217"/>
      <c r="O9" s="210"/>
    </row>
    <row r="10">
      <c r="A10" s="212">
        <f t="shared" si="1"/>
        <v>8</v>
      </c>
      <c r="B10" s="228"/>
      <c r="C10" s="212" t="s">
        <v>234</v>
      </c>
      <c r="D10" s="212" t="s">
        <v>3515</v>
      </c>
      <c r="E10" s="212" t="s">
        <v>92</v>
      </c>
      <c r="F10" s="212" t="s">
        <v>613</v>
      </c>
      <c r="G10" s="216"/>
      <c r="H10" s="213" t="s">
        <v>3516</v>
      </c>
      <c r="I10" s="217" t="s">
        <v>3517</v>
      </c>
      <c r="J10" s="214" t="s">
        <v>234</v>
      </c>
      <c r="K10" s="215" t="s">
        <v>33</v>
      </c>
      <c r="L10" s="224"/>
      <c r="M10" s="224"/>
      <c r="N10" s="217"/>
      <c r="O10" s="210"/>
    </row>
    <row r="11">
      <c r="A11" s="212">
        <f t="shared" si="1"/>
        <v>9</v>
      </c>
      <c r="B11" s="228"/>
      <c r="C11" s="212" t="s">
        <v>234</v>
      </c>
      <c r="D11" s="212" t="s">
        <v>3515</v>
      </c>
      <c r="E11" s="212" t="s">
        <v>92</v>
      </c>
      <c r="F11" s="212" t="s">
        <v>3505</v>
      </c>
      <c r="G11" s="217"/>
      <c r="H11" s="213" t="s">
        <v>3506</v>
      </c>
      <c r="I11" s="217" t="s">
        <v>3518</v>
      </c>
      <c r="J11" s="214" t="s">
        <v>234</v>
      </c>
      <c r="K11" s="215" t="s">
        <v>33</v>
      </c>
      <c r="L11" s="224"/>
      <c r="M11" s="224"/>
      <c r="N11" s="217"/>
      <c r="O11" s="210"/>
    </row>
    <row r="12">
      <c r="A12" s="212">
        <f t="shared" si="1"/>
        <v>10</v>
      </c>
      <c r="B12" s="228"/>
      <c r="C12" s="212" t="s">
        <v>234</v>
      </c>
      <c r="D12" s="212" t="s">
        <v>3515</v>
      </c>
      <c r="E12" s="212" t="s">
        <v>92</v>
      </c>
      <c r="F12" s="212" t="s">
        <v>3519</v>
      </c>
      <c r="G12" s="227" t="s">
        <v>3520</v>
      </c>
      <c r="H12" s="213" t="s">
        <v>3521</v>
      </c>
      <c r="I12" s="227" t="s">
        <v>3522</v>
      </c>
      <c r="J12" s="214" t="s">
        <v>234</v>
      </c>
      <c r="K12" s="215"/>
      <c r="L12" s="224"/>
      <c r="M12" s="224"/>
      <c r="N12" s="217"/>
      <c r="O12" s="210"/>
    </row>
    <row r="13">
      <c r="A13" s="212">
        <f t="shared" si="1"/>
        <v>11</v>
      </c>
      <c r="B13" s="228"/>
      <c r="C13" s="212" t="s">
        <v>240</v>
      </c>
      <c r="D13" s="212" t="s">
        <v>92</v>
      </c>
      <c r="E13" s="212" t="s">
        <v>92</v>
      </c>
      <c r="F13" s="212" t="s">
        <v>613</v>
      </c>
      <c r="G13" s="227"/>
      <c r="H13" s="213" t="s">
        <v>3523</v>
      </c>
      <c r="I13" s="227" t="s">
        <v>3524</v>
      </c>
      <c r="J13" s="214" t="s">
        <v>240</v>
      </c>
      <c r="K13" s="215" t="s">
        <v>33</v>
      </c>
      <c r="L13" s="224"/>
      <c r="M13" s="224"/>
      <c r="N13" s="217"/>
      <c r="O13" s="210"/>
    </row>
    <row r="14">
      <c r="A14" s="212">
        <f t="shared" si="1"/>
        <v>12</v>
      </c>
      <c r="B14" s="228"/>
      <c r="C14" s="212" t="s">
        <v>240</v>
      </c>
      <c r="D14" s="212" t="s">
        <v>3372</v>
      </c>
      <c r="E14" s="212" t="s">
        <v>92</v>
      </c>
      <c r="F14" s="212" t="s">
        <v>3373</v>
      </c>
      <c r="G14" s="217"/>
      <c r="H14" s="213" t="s">
        <v>3374</v>
      </c>
      <c r="I14" s="213" t="s">
        <v>3525</v>
      </c>
      <c r="J14" s="214" t="s">
        <v>240</v>
      </c>
      <c r="K14" s="215" t="s">
        <v>33</v>
      </c>
      <c r="L14" s="224"/>
      <c r="M14" s="224"/>
      <c r="N14" s="217"/>
      <c r="O14" s="210"/>
    </row>
    <row r="15">
      <c r="A15" s="212">
        <f t="shared" si="1"/>
        <v>13</v>
      </c>
      <c r="B15" s="228"/>
      <c r="C15" s="212" t="s">
        <v>240</v>
      </c>
      <c r="D15" s="212" t="s">
        <v>3372</v>
      </c>
      <c r="E15" s="212" t="s">
        <v>92</v>
      </c>
      <c r="F15" s="212" t="s">
        <v>1378</v>
      </c>
      <c r="G15" s="217"/>
      <c r="H15" s="213" t="s">
        <v>1379</v>
      </c>
      <c r="I15" s="213" t="s">
        <v>3526</v>
      </c>
      <c r="J15" s="214" t="s">
        <v>240</v>
      </c>
      <c r="K15" s="215"/>
      <c r="L15" s="224"/>
      <c r="M15" s="224"/>
      <c r="N15" s="217"/>
      <c r="O15" s="210"/>
    </row>
    <row r="16">
      <c r="A16" s="212">
        <f t="shared" si="1"/>
        <v>14</v>
      </c>
      <c r="B16" s="228"/>
      <c r="C16" s="212" t="s">
        <v>240</v>
      </c>
      <c r="D16" s="212" t="s">
        <v>3527</v>
      </c>
      <c r="E16" s="212" t="s">
        <v>92</v>
      </c>
      <c r="F16" s="212" t="s">
        <v>613</v>
      </c>
      <c r="G16" s="227"/>
      <c r="H16" s="227" t="s">
        <v>3528</v>
      </c>
      <c r="I16" s="227" t="s">
        <v>3529</v>
      </c>
      <c r="J16" s="214" t="s">
        <v>240</v>
      </c>
      <c r="K16" s="215"/>
      <c r="L16" s="226"/>
      <c r="M16" s="224"/>
      <c r="N16" s="217"/>
      <c r="O16" s="210"/>
    </row>
    <row r="17">
      <c r="A17" s="212">
        <f t="shared" si="1"/>
        <v>15</v>
      </c>
      <c r="B17" s="228"/>
      <c r="C17" s="212" t="s">
        <v>240</v>
      </c>
      <c r="D17" s="212" t="s">
        <v>3527</v>
      </c>
      <c r="E17" s="212" t="s">
        <v>92</v>
      </c>
      <c r="F17" s="212" t="s">
        <v>2651</v>
      </c>
      <c r="G17" s="227" t="s">
        <v>3530</v>
      </c>
      <c r="H17" s="227" t="s">
        <v>3531</v>
      </c>
      <c r="I17" s="227" t="s">
        <v>3532</v>
      </c>
      <c r="J17" s="214" t="s">
        <v>240</v>
      </c>
      <c r="K17" s="215"/>
      <c r="L17" s="226"/>
      <c r="M17" s="227"/>
      <c r="N17" s="217"/>
      <c r="O17" s="210"/>
    </row>
    <row r="18">
      <c r="A18" s="212">
        <f t="shared" si="1"/>
        <v>16</v>
      </c>
      <c r="B18" s="228"/>
      <c r="C18" s="212" t="s">
        <v>240</v>
      </c>
      <c r="D18" s="212" t="s">
        <v>3533</v>
      </c>
      <c r="E18" s="212" t="s">
        <v>92</v>
      </c>
      <c r="F18" s="212" t="s">
        <v>613</v>
      </c>
      <c r="G18" s="227"/>
      <c r="H18" s="227" t="s">
        <v>3534</v>
      </c>
      <c r="I18" s="227" t="s">
        <v>3535</v>
      </c>
      <c r="J18" s="214" t="s">
        <v>240</v>
      </c>
      <c r="K18" s="215" t="s">
        <v>33</v>
      </c>
      <c r="L18" s="224"/>
      <c r="M18" s="224"/>
      <c r="N18" s="217"/>
      <c r="O18" s="210"/>
    </row>
    <row r="19">
      <c r="A19" s="212">
        <f t="shared" si="1"/>
        <v>17</v>
      </c>
      <c r="B19" s="228"/>
      <c r="C19" s="212" t="s">
        <v>240</v>
      </c>
      <c r="D19" s="212" t="s">
        <v>3533</v>
      </c>
      <c r="E19" s="212" t="s">
        <v>92</v>
      </c>
      <c r="F19" s="212" t="s">
        <v>3536</v>
      </c>
      <c r="G19" s="224"/>
      <c r="H19" s="227" t="s">
        <v>1379</v>
      </c>
      <c r="I19" s="227" t="s">
        <v>3537</v>
      </c>
      <c r="J19" s="214" t="s">
        <v>240</v>
      </c>
      <c r="K19" s="215" t="s">
        <v>33</v>
      </c>
      <c r="L19" s="224"/>
      <c r="M19" s="224"/>
      <c r="N19" s="217"/>
      <c r="O19" s="210"/>
    </row>
    <row r="20">
      <c r="A20" s="212">
        <f t="shared" si="1"/>
        <v>18</v>
      </c>
      <c r="B20" s="228"/>
      <c r="C20" s="212" t="s">
        <v>240</v>
      </c>
      <c r="D20" s="212" t="s">
        <v>3533</v>
      </c>
      <c r="E20" s="212" t="s">
        <v>92</v>
      </c>
      <c r="F20" s="212" t="s">
        <v>2651</v>
      </c>
      <c r="G20" s="224"/>
      <c r="H20" s="227" t="s">
        <v>3531</v>
      </c>
      <c r="I20" s="227" t="s">
        <v>3538</v>
      </c>
      <c r="J20" s="214" t="s">
        <v>240</v>
      </c>
      <c r="K20" s="215" t="s">
        <v>33</v>
      </c>
      <c r="L20" s="224"/>
      <c r="M20" s="224"/>
      <c r="N20" s="217"/>
      <c r="O20" s="210"/>
    </row>
    <row r="21">
      <c r="A21" s="212">
        <f t="shared" si="1"/>
        <v>19</v>
      </c>
      <c r="B21" s="228"/>
      <c r="C21" s="212" t="s">
        <v>242</v>
      </c>
      <c r="D21" s="212" t="s">
        <v>92</v>
      </c>
      <c r="E21" s="212" t="s">
        <v>92</v>
      </c>
      <c r="F21" s="212" t="s">
        <v>613</v>
      </c>
      <c r="G21" s="227"/>
      <c r="H21" s="213" t="s">
        <v>3539</v>
      </c>
      <c r="I21" s="227" t="s">
        <v>3540</v>
      </c>
      <c r="J21" s="214" t="s">
        <v>242</v>
      </c>
      <c r="K21" s="215" t="s">
        <v>33</v>
      </c>
      <c r="L21" s="224"/>
      <c r="M21" s="224"/>
      <c r="N21" s="217"/>
      <c r="O21" s="210"/>
    </row>
    <row r="22">
      <c r="A22" s="212">
        <f t="shared" si="1"/>
        <v>20</v>
      </c>
      <c r="B22" s="228"/>
      <c r="C22" s="212" t="s">
        <v>242</v>
      </c>
      <c r="D22" s="212" t="s">
        <v>3372</v>
      </c>
      <c r="E22" s="212" t="s">
        <v>92</v>
      </c>
      <c r="F22" s="212" t="s">
        <v>3373</v>
      </c>
      <c r="G22" s="217"/>
      <c r="H22" s="213" t="s">
        <v>3374</v>
      </c>
      <c r="I22" s="213" t="s">
        <v>3541</v>
      </c>
      <c r="J22" s="214" t="s">
        <v>242</v>
      </c>
      <c r="K22" s="215" t="s">
        <v>33</v>
      </c>
      <c r="L22" s="224"/>
      <c r="M22" s="224"/>
      <c r="N22" s="217"/>
      <c r="O22" s="210"/>
    </row>
    <row r="23">
      <c r="A23" s="212">
        <f t="shared" si="1"/>
        <v>21</v>
      </c>
      <c r="B23" s="228"/>
      <c r="C23" s="212" t="s">
        <v>242</v>
      </c>
      <c r="D23" s="212" t="s">
        <v>3372</v>
      </c>
      <c r="E23" s="212" t="s">
        <v>92</v>
      </c>
      <c r="F23" s="212" t="s">
        <v>1378</v>
      </c>
      <c r="G23" s="217"/>
      <c r="H23" s="213" t="s">
        <v>1379</v>
      </c>
      <c r="I23" s="213" t="s">
        <v>3542</v>
      </c>
      <c r="J23" s="214" t="s">
        <v>242</v>
      </c>
      <c r="K23" s="215" t="s">
        <v>33</v>
      </c>
      <c r="L23" s="224"/>
      <c r="M23" s="224"/>
      <c r="N23" s="217"/>
      <c r="O23" s="210"/>
    </row>
    <row r="24">
      <c r="A24" s="212">
        <f t="shared" si="1"/>
        <v>22</v>
      </c>
      <c r="B24" s="261"/>
      <c r="C24" s="212" t="s">
        <v>242</v>
      </c>
      <c r="D24" s="212" t="s">
        <v>3543</v>
      </c>
      <c r="E24" s="212" t="s">
        <v>92</v>
      </c>
      <c r="F24" s="212" t="s">
        <v>613</v>
      </c>
      <c r="G24" s="224"/>
      <c r="H24" s="227" t="s">
        <v>3544</v>
      </c>
      <c r="I24" s="213" t="s">
        <v>3545</v>
      </c>
      <c r="J24" s="214" t="s">
        <v>242</v>
      </c>
      <c r="K24" s="215" t="s">
        <v>33</v>
      </c>
      <c r="L24" s="224"/>
      <c r="M24" s="224"/>
      <c r="N24" s="217"/>
      <c r="O24" s="210"/>
    </row>
    <row r="25">
      <c r="A25" s="212">
        <f t="shared" si="1"/>
        <v>23</v>
      </c>
      <c r="B25" s="261"/>
      <c r="C25" s="212" t="s">
        <v>242</v>
      </c>
      <c r="D25" s="212" t="s">
        <v>3543</v>
      </c>
      <c r="E25" s="212" t="s">
        <v>92</v>
      </c>
      <c r="F25" s="212" t="s">
        <v>3546</v>
      </c>
      <c r="G25" s="224"/>
      <c r="H25" s="227" t="s">
        <v>3547</v>
      </c>
      <c r="I25" s="227" t="s">
        <v>3548</v>
      </c>
      <c r="J25" s="214" t="s">
        <v>242</v>
      </c>
      <c r="K25" s="215" t="s">
        <v>33</v>
      </c>
      <c r="L25" s="224"/>
      <c r="M25" s="224"/>
      <c r="N25" s="217"/>
      <c r="O25" s="210"/>
    </row>
    <row r="26">
      <c r="A26" s="212">
        <f t="shared" si="1"/>
        <v>24</v>
      </c>
      <c r="B26" s="261"/>
      <c r="C26" s="212" t="s">
        <v>242</v>
      </c>
      <c r="D26" s="212" t="s">
        <v>3543</v>
      </c>
      <c r="E26" s="212" t="s">
        <v>3549</v>
      </c>
      <c r="F26" s="212" t="s">
        <v>613</v>
      </c>
      <c r="G26" s="227" t="s">
        <v>3550</v>
      </c>
      <c r="H26" s="227" t="s">
        <v>3551</v>
      </c>
      <c r="I26" s="227" t="s">
        <v>3552</v>
      </c>
      <c r="J26" s="214" t="s">
        <v>242</v>
      </c>
      <c r="K26" s="215"/>
      <c r="L26" s="224"/>
      <c r="M26" s="224"/>
      <c r="N26" s="217"/>
      <c r="O26" s="210"/>
    </row>
    <row r="27">
      <c r="A27" s="212">
        <f t="shared" si="1"/>
        <v>25</v>
      </c>
      <c r="B27" s="261"/>
      <c r="C27" s="212" t="s">
        <v>242</v>
      </c>
      <c r="D27" s="212" t="s">
        <v>3543</v>
      </c>
      <c r="E27" s="212" t="s">
        <v>3549</v>
      </c>
      <c r="F27" s="212" t="s">
        <v>3553</v>
      </c>
      <c r="G27" s="227" t="s">
        <v>3554</v>
      </c>
      <c r="H27" s="227" t="s">
        <v>3555</v>
      </c>
      <c r="I27" s="227" t="s">
        <v>3556</v>
      </c>
      <c r="J27" s="214" t="s">
        <v>242</v>
      </c>
      <c r="K27" s="215"/>
      <c r="L27" s="224"/>
      <c r="M27" s="224"/>
      <c r="N27" s="217"/>
      <c r="O27" s="210"/>
    </row>
    <row r="28">
      <c r="A28" s="212">
        <f t="shared" si="1"/>
        <v>26</v>
      </c>
      <c r="B28" s="261"/>
      <c r="C28" s="212" t="s">
        <v>242</v>
      </c>
      <c r="D28" s="212" t="s">
        <v>3543</v>
      </c>
      <c r="E28" s="212" t="s">
        <v>3549</v>
      </c>
      <c r="F28" s="225" t="s">
        <v>3557</v>
      </c>
      <c r="G28" s="224"/>
      <c r="H28" s="227" t="s">
        <v>3558</v>
      </c>
      <c r="I28" s="227" t="s">
        <v>3559</v>
      </c>
      <c r="J28" s="214" t="s">
        <v>242</v>
      </c>
      <c r="K28" s="215"/>
      <c r="L28" s="224"/>
      <c r="M28" s="224"/>
      <c r="N28" s="217"/>
      <c r="O28" s="210"/>
    </row>
    <row r="29">
      <c r="A29" s="212">
        <f t="shared" si="1"/>
        <v>27</v>
      </c>
      <c r="B29" s="261"/>
      <c r="C29" s="212" t="s">
        <v>242</v>
      </c>
      <c r="D29" s="212" t="s">
        <v>3543</v>
      </c>
      <c r="E29" s="212" t="s">
        <v>3549</v>
      </c>
      <c r="F29" s="39"/>
      <c r="G29" s="227"/>
      <c r="H29" s="227" t="s">
        <v>3560</v>
      </c>
      <c r="I29" s="227" t="s">
        <v>3561</v>
      </c>
      <c r="J29" s="259" t="s">
        <v>92</v>
      </c>
      <c r="K29" s="215"/>
      <c r="L29" s="224"/>
      <c r="M29" s="224"/>
      <c r="N29" s="217"/>
      <c r="O29" s="210"/>
    </row>
    <row r="30">
      <c r="A30" s="212">
        <f t="shared" si="1"/>
        <v>28</v>
      </c>
      <c r="B30" s="261"/>
      <c r="C30" s="212" t="s">
        <v>242</v>
      </c>
      <c r="D30" s="212" t="s">
        <v>3543</v>
      </c>
      <c r="E30" s="212" t="s">
        <v>3549</v>
      </c>
      <c r="F30" s="225" t="s">
        <v>3562</v>
      </c>
      <c r="G30" s="254" t="s">
        <v>3563</v>
      </c>
      <c r="H30" s="227" t="s">
        <v>3564</v>
      </c>
      <c r="I30" s="227" t="s">
        <v>3565</v>
      </c>
      <c r="J30" s="259" t="s">
        <v>92</v>
      </c>
      <c r="K30" s="215"/>
      <c r="L30" s="224"/>
      <c r="M30" s="224"/>
      <c r="N30" s="217"/>
      <c r="O30" s="210"/>
    </row>
    <row r="31">
      <c r="A31" s="212">
        <f t="shared" si="1"/>
        <v>29</v>
      </c>
      <c r="B31" s="261"/>
      <c r="C31" s="212" t="s">
        <v>242</v>
      </c>
      <c r="D31" s="212" t="s">
        <v>3543</v>
      </c>
      <c r="E31" s="212" t="s">
        <v>3549</v>
      </c>
      <c r="F31" s="220"/>
      <c r="G31" s="220"/>
      <c r="H31" s="227" t="s">
        <v>3566</v>
      </c>
      <c r="I31" s="227" t="s">
        <v>3567</v>
      </c>
      <c r="J31" s="259" t="s">
        <v>92</v>
      </c>
      <c r="K31" s="215"/>
      <c r="L31" s="224"/>
      <c r="M31" s="224"/>
      <c r="N31" s="217"/>
      <c r="O31" s="210"/>
    </row>
    <row r="32">
      <c r="A32" s="212">
        <f t="shared" si="1"/>
        <v>30</v>
      </c>
      <c r="B32" s="261"/>
      <c r="C32" s="212" t="s">
        <v>242</v>
      </c>
      <c r="D32" s="212" t="s">
        <v>3543</v>
      </c>
      <c r="E32" s="212" t="s">
        <v>3549</v>
      </c>
      <c r="F32" s="220"/>
      <c r="G32" s="220"/>
      <c r="H32" s="213" t="s">
        <v>3568</v>
      </c>
      <c r="I32" s="213" t="s">
        <v>3569</v>
      </c>
      <c r="J32" s="242" t="s">
        <v>92</v>
      </c>
      <c r="K32" s="215"/>
      <c r="L32" s="224"/>
      <c r="M32" s="227"/>
      <c r="N32" s="217"/>
      <c r="O32" s="210"/>
    </row>
    <row r="33">
      <c r="A33" s="212">
        <f t="shared" si="1"/>
        <v>31</v>
      </c>
      <c r="B33" s="261"/>
      <c r="C33" s="212" t="s">
        <v>242</v>
      </c>
      <c r="D33" s="212" t="s">
        <v>3543</v>
      </c>
      <c r="E33" s="212" t="s">
        <v>3549</v>
      </c>
      <c r="F33" s="39"/>
      <c r="G33" s="39"/>
      <c r="H33" s="227" t="s">
        <v>3570</v>
      </c>
      <c r="I33" s="213" t="s">
        <v>3571</v>
      </c>
      <c r="J33" s="242" t="s">
        <v>92</v>
      </c>
      <c r="K33" s="215"/>
      <c r="L33" s="224"/>
      <c r="M33" s="227"/>
      <c r="N33" s="217"/>
      <c r="O33" s="210"/>
    </row>
    <row r="34">
      <c r="A34" s="212">
        <f t="shared" si="1"/>
        <v>32</v>
      </c>
      <c r="B34" s="261"/>
      <c r="C34" s="212" t="s">
        <v>242</v>
      </c>
      <c r="D34" s="212" t="s">
        <v>3543</v>
      </c>
      <c r="E34" s="212" t="s">
        <v>3549</v>
      </c>
      <c r="F34" s="225" t="s">
        <v>3572</v>
      </c>
      <c r="G34" s="249" t="s">
        <v>3573</v>
      </c>
      <c r="H34" s="227" t="s">
        <v>3574</v>
      </c>
      <c r="I34" s="227" t="s">
        <v>3575</v>
      </c>
      <c r="J34" s="242" t="s">
        <v>92</v>
      </c>
      <c r="K34" s="215"/>
      <c r="L34" s="224"/>
      <c r="M34" s="227"/>
      <c r="N34" s="217"/>
      <c r="O34" s="210"/>
    </row>
    <row r="35">
      <c r="A35" s="212">
        <f t="shared" si="1"/>
        <v>33</v>
      </c>
      <c r="B35" s="261"/>
      <c r="C35" s="212" t="s">
        <v>242</v>
      </c>
      <c r="D35" s="212" t="s">
        <v>3543</v>
      </c>
      <c r="E35" s="212" t="s">
        <v>3549</v>
      </c>
      <c r="F35" s="39"/>
      <c r="G35" s="39"/>
      <c r="H35" s="213" t="s">
        <v>3576</v>
      </c>
      <c r="I35" s="213" t="s">
        <v>3577</v>
      </c>
      <c r="J35" s="242" t="s">
        <v>92</v>
      </c>
      <c r="K35" s="215"/>
      <c r="L35" s="224"/>
      <c r="M35" s="227"/>
      <c r="N35" s="217"/>
      <c r="O35" s="210"/>
    </row>
    <row r="36">
      <c r="A36" s="212">
        <f t="shared" si="1"/>
        <v>34</v>
      </c>
      <c r="B36" s="261"/>
      <c r="C36" s="212" t="s">
        <v>242</v>
      </c>
      <c r="D36" s="212" t="s">
        <v>3543</v>
      </c>
      <c r="E36" s="212" t="s">
        <v>3549</v>
      </c>
      <c r="F36" s="225" t="s">
        <v>3578</v>
      </c>
      <c r="G36" s="249" t="s">
        <v>3579</v>
      </c>
      <c r="H36" s="227" t="s">
        <v>3580</v>
      </c>
      <c r="I36" s="213" t="s">
        <v>3581</v>
      </c>
      <c r="J36" s="242" t="s">
        <v>92</v>
      </c>
      <c r="K36" s="215"/>
      <c r="L36" s="224"/>
      <c r="M36" s="227"/>
      <c r="N36" s="217"/>
      <c r="O36" s="210"/>
    </row>
    <row r="37">
      <c r="A37" s="212">
        <f t="shared" si="1"/>
        <v>35</v>
      </c>
      <c r="B37" s="261"/>
      <c r="C37" s="212" t="s">
        <v>242</v>
      </c>
      <c r="D37" s="212" t="s">
        <v>3543</v>
      </c>
      <c r="E37" s="212" t="s">
        <v>3549</v>
      </c>
      <c r="F37" s="39"/>
      <c r="G37" s="39"/>
      <c r="H37" s="213" t="s">
        <v>3582</v>
      </c>
      <c r="I37" s="213" t="s">
        <v>3583</v>
      </c>
      <c r="J37" s="242" t="s">
        <v>92</v>
      </c>
      <c r="K37" s="215"/>
      <c r="L37" s="224"/>
      <c r="M37" s="227"/>
      <c r="N37" s="217"/>
      <c r="O37" s="210"/>
    </row>
    <row r="38">
      <c r="A38" s="212">
        <f t="shared" si="1"/>
        <v>36</v>
      </c>
      <c r="B38" s="261"/>
      <c r="C38" s="212" t="s">
        <v>242</v>
      </c>
      <c r="D38" s="212" t="s">
        <v>3543</v>
      </c>
      <c r="E38" s="212" t="s">
        <v>3549</v>
      </c>
      <c r="F38" s="225" t="s">
        <v>3584</v>
      </c>
      <c r="G38" s="217" t="s">
        <v>3579</v>
      </c>
      <c r="H38" s="213" t="s">
        <v>3585</v>
      </c>
      <c r="I38" s="227" t="s">
        <v>3586</v>
      </c>
      <c r="J38" s="242" t="s">
        <v>92</v>
      </c>
      <c r="K38" s="215"/>
      <c r="L38" s="224"/>
      <c r="M38" s="227"/>
      <c r="N38" s="217"/>
      <c r="O38" s="210"/>
    </row>
    <row r="39">
      <c r="A39" s="212">
        <f t="shared" si="1"/>
        <v>37</v>
      </c>
      <c r="B39" s="261"/>
      <c r="C39" s="212" t="s">
        <v>242</v>
      </c>
      <c r="D39" s="212" t="s">
        <v>3543</v>
      </c>
      <c r="E39" s="212" t="s">
        <v>3549</v>
      </c>
      <c r="F39" s="220"/>
      <c r="G39" s="217"/>
      <c r="H39" s="213" t="s">
        <v>3587</v>
      </c>
      <c r="I39" s="213" t="s">
        <v>3588</v>
      </c>
      <c r="J39" s="242" t="s">
        <v>92</v>
      </c>
      <c r="K39" s="215"/>
      <c r="L39" s="224"/>
      <c r="M39" s="227"/>
      <c r="N39" s="217"/>
      <c r="O39" s="210"/>
    </row>
    <row r="40">
      <c r="A40" s="212">
        <f t="shared" si="1"/>
        <v>38</v>
      </c>
      <c r="B40" s="261"/>
      <c r="C40" s="212" t="s">
        <v>242</v>
      </c>
      <c r="D40" s="212" t="s">
        <v>3543</v>
      </c>
      <c r="E40" s="212" t="s">
        <v>3549</v>
      </c>
      <c r="F40" s="220"/>
      <c r="G40" s="227" t="s">
        <v>3589</v>
      </c>
      <c r="H40" s="213" t="s">
        <v>3587</v>
      </c>
      <c r="I40" s="213" t="s">
        <v>3590</v>
      </c>
      <c r="J40" s="242" t="s">
        <v>92</v>
      </c>
      <c r="K40" s="215"/>
      <c r="L40" s="224"/>
      <c r="M40" s="227" t="s">
        <v>3591</v>
      </c>
      <c r="N40" s="217"/>
      <c r="O40" s="210"/>
    </row>
    <row r="41">
      <c r="A41" s="212">
        <f t="shared" si="1"/>
        <v>39</v>
      </c>
      <c r="B41" s="261"/>
      <c r="C41" s="212" t="s">
        <v>242</v>
      </c>
      <c r="D41" s="212" t="s">
        <v>3543</v>
      </c>
      <c r="E41" s="212" t="s">
        <v>3549</v>
      </c>
      <c r="F41" s="39"/>
      <c r="G41" s="227" t="s">
        <v>3554</v>
      </c>
      <c r="H41" s="213" t="s">
        <v>3592</v>
      </c>
      <c r="I41" s="213" t="s">
        <v>3593</v>
      </c>
      <c r="J41" s="242" t="s">
        <v>92</v>
      </c>
      <c r="K41" s="215"/>
      <c r="L41" s="224"/>
      <c r="M41" s="227"/>
      <c r="N41" s="217"/>
      <c r="O41" s="210"/>
    </row>
    <row r="42">
      <c r="A42" s="212">
        <f t="shared" si="1"/>
        <v>40</v>
      </c>
      <c r="B42" s="261"/>
      <c r="C42" s="212" t="s">
        <v>242</v>
      </c>
      <c r="D42" s="212" t="s">
        <v>3543</v>
      </c>
      <c r="E42" s="212" t="s">
        <v>3549</v>
      </c>
      <c r="F42" s="212" t="s">
        <v>3594</v>
      </c>
      <c r="G42" s="217"/>
      <c r="H42" s="213" t="s">
        <v>3595</v>
      </c>
      <c r="I42" s="213" t="s">
        <v>3596</v>
      </c>
      <c r="J42" s="242" t="s">
        <v>92</v>
      </c>
      <c r="K42" s="215"/>
      <c r="L42" s="224"/>
      <c r="M42" s="227"/>
      <c r="N42" s="217"/>
      <c r="O42" s="210"/>
    </row>
    <row r="43">
      <c r="A43" s="212">
        <f t="shared" si="1"/>
        <v>41</v>
      </c>
      <c r="B43" s="261"/>
      <c r="C43" s="212" t="s">
        <v>242</v>
      </c>
      <c r="D43" s="212" t="s">
        <v>3543</v>
      </c>
      <c r="E43" s="212" t="s">
        <v>3549</v>
      </c>
      <c r="F43" s="225" t="s">
        <v>3597</v>
      </c>
      <c r="G43" s="217" t="s">
        <v>3598</v>
      </c>
      <c r="H43" s="213" t="s">
        <v>3599</v>
      </c>
      <c r="I43" s="213" t="s">
        <v>3600</v>
      </c>
      <c r="J43" s="242" t="s">
        <v>92</v>
      </c>
      <c r="K43" s="215"/>
      <c r="L43" s="224"/>
      <c r="M43" s="227"/>
      <c r="N43" s="217"/>
      <c r="O43" s="210"/>
    </row>
    <row r="44">
      <c r="A44" s="212">
        <f t="shared" si="1"/>
        <v>42</v>
      </c>
      <c r="B44" s="261"/>
      <c r="C44" s="212" t="s">
        <v>242</v>
      </c>
      <c r="D44" s="212" t="s">
        <v>3543</v>
      </c>
      <c r="E44" s="212" t="s">
        <v>3549</v>
      </c>
      <c r="F44" s="220"/>
      <c r="G44" s="217" t="s">
        <v>3601</v>
      </c>
      <c r="H44" s="213" t="s">
        <v>3599</v>
      </c>
      <c r="I44" s="213" t="s">
        <v>3602</v>
      </c>
      <c r="J44" s="242" t="s">
        <v>92</v>
      </c>
      <c r="K44" s="215"/>
      <c r="L44" s="224"/>
      <c r="M44" s="227"/>
      <c r="N44" s="217"/>
      <c r="O44" s="210"/>
    </row>
    <row r="45">
      <c r="A45" s="212">
        <f t="shared" si="1"/>
        <v>43</v>
      </c>
      <c r="B45" s="261"/>
      <c r="C45" s="212" t="s">
        <v>242</v>
      </c>
      <c r="D45" s="212" t="s">
        <v>3543</v>
      </c>
      <c r="E45" s="212" t="s">
        <v>3549</v>
      </c>
      <c r="F45" s="39"/>
      <c r="G45" s="217" t="s">
        <v>3603</v>
      </c>
      <c r="H45" s="213" t="s">
        <v>3599</v>
      </c>
      <c r="I45" s="213" t="s">
        <v>3604</v>
      </c>
      <c r="J45" s="242" t="s">
        <v>92</v>
      </c>
      <c r="K45" s="215"/>
      <c r="L45" s="224"/>
      <c r="M45" s="227"/>
      <c r="N45" s="217"/>
      <c r="O45" s="210"/>
    </row>
    <row r="46">
      <c r="A46" s="212">
        <f t="shared" si="1"/>
        <v>44</v>
      </c>
      <c r="B46" s="261"/>
      <c r="C46" s="212" t="s">
        <v>242</v>
      </c>
      <c r="D46" s="212" t="s">
        <v>3543</v>
      </c>
      <c r="E46" s="212" t="s">
        <v>92</v>
      </c>
      <c r="F46" s="212" t="s">
        <v>3605</v>
      </c>
      <c r="G46" s="217"/>
      <c r="H46" s="213" t="s">
        <v>3606</v>
      </c>
      <c r="I46" s="213" t="s">
        <v>3607</v>
      </c>
      <c r="J46" s="214" t="s">
        <v>242</v>
      </c>
      <c r="K46" s="215"/>
      <c r="L46" s="224"/>
      <c r="M46" s="227"/>
      <c r="N46" s="217"/>
      <c r="O46" s="210"/>
    </row>
    <row r="47">
      <c r="A47" s="212">
        <f t="shared" si="1"/>
        <v>45</v>
      </c>
      <c r="B47" s="261"/>
      <c r="C47" s="212" t="s">
        <v>242</v>
      </c>
      <c r="D47" s="212" t="s">
        <v>3543</v>
      </c>
      <c r="E47" s="212" t="s">
        <v>92</v>
      </c>
      <c r="F47" s="212" t="s">
        <v>3608</v>
      </c>
      <c r="G47" s="217" t="s">
        <v>3609</v>
      </c>
      <c r="H47" s="213" t="s">
        <v>3610</v>
      </c>
      <c r="I47" s="217" t="s">
        <v>3611</v>
      </c>
      <c r="J47" s="259" t="s">
        <v>92</v>
      </c>
      <c r="K47" s="215"/>
      <c r="L47" s="224"/>
      <c r="M47" s="224"/>
      <c r="N47" s="217"/>
      <c r="O47" s="210"/>
    </row>
    <row r="48">
      <c r="A48" s="212">
        <f t="shared" si="1"/>
        <v>46</v>
      </c>
      <c r="B48" s="261"/>
      <c r="C48" s="212" t="s">
        <v>242</v>
      </c>
      <c r="D48" s="212" t="s">
        <v>3543</v>
      </c>
      <c r="E48" s="212" t="s">
        <v>92</v>
      </c>
      <c r="F48" s="225" t="s">
        <v>3612</v>
      </c>
      <c r="G48" s="217" t="s">
        <v>3613</v>
      </c>
      <c r="H48" s="213" t="s">
        <v>3610</v>
      </c>
      <c r="I48" s="217" t="s">
        <v>3614</v>
      </c>
      <c r="J48" s="214" t="s">
        <v>242</v>
      </c>
      <c r="K48" s="215"/>
      <c r="L48" s="224"/>
      <c r="M48" s="224"/>
      <c r="N48" s="217"/>
      <c r="O48" s="210"/>
    </row>
    <row r="49">
      <c r="A49" s="212">
        <f t="shared" si="1"/>
        <v>47</v>
      </c>
      <c r="B49" s="261"/>
      <c r="C49" s="212" t="s">
        <v>242</v>
      </c>
      <c r="D49" s="212" t="s">
        <v>3543</v>
      </c>
      <c r="E49" s="212" t="s">
        <v>92</v>
      </c>
      <c r="F49" s="39"/>
      <c r="G49" s="224"/>
      <c r="H49" s="213" t="s">
        <v>3615</v>
      </c>
      <c r="I49" s="227" t="s">
        <v>3616</v>
      </c>
      <c r="J49" s="259" t="s">
        <v>92</v>
      </c>
      <c r="K49" s="215"/>
      <c r="L49" s="224"/>
      <c r="M49" s="224"/>
      <c r="N49" s="217"/>
      <c r="O49" s="210"/>
    </row>
    <row r="50">
      <c r="A50" s="212">
        <f t="shared" si="1"/>
        <v>48</v>
      </c>
      <c r="B50" s="261"/>
      <c r="C50" s="212" t="s">
        <v>242</v>
      </c>
      <c r="D50" s="212" t="s">
        <v>3543</v>
      </c>
      <c r="E50" s="212" t="s">
        <v>3617</v>
      </c>
      <c r="F50" s="212" t="s">
        <v>613</v>
      </c>
      <c r="G50" s="227"/>
      <c r="H50" s="227" t="s">
        <v>3551</v>
      </c>
      <c r="I50" s="227" t="s">
        <v>3618</v>
      </c>
      <c r="J50" s="259" t="s">
        <v>92</v>
      </c>
      <c r="K50" s="215"/>
      <c r="L50" s="226"/>
      <c r="M50" s="224"/>
      <c r="N50" s="217"/>
      <c r="O50" s="210"/>
    </row>
    <row r="51">
      <c r="A51" s="212">
        <f t="shared" si="1"/>
        <v>49</v>
      </c>
      <c r="B51" s="261"/>
      <c r="C51" s="212" t="s">
        <v>242</v>
      </c>
      <c r="D51" s="212" t="s">
        <v>3543</v>
      </c>
      <c r="E51" s="212" t="s">
        <v>3617</v>
      </c>
      <c r="F51" s="212" t="s">
        <v>3594</v>
      </c>
      <c r="G51" s="227"/>
      <c r="H51" s="213" t="s">
        <v>3619</v>
      </c>
      <c r="I51" s="227" t="s">
        <v>3620</v>
      </c>
      <c r="J51" s="259" t="s">
        <v>92</v>
      </c>
      <c r="K51" s="215"/>
      <c r="L51" s="226"/>
      <c r="M51" s="224"/>
      <c r="N51" s="217"/>
      <c r="O51" s="210"/>
    </row>
    <row r="52">
      <c r="A52" s="212">
        <f t="shared" si="1"/>
        <v>50</v>
      </c>
      <c r="B52" s="261"/>
      <c r="C52" s="212" t="s">
        <v>242</v>
      </c>
      <c r="D52" s="212" t="s">
        <v>3543</v>
      </c>
      <c r="E52" s="212" t="s">
        <v>3617</v>
      </c>
      <c r="F52" s="212" t="s">
        <v>1898</v>
      </c>
      <c r="G52" s="227"/>
      <c r="H52" s="213" t="s">
        <v>3621</v>
      </c>
      <c r="I52" s="227" t="s">
        <v>3622</v>
      </c>
      <c r="J52" s="259" t="s">
        <v>92</v>
      </c>
      <c r="K52" s="215"/>
      <c r="L52" s="226"/>
      <c r="M52" s="224"/>
      <c r="N52" s="217"/>
      <c r="O52" s="210"/>
    </row>
    <row r="53">
      <c r="A53" s="212">
        <f t="shared" si="1"/>
        <v>51</v>
      </c>
      <c r="B53" s="261"/>
      <c r="C53" s="212" t="s">
        <v>242</v>
      </c>
      <c r="D53" s="212" t="s">
        <v>3543</v>
      </c>
      <c r="E53" s="212" t="s">
        <v>3617</v>
      </c>
      <c r="F53" s="225" t="s">
        <v>1694</v>
      </c>
      <c r="G53" s="227"/>
      <c r="H53" s="213" t="s">
        <v>3623</v>
      </c>
      <c r="I53" s="227" t="s">
        <v>3624</v>
      </c>
      <c r="J53" s="259" t="s">
        <v>92</v>
      </c>
      <c r="K53" s="215"/>
      <c r="L53" s="226"/>
      <c r="M53" s="224"/>
      <c r="N53" s="217"/>
      <c r="O53" s="210"/>
    </row>
    <row r="54">
      <c r="A54" s="212">
        <f t="shared" si="1"/>
        <v>52</v>
      </c>
      <c r="B54" s="261"/>
      <c r="C54" s="212" t="s">
        <v>242</v>
      </c>
      <c r="D54" s="212" t="s">
        <v>3543</v>
      </c>
      <c r="E54" s="212" t="s">
        <v>3617</v>
      </c>
      <c r="F54" s="220"/>
      <c r="G54" s="227"/>
      <c r="H54" s="213" t="s">
        <v>3625</v>
      </c>
      <c r="I54" s="227" t="s">
        <v>3626</v>
      </c>
      <c r="J54" s="259" t="s">
        <v>92</v>
      </c>
      <c r="K54" s="215"/>
      <c r="L54" s="226"/>
      <c r="M54" s="224"/>
      <c r="N54" s="217"/>
      <c r="O54" s="210"/>
    </row>
    <row r="55">
      <c r="A55" s="212">
        <f t="shared" si="1"/>
        <v>53</v>
      </c>
      <c r="B55" s="261"/>
      <c r="C55" s="212" t="s">
        <v>242</v>
      </c>
      <c r="D55" s="212" t="s">
        <v>3543</v>
      </c>
      <c r="E55" s="212" t="s">
        <v>3617</v>
      </c>
      <c r="F55" s="39"/>
      <c r="G55" s="227"/>
      <c r="H55" s="213" t="s">
        <v>3627</v>
      </c>
      <c r="I55" s="227" t="s">
        <v>3628</v>
      </c>
      <c r="J55" s="259" t="s">
        <v>92</v>
      </c>
      <c r="K55" s="215"/>
      <c r="L55" s="226"/>
      <c r="M55" s="224"/>
      <c r="N55" s="217"/>
      <c r="O55" s="210"/>
    </row>
    <row r="56">
      <c r="A56" s="212">
        <f t="shared" si="1"/>
        <v>54</v>
      </c>
      <c r="B56" s="261"/>
      <c r="C56" s="212" t="s">
        <v>242</v>
      </c>
      <c r="D56" s="212" t="s">
        <v>3629</v>
      </c>
      <c r="E56" s="212" t="s">
        <v>92</v>
      </c>
      <c r="F56" s="225" t="s">
        <v>613</v>
      </c>
      <c r="G56" s="227" t="s">
        <v>3630</v>
      </c>
      <c r="H56" s="227" t="s">
        <v>3631</v>
      </c>
      <c r="I56" s="227" t="s">
        <v>3632</v>
      </c>
      <c r="J56" s="259" t="s">
        <v>92</v>
      </c>
      <c r="K56" s="215"/>
      <c r="L56" s="224"/>
      <c r="M56" s="224"/>
      <c r="N56" s="217"/>
      <c r="O56" s="210"/>
    </row>
    <row r="57">
      <c r="A57" s="212">
        <f t="shared" si="1"/>
        <v>55</v>
      </c>
      <c r="B57" s="261"/>
      <c r="C57" s="212" t="s">
        <v>242</v>
      </c>
      <c r="D57" s="212" t="s">
        <v>3629</v>
      </c>
      <c r="E57" s="212" t="s">
        <v>92</v>
      </c>
      <c r="F57" s="220"/>
      <c r="G57" s="227" t="s">
        <v>3633</v>
      </c>
      <c r="H57" s="227" t="s">
        <v>3631</v>
      </c>
      <c r="I57" s="227" t="s">
        <v>3634</v>
      </c>
      <c r="J57" s="259" t="s">
        <v>92</v>
      </c>
      <c r="K57" s="215"/>
      <c r="L57" s="226"/>
      <c r="M57" s="224"/>
      <c r="N57" s="217"/>
      <c r="O57" s="210"/>
    </row>
    <row r="58">
      <c r="A58" s="212">
        <f t="shared" si="1"/>
        <v>56</v>
      </c>
      <c r="B58" s="261"/>
      <c r="C58" s="212" t="s">
        <v>242</v>
      </c>
      <c r="D58" s="212" t="s">
        <v>3629</v>
      </c>
      <c r="E58" s="212" t="s">
        <v>92</v>
      </c>
      <c r="F58" s="39"/>
      <c r="G58" s="227" t="s">
        <v>3635</v>
      </c>
      <c r="H58" s="227" t="s">
        <v>3631</v>
      </c>
      <c r="I58" s="227" t="s">
        <v>3636</v>
      </c>
      <c r="J58" s="259" t="s">
        <v>92</v>
      </c>
      <c r="K58" s="215"/>
      <c r="L58" s="226"/>
      <c r="M58" s="227"/>
      <c r="N58" s="217"/>
      <c r="O58" s="210"/>
    </row>
    <row r="59">
      <c r="A59" s="212">
        <f t="shared" si="1"/>
        <v>57</v>
      </c>
      <c r="B59" s="261"/>
      <c r="C59" s="212" t="s">
        <v>242</v>
      </c>
      <c r="D59" s="212" t="s">
        <v>3629</v>
      </c>
      <c r="E59" s="212" t="s">
        <v>92</v>
      </c>
      <c r="F59" s="225" t="s">
        <v>1307</v>
      </c>
      <c r="G59" s="227"/>
      <c r="H59" s="227" t="s">
        <v>698</v>
      </c>
      <c r="I59" s="227" t="s">
        <v>3637</v>
      </c>
      <c r="J59" s="259" t="s">
        <v>92</v>
      </c>
      <c r="K59" s="215"/>
      <c r="L59" s="224"/>
      <c r="M59" s="227"/>
      <c r="N59" s="217"/>
      <c r="O59" s="210"/>
    </row>
    <row r="60">
      <c r="A60" s="212">
        <f t="shared" si="1"/>
        <v>58</v>
      </c>
      <c r="B60" s="228"/>
      <c r="C60" s="212" t="s">
        <v>242</v>
      </c>
      <c r="D60" s="212" t="s">
        <v>3629</v>
      </c>
      <c r="E60" s="212" t="s">
        <v>92</v>
      </c>
      <c r="F60" s="220"/>
      <c r="G60" s="224"/>
      <c r="H60" s="227" t="s">
        <v>3638</v>
      </c>
      <c r="I60" s="227" t="s">
        <v>3639</v>
      </c>
      <c r="J60" s="259" t="s">
        <v>92</v>
      </c>
      <c r="K60" s="215"/>
      <c r="L60" s="224"/>
      <c r="M60" s="224"/>
      <c r="N60" s="217"/>
      <c r="O60" s="210"/>
    </row>
    <row r="61">
      <c r="A61" s="212">
        <f t="shared" si="1"/>
        <v>59</v>
      </c>
      <c r="B61" s="228"/>
      <c r="C61" s="212" t="s">
        <v>242</v>
      </c>
      <c r="D61" s="212" t="s">
        <v>3629</v>
      </c>
      <c r="E61" s="212" t="s">
        <v>92</v>
      </c>
      <c r="F61" s="39"/>
      <c r="G61" s="227"/>
      <c r="H61" s="227" t="s">
        <v>3640</v>
      </c>
      <c r="I61" s="227" t="s">
        <v>3636</v>
      </c>
      <c r="J61" s="259" t="s">
        <v>92</v>
      </c>
      <c r="K61" s="215"/>
      <c r="L61" s="224"/>
      <c r="M61" s="224"/>
      <c r="N61" s="217"/>
      <c r="O61" s="210"/>
    </row>
    <row r="62">
      <c r="A62" s="212">
        <f t="shared" si="1"/>
        <v>60</v>
      </c>
      <c r="B62" s="228"/>
      <c r="C62" s="212" t="s">
        <v>242</v>
      </c>
      <c r="D62" s="212" t="s">
        <v>3629</v>
      </c>
      <c r="E62" s="212" t="s">
        <v>92</v>
      </c>
      <c r="F62" s="212" t="s">
        <v>3641</v>
      </c>
      <c r="G62" s="216"/>
      <c r="H62" s="213" t="s">
        <v>3642</v>
      </c>
      <c r="I62" s="217" t="s">
        <v>3643</v>
      </c>
      <c r="J62" s="259" t="s">
        <v>92</v>
      </c>
      <c r="K62" s="215"/>
      <c r="L62" s="224"/>
      <c r="M62" s="224"/>
      <c r="N62" s="217"/>
      <c r="O62" s="210"/>
    </row>
    <row r="63">
      <c r="A63" s="212">
        <f t="shared" si="1"/>
        <v>61</v>
      </c>
      <c r="B63" s="228"/>
      <c r="C63" s="212" t="s">
        <v>242</v>
      </c>
      <c r="D63" s="212" t="s">
        <v>3629</v>
      </c>
      <c r="E63" s="212" t="s">
        <v>3644</v>
      </c>
      <c r="F63" s="212" t="s">
        <v>613</v>
      </c>
      <c r="G63" s="217"/>
      <c r="H63" s="213" t="s">
        <v>3645</v>
      </c>
      <c r="I63" s="217" t="s">
        <v>3646</v>
      </c>
      <c r="J63" s="259" t="s">
        <v>92</v>
      </c>
      <c r="K63" s="215"/>
      <c r="L63" s="224"/>
      <c r="M63" s="224"/>
      <c r="N63" s="217"/>
      <c r="O63" s="210"/>
    </row>
    <row r="64">
      <c r="A64" s="212">
        <f t="shared" si="1"/>
        <v>62</v>
      </c>
      <c r="B64" s="228"/>
      <c r="C64" s="212" t="s">
        <v>242</v>
      </c>
      <c r="D64" s="212" t="s">
        <v>3629</v>
      </c>
      <c r="E64" s="212" t="s">
        <v>3644</v>
      </c>
      <c r="F64" s="225" t="s">
        <v>1307</v>
      </c>
      <c r="G64" s="224"/>
      <c r="H64" s="213" t="s">
        <v>698</v>
      </c>
      <c r="I64" s="227" t="s">
        <v>3647</v>
      </c>
      <c r="J64" s="259" t="s">
        <v>92</v>
      </c>
      <c r="K64" s="215"/>
      <c r="L64" s="224"/>
      <c r="M64" s="224"/>
      <c r="N64" s="217"/>
      <c r="O64" s="210"/>
    </row>
    <row r="65">
      <c r="A65" s="212">
        <f t="shared" si="1"/>
        <v>63</v>
      </c>
      <c r="B65" s="228"/>
      <c r="C65" s="212" t="s">
        <v>242</v>
      </c>
      <c r="D65" s="212" t="s">
        <v>3629</v>
      </c>
      <c r="E65" s="212" t="s">
        <v>3644</v>
      </c>
      <c r="F65" s="220"/>
      <c r="G65" s="227"/>
      <c r="H65" s="213" t="s">
        <v>3648</v>
      </c>
      <c r="I65" s="227" t="s">
        <v>3649</v>
      </c>
      <c r="J65" s="259" t="s">
        <v>92</v>
      </c>
      <c r="K65" s="215"/>
      <c r="L65" s="226"/>
      <c r="M65" s="224"/>
      <c r="N65" s="217"/>
      <c r="O65" s="210"/>
    </row>
    <row r="66">
      <c r="A66" s="212">
        <f t="shared" si="1"/>
        <v>64</v>
      </c>
      <c r="B66" s="228"/>
      <c r="C66" s="212" t="s">
        <v>242</v>
      </c>
      <c r="D66" s="212" t="s">
        <v>3629</v>
      </c>
      <c r="E66" s="212" t="s">
        <v>3644</v>
      </c>
      <c r="F66" s="220"/>
      <c r="G66" s="227" t="s">
        <v>3554</v>
      </c>
      <c r="H66" s="213" t="s">
        <v>3650</v>
      </c>
      <c r="I66" s="227" t="s">
        <v>3651</v>
      </c>
      <c r="J66" s="259" t="s">
        <v>92</v>
      </c>
      <c r="K66" s="215"/>
      <c r="L66" s="226"/>
      <c r="M66" s="224"/>
      <c r="N66" s="217"/>
      <c r="O66" s="210"/>
    </row>
    <row r="67">
      <c r="A67" s="212">
        <f t="shared" si="1"/>
        <v>65</v>
      </c>
      <c r="B67" s="228"/>
      <c r="C67" s="212" t="s">
        <v>242</v>
      </c>
      <c r="D67" s="212" t="s">
        <v>3629</v>
      </c>
      <c r="E67" s="212" t="s">
        <v>3644</v>
      </c>
      <c r="F67" s="39"/>
      <c r="G67" s="227"/>
      <c r="H67" s="213" t="s">
        <v>3652</v>
      </c>
      <c r="I67" s="227" t="s">
        <v>3653</v>
      </c>
      <c r="J67" s="259" t="s">
        <v>92</v>
      </c>
      <c r="K67" s="215"/>
      <c r="L67" s="226"/>
      <c r="M67" s="224"/>
      <c r="N67" s="217"/>
      <c r="O67" s="210"/>
    </row>
    <row r="68">
      <c r="A68" s="212">
        <f t="shared" si="1"/>
        <v>66</v>
      </c>
      <c r="B68" s="228"/>
      <c r="C68" s="212" t="s">
        <v>242</v>
      </c>
      <c r="D68" s="212" t="s">
        <v>3629</v>
      </c>
      <c r="E68" s="212" t="s">
        <v>3644</v>
      </c>
      <c r="F68" s="225" t="s">
        <v>3612</v>
      </c>
      <c r="G68" s="227" t="s">
        <v>3654</v>
      </c>
      <c r="H68" s="227" t="s">
        <v>3610</v>
      </c>
      <c r="I68" s="227" t="s">
        <v>3655</v>
      </c>
      <c r="J68" s="259" t="s">
        <v>92</v>
      </c>
      <c r="K68" s="215"/>
      <c r="L68" s="224"/>
      <c r="M68" s="224"/>
      <c r="N68" s="217"/>
      <c r="O68" s="210"/>
    </row>
    <row r="69">
      <c r="A69" s="212">
        <f t="shared" si="1"/>
        <v>67</v>
      </c>
      <c r="B69" s="228"/>
      <c r="C69" s="212" t="s">
        <v>242</v>
      </c>
      <c r="D69" s="212" t="s">
        <v>3629</v>
      </c>
      <c r="E69" s="212" t="s">
        <v>3644</v>
      </c>
      <c r="F69" s="220"/>
      <c r="G69" s="227"/>
      <c r="H69" s="227" t="s">
        <v>3610</v>
      </c>
      <c r="I69" s="227" t="s">
        <v>3656</v>
      </c>
      <c r="J69" s="259" t="s">
        <v>92</v>
      </c>
      <c r="K69" s="215"/>
      <c r="L69" s="224"/>
      <c r="M69" s="224"/>
      <c r="N69" s="217"/>
      <c r="O69" s="210"/>
    </row>
    <row r="70">
      <c r="A70" s="212">
        <f t="shared" si="1"/>
        <v>68</v>
      </c>
      <c r="B70" s="228"/>
      <c r="C70" s="212" t="s">
        <v>242</v>
      </c>
      <c r="D70" s="212" t="s">
        <v>3629</v>
      </c>
      <c r="E70" s="212" t="s">
        <v>3644</v>
      </c>
      <c r="F70" s="39"/>
      <c r="G70" s="227" t="s">
        <v>3657</v>
      </c>
      <c r="H70" s="227" t="s">
        <v>3610</v>
      </c>
      <c r="I70" s="227" t="s">
        <v>3658</v>
      </c>
      <c r="J70" s="259" t="s">
        <v>92</v>
      </c>
      <c r="K70" s="215"/>
      <c r="L70" s="224"/>
      <c r="M70" s="224"/>
      <c r="N70" s="217"/>
      <c r="O70" s="210"/>
    </row>
    <row r="71">
      <c r="A71" s="212">
        <f t="shared" si="1"/>
        <v>69</v>
      </c>
      <c r="B71" s="228"/>
      <c r="C71" s="212" t="s">
        <v>242</v>
      </c>
      <c r="D71" s="212" t="s">
        <v>3629</v>
      </c>
      <c r="E71" s="212" t="s">
        <v>3644</v>
      </c>
      <c r="F71" s="212" t="s">
        <v>3659</v>
      </c>
      <c r="G71" s="227"/>
      <c r="H71" s="227" t="s">
        <v>3660</v>
      </c>
      <c r="I71" s="227" t="s">
        <v>3661</v>
      </c>
      <c r="J71" s="259" t="s">
        <v>92</v>
      </c>
      <c r="K71" s="215"/>
      <c r="L71" s="224"/>
      <c r="M71" s="224"/>
      <c r="N71" s="217"/>
      <c r="O71" s="210"/>
    </row>
    <row r="72">
      <c r="A72" s="212">
        <f t="shared" si="1"/>
        <v>70</v>
      </c>
      <c r="B72" s="228"/>
      <c r="C72" s="212" t="s">
        <v>242</v>
      </c>
      <c r="D72" s="212" t="s">
        <v>3629</v>
      </c>
      <c r="E72" s="212" t="s">
        <v>3644</v>
      </c>
      <c r="F72" s="225" t="s">
        <v>3597</v>
      </c>
      <c r="G72" s="227" t="s">
        <v>3662</v>
      </c>
      <c r="H72" s="227" t="s">
        <v>2031</v>
      </c>
      <c r="I72" s="227" t="s">
        <v>3663</v>
      </c>
      <c r="J72" s="259" t="s">
        <v>92</v>
      </c>
      <c r="K72" s="215"/>
      <c r="L72" s="224"/>
      <c r="M72" s="224"/>
      <c r="N72" s="217"/>
      <c r="O72" s="210"/>
    </row>
    <row r="73">
      <c r="A73" s="212">
        <f t="shared" si="1"/>
        <v>71</v>
      </c>
      <c r="B73" s="228"/>
      <c r="C73" s="212" t="s">
        <v>242</v>
      </c>
      <c r="D73" s="212" t="s">
        <v>3629</v>
      </c>
      <c r="E73" s="212" t="s">
        <v>3644</v>
      </c>
      <c r="F73" s="39"/>
      <c r="G73" s="227" t="s">
        <v>3664</v>
      </c>
      <c r="H73" s="227" t="s">
        <v>2031</v>
      </c>
      <c r="I73" s="227" t="s">
        <v>3665</v>
      </c>
      <c r="J73" s="259" t="s">
        <v>92</v>
      </c>
      <c r="K73" s="215"/>
      <c r="L73" s="224"/>
      <c r="M73" s="224"/>
      <c r="N73" s="217"/>
      <c r="O73" s="210"/>
    </row>
    <row r="74">
      <c r="A74" s="212">
        <f t="shared" si="1"/>
        <v>72</v>
      </c>
      <c r="B74" s="228"/>
      <c r="C74" s="212" t="s">
        <v>242</v>
      </c>
      <c r="D74" s="212" t="s">
        <v>3629</v>
      </c>
      <c r="E74" s="212" t="s">
        <v>92</v>
      </c>
      <c r="F74" s="225" t="s">
        <v>3666</v>
      </c>
      <c r="G74" s="217" t="s">
        <v>3598</v>
      </c>
      <c r="H74" s="213" t="s">
        <v>3667</v>
      </c>
      <c r="I74" s="217" t="s">
        <v>3668</v>
      </c>
      <c r="J74" s="259" t="s">
        <v>92</v>
      </c>
      <c r="K74" s="215"/>
      <c r="L74" s="224"/>
      <c r="M74" s="224"/>
      <c r="N74" s="217"/>
      <c r="O74" s="210"/>
    </row>
    <row r="75">
      <c r="A75" s="212">
        <f t="shared" si="1"/>
        <v>73</v>
      </c>
      <c r="B75" s="228"/>
      <c r="C75" s="212" t="s">
        <v>242</v>
      </c>
      <c r="D75" s="212" t="s">
        <v>3629</v>
      </c>
      <c r="E75" s="212" t="s">
        <v>92</v>
      </c>
      <c r="F75" s="39"/>
      <c r="G75" s="217" t="s">
        <v>3669</v>
      </c>
      <c r="H75" s="213" t="s">
        <v>3670</v>
      </c>
      <c r="I75" s="217" t="s">
        <v>3671</v>
      </c>
      <c r="J75" s="259" t="s">
        <v>92</v>
      </c>
      <c r="K75" s="215"/>
      <c r="L75" s="224"/>
      <c r="M75" s="224"/>
      <c r="N75" s="217"/>
      <c r="O75" s="210"/>
    </row>
    <row r="76">
      <c r="A76" s="212">
        <f t="shared" si="1"/>
        <v>74</v>
      </c>
      <c r="B76" s="228"/>
      <c r="C76" s="212" t="s">
        <v>242</v>
      </c>
      <c r="D76" s="212" t="s">
        <v>3629</v>
      </c>
      <c r="E76" s="212" t="s">
        <v>92</v>
      </c>
      <c r="F76" s="212" t="s">
        <v>3666</v>
      </c>
      <c r="G76" s="216"/>
      <c r="H76" s="213" t="s">
        <v>3672</v>
      </c>
      <c r="I76" s="217" t="s">
        <v>3673</v>
      </c>
      <c r="J76" s="259" t="s">
        <v>92</v>
      </c>
      <c r="K76" s="215"/>
      <c r="L76" s="224"/>
      <c r="M76" s="224"/>
      <c r="N76" s="217"/>
      <c r="O76" s="210"/>
    </row>
    <row r="77">
      <c r="A77" s="212">
        <f t="shared" si="1"/>
        <v>75</v>
      </c>
      <c r="B77" s="228"/>
      <c r="C77" s="212" t="s">
        <v>242</v>
      </c>
      <c r="D77" s="212" t="s">
        <v>3629</v>
      </c>
      <c r="E77" s="212" t="s">
        <v>3674</v>
      </c>
      <c r="F77" s="212" t="s">
        <v>613</v>
      </c>
      <c r="G77" s="224"/>
      <c r="H77" s="213" t="s">
        <v>3675</v>
      </c>
      <c r="I77" s="227" t="s">
        <v>3676</v>
      </c>
      <c r="J77" s="259" t="s">
        <v>92</v>
      </c>
      <c r="K77" s="215"/>
      <c r="L77" s="224"/>
      <c r="M77" s="224"/>
      <c r="N77" s="217"/>
      <c r="O77" s="210"/>
    </row>
    <row r="78">
      <c r="A78" s="212">
        <f t="shared" si="1"/>
        <v>76</v>
      </c>
      <c r="B78" s="228"/>
      <c r="C78" s="212" t="s">
        <v>242</v>
      </c>
      <c r="D78" s="212" t="s">
        <v>3629</v>
      </c>
      <c r="E78" s="212" t="s">
        <v>3674</v>
      </c>
      <c r="F78" s="225" t="s">
        <v>3677</v>
      </c>
      <c r="G78" s="227"/>
      <c r="H78" s="227" t="s">
        <v>3678</v>
      </c>
      <c r="I78" s="227" t="s">
        <v>3679</v>
      </c>
      <c r="J78" s="259" t="s">
        <v>92</v>
      </c>
      <c r="K78" s="215"/>
      <c r="L78" s="224"/>
      <c r="M78" s="224"/>
      <c r="N78" s="217"/>
      <c r="O78" s="210"/>
    </row>
    <row r="79">
      <c r="A79" s="212">
        <f t="shared" si="1"/>
        <v>77</v>
      </c>
      <c r="B79" s="228"/>
      <c r="C79" s="212" t="s">
        <v>242</v>
      </c>
      <c r="D79" s="212" t="s">
        <v>3629</v>
      </c>
      <c r="E79" s="212" t="s">
        <v>3674</v>
      </c>
      <c r="F79" s="220"/>
      <c r="G79" s="227" t="s">
        <v>3554</v>
      </c>
      <c r="H79" s="213" t="s">
        <v>3680</v>
      </c>
      <c r="I79" s="227" t="s">
        <v>3681</v>
      </c>
      <c r="J79" s="259" t="s">
        <v>92</v>
      </c>
      <c r="K79" s="215"/>
      <c r="L79" s="224"/>
      <c r="M79" s="224"/>
      <c r="N79" s="217"/>
      <c r="O79" s="210"/>
    </row>
    <row r="80">
      <c r="A80" s="212">
        <f t="shared" si="1"/>
        <v>78</v>
      </c>
      <c r="B80" s="228"/>
      <c r="C80" s="212" t="s">
        <v>242</v>
      </c>
      <c r="D80" s="212" t="s">
        <v>3629</v>
      </c>
      <c r="E80" s="212" t="s">
        <v>3674</v>
      </c>
      <c r="F80" s="39"/>
      <c r="G80" s="227" t="s">
        <v>3682</v>
      </c>
      <c r="H80" s="227" t="s">
        <v>3683</v>
      </c>
      <c r="I80" s="227" t="s">
        <v>3684</v>
      </c>
      <c r="J80" s="259" t="s">
        <v>92</v>
      </c>
      <c r="K80" s="215"/>
      <c r="L80" s="224"/>
      <c r="M80" s="224"/>
      <c r="N80" s="217"/>
      <c r="O80" s="210"/>
    </row>
    <row r="81">
      <c r="A81" s="212">
        <f t="shared" si="1"/>
        <v>79</v>
      </c>
      <c r="B81" s="228"/>
      <c r="C81" s="212" t="s">
        <v>242</v>
      </c>
      <c r="D81" s="212" t="s">
        <v>3629</v>
      </c>
      <c r="E81" s="212" t="s">
        <v>3674</v>
      </c>
      <c r="F81" s="212" t="s">
        <v>3659</v>
      </c>
      <c r="G81" s="227"/>
      <c r="H81" s="227" t="s">
        <v>3660</v>
      </c>
      <c r="I81" s="227" t="s">
        <v>3685</v>
      </c>
      <c r="J81" s="259" t="s">
        <v>92</v>
      </c>
      <c r="K81" s="215"/>
      <c r="L81" s="224"/>
      <c r="M81" s="224"/>
      <c r="N81" s="217"/>
      <c r="O81" s="210"/>
    </row>
    <row r="82">
      <c r="A82" s="212">
        <f t="shared" si="1"/>
        <v>80</v>
      </c>
      <c r="B82" s="228"/>
      <c r="C82" s="212" t="s">
        <v>242</v>
      </c>
      <c r="D82" s="212" t="s">
        <v>3629</v>
      </c>
      <c r="E82" s="212" t="s">
        <v>3674</v>
      </c>
      <c r="F82" s="225" t="s">
        <v>3597</v>
      </c>
      <c r="G82" s="227" t="s">
        <v>3662</v>
      </c>
      <c r="H82" s="227" t="s">
        <v>2031</v>
      </c>
      <c r="I82" s="227" t="s">
        <v>3663</v>
      </c>
      <c r="J82" s="259" t="s">
        <v>92</v>
      </c>
      <c r="K82" s="215"/>
      <c r="L82" s="224"/>
      <c r="M82" s="224"/>
      <c r="N82" s="217"/>
      <c r="O82" s="210"/>
    </row>
    <row r="83">
      <c r="A83" s="212">
        <f t="shared" si="1"/>
        <v>81</v>
      </c>
      <c r="B83" s="228"/>
      <c r="C83" s="212" t="s">
        <v>242</v>
      </c>
      <c r="D83" s="212" t="s">
        <v>3629</v>
      </c>
      <c r="E83" s="212" t="s">
        <v>3674</v>
      </c>
      <c r="F83" s="39"/>
      <c r="G83" s="227" t="s">
        <v>3664</v>
      </c>
      <c r="H83" s="227" t="s">
        <v>2031</v>
      </c>
      <c r="I83" s="227" t="s">
        <v>3686</v>
      </c>
      <c r="J83" s="259" t="s">
        <v>92</v>
      </c>
      <c r="K83" s="215"/>
      <c r="L83" s="224"/>
      <c r="M83" s="224"/>
      <c r="N83" s="217"/>
      <c r="O83" s="210"/>
    </row>
    <row r="84">
      <c r="A84" s="212">
        <f t="shared" si="1"/>
        <v>82</v>
      </c>
      <c r="B84" s="228"/>
      <c r="C84" s="212" t="s">
        <v>242</v>
      </c>
      <c r="D84" s="212" t="s">
        <v>3629</v>
      </c>
      <c r="E84" s="212" t="s">
        <v>92</v>
      </c>
      <c r="F84" s="225" t="s">
        <v>3687</v>
      </c>
      <c r="G84" s="217" t="s">
        <v>3688</v>
      </c>
      <c r="H84" s="213" t="s">
        <v>3689</v>
      </c>
      <c r="I84" s="217" t="s">
        <v>3663</v>
      </c>
      <c r="J84" s="259" t="s">
        <v>92</v>
      </c>
      <c r="K84" s="215"/>
      <c r="L84" s="224"/>
      <c r="M84" s="224"/>
      <c r="N84" s="217"/>
      <c r="O84" s="210"/>
    </row>
    <row r="85">
      <c r="A85" s="212">
        <f t="shared" si="1"/>
        <v>83</v>
      </c>
      <c r="B85" s="228"/>
      <c r="C85" s="212" t="s">
        <v>242</v>
      </c>
      <c r="D85" s="212" t="s">
        <v>3629</v>
      </c>
      <c r="E85" s="212" t="s">
        <v>92</v>
      </c>
      <c r="F85" s="220"/>
      <c r="G85" s="249" t="s">
        <v>3690</v>
      </c>
      <c r="H85" s="213" t="s">
        <v>3689</v>
      </c>
      <c r="I85" s="227" t="s">
        <v>3691</v>
      </c>
      <c r="J85" s="259" t="s">
        <v>92</v>
      </c>
      <c r="K85" s="215"/>
      <c r="L85" s="224"/>
      <c r="M85" s="224"/>
      <c r="N85" s="217"/>
      <c r="O85" s="210"/>
    </row>
    <row r="86">
      <c r="A86" s="212">
        <f t="shared" si="1"/>
        <v>84</v>
      </c>
      <c r="B86" s="228"/>
      <c r="C86" s="212" t="s">
        <v>242</v>
      </c>
      <c r="D86" s="212" t="s">
        <v>3629</v>
      </c>
      <c r="E86" s="212" t="s">
        <v>92</v>
      </c>
      <c r="F86" s="220"/>
      <c r="G86" s="220"/>
      <c r="H86" s="213" t="s">
        <v>3625</v>
      </c>
      <c r="I86" s="227" t="s">
        <v>3626</v>
      </c>
      <c r="J86" s="259" t="s">
        <v>92</v>
      </c>
      <c r="K86" s="215"/>
      <c r="L86" s="226"/>
      <c r="M86" s="224"/>
      <c r="N86" s="217"/>
      <c r="O86" s="210"/>
    </row>
    <row r="87">
      <c r="A87" s="212">
        <f t="shared" si="1"/>
        <v>85</v>
      </c>
      <c r="B87" s="228"/>
      <c r="C87" s="212" t="s">
        <v>242</v>
      </c>
      <c r="D87" s="212" t="s">
        <v>3629</v>
      </c>
      <c r="E87" s="212" t="s">
        <v>92</v>
      </c>
      <c r="F87" s="39"/>
      <c r="G87" s="39"/>
      <c r="H87" s="213" t="s">
        <v>3627</v>
      </c>
      <c r="I87" s="227" t="s">
        <v>3692</v>
      </c>
      <c r="J87" s="259" t="s">
        <v>92</v>
      </c>
      <c r="K87" s="215"/>
      <c r="L87" s="224"/>
      <c r="M87" s="224"/>
      <c r="N87" s="217"/>
      <c r="O87" s="210"/>
    </row>
    <row r="88">
      <c r="A88" s="212">
        <f t="shared" si="1"/>
        <v>86</v>
      </c>
      <c r="B88" s="228"/>
      <c r="C88" s="212" t="s">
        <v>242</v>
      </c>
      <c r="D88" s="212" t="s">
        <v>3629</v>
      </c>
      <c r="E88" s="212" t="s">
        <v>92</v>
      </c>
      <c r="F88" s="225" t="s">
        <v>3693</v>
      </c>
      <c r="G88" s="227" t="s">
        <v>3694</v>
      </c>
      <c r="H88" s="227" t="s">
        <v>3695</v>
      </c>
      <c r="I88" s="226" t="s">
        <v>3696</v>
      </c>
      <c r="J88" s="259" t="s">
        <v>92</v>
      </c>
      <c r="K88" s="215"/>
      <c r="L88" s="224"/>
      <c r="M88" s="224"/>
      <c r="N88" s="217"/>
      <c r="O88" s="210"/>
    </row>
    <row r="89">
      <c r="A89" s="212">
        <f t="shared" si="1"/>
        <v>87</v>
      </c>
      <c r="B89" s="228"/>
      <c r="C89" s="212" t="s">
        <v>242</v>
      </c>
      <c r="D89" s="212" t="s">
        <v>3629</v>
      </c>
      <c r="E89" s="212" t="s">
        <v>92</v>
      </c>
      <c r="F89" s="39"/>
      <c r="G89" s="224"/>
      <c r="H89" s="227" t="s">
        <v>3697</v>
      </c>
      <c r="I89" s="213" t="s">
        <v>3698</v>
      </c>
      <c r="J89" s="259" t="s">
        <v>92</v>
      </c>
      <c r="K89" s="215"/>
      <c r="L89" s="224"/>
      <c r="M89" s="224"/>
      <c r="N89" s="217"/>
      <c r="O89" s="210"/>
    </row>
    <row r="90">
      <c r="A90" s="212">
        <f t="shared" si="1"/>
        <v>88</v>
      </c>
      <c r="B90" s="228"/>
      <c r="C90" s="212" t="s">
        <v>242</v>
      </c>
      <c r="D90" s="212" t="s">
        <v>3629</v>
      </c>
      <c r="E90" s="212" t="s">
        <v>3699</v>
      </c>
      <c r="F90" s="212" t="s">
        <v>613</v>
      </c>
      <c r="G90" s="224"/>
      <c r="H90" s="227" t="s">
        <v>3700</v>
      </c>
      <c r="I90" s="213" t="s">
        <v>3701</v>
      </c>
      <c r="J90" s="259" t="s">
        <v>92</v>
      </c>
      <c r="K90" s="215"/>
      <c r="L90" s="224"/>
      <c r="M90" s="224"/>
      <c r="N90" s="217"/>
      <c r="O90" s="210"/>
    </row>
    <row r="91">
      <c r="A91" s="212">
        <f t="shared" si="1"/>
        <v>89</v>
      </c>
      <c r="B91" s="228"/>
      <c r="C91" s="212" t="s">
        <v>242</v>
      </c>
      <c r="D91" s="212" t="s">
        <v>3629</v>
      </c>
      <c r="E91" s="212" t="s">
        <v>3699</v>
      </c>
      <c r="F91" s="225" t="s">
        <v>3702</v>
      </c>
      <c r="G91" s="224"/>
      <c r="H91" s="227" t="s">
        <v>3703</v>
      </c>
      <c r="I91" s="227" t="s">
        <v>3704</v>
      </c>
      <c r="J91" s="259" t="s">
        <v>92</v>
      </c>
      <c r="K91" s="215"/>
      <c r="L91" s="226"/>
      <c r="M91" s="224"/>
      <c r="N91" s="217"/>
      <c r="O91" s="210"/>
    </row>
    <row r="92">
      <c r="A92" s="212">
        <f t="shared" si="1"/>
        <v>90</v>
      </c>
      <c r="B92" s="228"/>
      <c r="C92" s="212" t="s">
        <v>242</v>
      </c>
      <c r="D92" s="212" t="s">
        <v>3629</v>
      </c>
      <c r="E92" s="212" t="s">
        <v>3699</v>
      </c>
      <c r="F92" s="39"/>
      <c r="G92" s="227"/>
      <c r="H92" s="227" t="s">
        <v>3705</v>
      </c>
      <c r="I92" s="227" t="s">
        <v>3706</v>
      </c>
      <c r="J92" s="259" t="s">
        <v>92</v>
      </c>
      <c r="K92" s="215"/>
      <c r="L92" s="224"/>
      <c r="M92" s="224"/>
      <c r="N92" s="217"/>
      <c r="O92" s="210"/>
    </row>
    <row r="93">
      <c r="A93" s="212">
        <f t="shared" si="1"/>
        <v>91</v>
      </c>
      <c r="B93" s="228"/>
      <c r="C93" s="212" t="s">
        <v>242</v>
      </c>
      <c r="D93" s="212" t="s">
        <v>3629</v>
      </c>
      <c r="E93" s="212" t="s">
        <v>3699</v>
      </c>
      <c r="F93" s="225" t="s">
        <v>1232</v>
      </c>
      <c r="G93" s="224"/>
      <c r="H93" s="227" t="s">
        <v>3707</v>
      </c>
      <c r="I93" s="227" t="s">
        <v>3708</v>
      </c>
      <c r="J93" s="259" t="s">
        <v>92</v>
      </c>
      <c r="K93" s="215"/>
      <c r="L93" s="226"/>
      <c r="M93" s="224"/>
      <c r="N93" s="217"/>
      <c r="O93" s="210"/>
    </row>
    <row r="94">
      <c r="A94" s="212">
        <f t="shared" si="1"/>
        <v>92</v>
      </c>
      <c r="B94" s="228"/>
      <c r="C94" s="212" t="s">
        <v>242</v>
      </c>
      <c r="D94" s="212" t="s">
        <v>3629</v>
      </c>
      <c r="E94" s="212" t="s">
        <v>3699</v>
      </c>
      <c r="F94" s="39"/>
      <c r="G94" s="227"/>
      <c r="H94" s="227" t="s">
        <v>3709</v>
      </c>
      <c r="I94" s="227" t="s">
        <v>3710</v>
      </c>
      <c r="J94" s="259" t="s">
        <v>92</v>
      </c>
      <c r="K94" s="215"/>
      <c r="L94" s="224"/>
      <c r="M94" s="224"/>
      <c r="N94" s="217"/>
      <c r="O94" s="210"/>
    </row>
    <row r="95">
      <c r="A95" s="212">
        <f t="shared" si="1"/>
        <v>93</v>
      </c>
      <c r="B95" s="228"/>
      <c r="C95" s="212" t="s">
        <v>242</v>
      </c>
      <c r="D95" s="212" t="s">
        <v>3629</v>
      </c>
      <c r="E95" s="212" t="s">
        <v>3699</v>
      </c>
      <c r="F95" s="212" t="s">
        <v>3594</v>
      </c>
      <c r="G95" s="227"/>
      <c r="H95" s="227" t="s">
        <v>1162</v>
      </c>
      <c r="I95" s="227" t="s">
        <v>3711</v>
      </c>
      <c r="J95" s="259" t="s">
        <v>92</v>
      </c>
      <c r="K95" s="215"/>
      <c r="L95" s="226"/>
      <c r="M95" s="224"/>
      <c r="N95" s="217"/>
      <c r="O95" s="210"/>
    </row>
    <row r="96">
      <c r="A96" s="212">
        <f t="shared" si="1"/>
        <v>94</v>
      </c>
      <c r="B96" s="228"/>
      <c r="C96" s="212" t="s">
        <v>242</v>
      </c>
      <c r="D96" s="212" t="s">
        <v>3629</v>
      </c>
      <c r="E96" s="212" t="s">
        <v>3699</v>
      </c>
      <c r="F96" s="212" t="s">
        <v>1040</v>
      </c>
      <c r="G96" s="227" t="s">
        <v>3712</v>
      </c>
      <c r="H96" s="227" t="s">
        <v>1093</v>
      </c>
      <c r="I96" s="227" t="s">
        <v>3663</v>
      </c>
      <c r="J96" s="259" t="s">
        <v>92</v>
      </c>
      <c r="K96" s="215"/>
      <c r="L96" s="224"/>
      <c r="M96" s="224"/>
      <c r="N96" s="217"/>
      <c r="O96" s="210"/>
    </row>
    <row r="97">
      <c r="A97" s="212">
        <f t="shared" si="1"/>
        <v>95</v>
      </c>
      <c r="B97" s="228"/>
      <c r="C97" s="212" t="s">
        <v>242</v>
      </c>
      <c r="D97" s="212" t="s">
        <v>3629</v>
      </c>
      <c r="E97" s="212" t="s">
        <v>3699</v>
      </c>
      <c r="F97" s="212"/>
      <c r="G97" s="227" t="s">
        <v>3705</v>
      </c>
      <c r="H97" s="227" t="s">
        <v>1093</v>
      </c>
      <c r="I97" s="227" t="s">
        <v>3713</v>
      </c>
      <c r="J97" s="259" t="s">
        <v>92</v>
      </c>
      <c r="K97" s="215"/>
      <c r="L97" s="224"/>
      <c r="M97" s="224"/>
      <c r="N97" s="217"/>
      <c r="O97" s="210"/>
    </row>
    <row r="98">
      <c r="A98" s="212">
        <f t="shared" si="1"/>
        <v>96</v>
      </c>
      <c r="B98" s="228"/>
      <c r="C98" s="212" t="s">
        <v>245</v>
      </c>
      <c r="D98" s="212" t="s">
        <v>92</v>
      </c>
      <c r="E98" s="212" t="s">
        <v>92</v>
      </c>
      <c r="F98" s="212" t="s">
        <v>613</v>
      </c>
      <c r="G98" s="227"/>
      <c r="H98" s="213" t="s">
        <v>3714</v>
      </c>
      <c r="I98" s="227" t="s">
        <v>3715</v>
      </c>
      <c r="J98" s="256" t="s">
        <v>245</v>
      </c>
      <c r="K98" s="215" t="s">
        <v>33</v>
      </c>
      <c r="L98" s="224"/>
      <c r="M98" s="224"/>
      <c r="N98" s="217"/>
      <c r="O98" s="210"/>
    </row>
    <row r="99">
      <c r="A99" s="212">
        <f t="shared" si="1"/>
        <v>97</v>
      </c>
      <c r="B99" s="228"/>
      <c r="C99" s="212" t="s">
        <v>245</v>
      </c>
      <c r="D99" s="212" t="s">
        <v>3372</v>
      </c>
      <c r="E99" s="212" t="s">
        <v>92</v>
      </c>
      <c r="F99" s="212" t="s">
        <v>3373</v>
      </c>
      <c r="G99" s="217"/>
      <c r="H99" s="213" t="s">
        <v>3374</v>
      </c>
      <c r="I99" s="213" t="s">
        <v>3716</v>
      </c>
      <c r="J99" s="256" t="s">
        <v>245</v>
      </c>
      <c r="K99" s="215" t="s">
        <v>33</v>
      </c>
      <c r="L99" s="226"/>
      <c r="M99" s="224"/>
      <c r="N99" s="217"/>
      <c r="O99" s="210"/>
    </row>
    <row r="100">
      <c r="A100" s="212">
        <f t="shared" si="1"/>
        <v>98</v>
      </c>
      <c r="B100" s="228"/>
      <c r="C100" s="212" t="s">
        <v>245</v>
      </c>
      <c r="D100" s="212" t="s">
        <v>3372</v>
      </c>
      <c r="E100" s="212" t="s">
        <v>92</v>
      </c>
      <c r="F100" s="212" t="s">
        <v>1378</v>
      </c>
      <c r="G100" s="217"/>
      <c r="H100" s="213" t="s">
        <v>1379</v>
      </c>
      <c r="I100" s="213" t="s">
        <v>3717</v>
      </c>
      <c r="J100" s="256" t="s">
        <v>245</v>
      </c>
      <c r="K100" s="215" t="s">
        <v>33</v>
      </c>
      <c r="L100" s="224"/>
      <c r="M100" s="224"/>
      <c r="N100" s="217"/>
      <c r="O100" s="210"/>
    </row>
    <row r="101">
      <c r="A101" s="212">
        <f t="shared" si="1"/>
        <v>99</v>
      </c>
      <c r="B101" s="228"/>
      <c r="C101" s="212" t="s">
        <v>245</v>
      </c>
      <c r="D101" s="212" t="s">
        <v>587</v>
      </c>
      <c r="E101" s="212" t="s">
        <v>92</v>
      </c>
      <c r="F101" s="225" t="s">
        <v>1307</v>
      </c>
      <c r="G101" s="224"/>
      <c r="H101" s="213" t="s">
        <v>698</v>
      </c>
      <c r="I101" s="227" t="s">
        <v>3718</v>
      </c>
      <c r="J101" s="259" t="s">
        <v>92</v>
      </c>
      <c r="K101" s="215" t="s">
        <v>33</v>
      </c>
      <c r="L101" s="224"/>
      <c r="M101" s="224"/>
      <c r="N101" s="217"/>
      <c r="O101" s="210"/>
    </row>
    <row r="102">
      <c r="A102" s="212">
        <f t="shared" si="1"/>
        <v>100</v>
      </c>
      <c r="B102" s="228"/>
      <c r="C102" s="212" t="s">
        <v>245</v>
      </c>
      <c r="D102" s="212" t="s">
        <v>587</v>
      </c>
      <c r="E102" s="212" t="s">
        <v>92</v>
      </c>
      <c r="F102" s="220"/>
      <c r="G102" s="227" t="s">
        <v>3554</v>
      </c>
      <c r="H102" s="213" t="s">
        <v>3650</v>
      </c>
      <c r="I102" s="227" t="s">
        <v>3651</v>
      </c>
      <c r="J102" s="259" t="s">
        <v>92</v>
      </c>
      <c r="K102" s="215" t="s">
        <v>33</v>
      </c>
      <c r="L102" s="224"/>
      <c r="M102" s="224"/>
      <c r="N102" s="217"/>
      <c r="O102" s="210"/>
    </row>
    <row r="103">
      <c r="A103" s="212">
        <f t="shared" si="1"/>
        <v>101</v>
      </c>
      <c r="B103" s="228"/>
      <c r="C103" s="212" t="s">
        <v>245</v>
      </c>
      <c r="D103" s="212" t="s">
        <v>587</v>
      </c>
      <c r="E103" s="212" t="s">
        <v>92</v>
      </c>
      <c r="F103" s="220"/>
      <c r="G103" s="227"/>
      <c r="H103" s="213" t="s">
        <v>3640</v>
      </c>
      <c r="I103" s="227" t="s">
        <v>3655</v>
      </c>
      <c r="J103" s="259" t="s">
        <v>92</v>
      </c>
      <c r="K103" s="215" t="s">
        <v>33</v>
      </c>
      <c r="L103" s="224"/>
      <c r="M103" s="224"/>
      <c r="N103" s="227"/>
      <c r="O103" s="210"/>
    </row>
    <row r="104">
      <c r="A104" s="212">
        <f t="shared" si="1"/>
        <v>102</v>
      </c>
      <c r="B104" s="228"/>
      <c r="C104" s="212" t="s">
        <v>245</v>
      </c>
      <c r="D104" s="212" t="s">
        <v>587</v>
      </c>
      <c r="E104" s="212" t="s">
        <v>92</v>
      </c>
      <c r="F104" s="39"/>
      <c r="G104" s="227"/>
      <c r="H104" s="213" t="s">
        <v>2938</v>
      </c>
      <c r="I104" s="227" t="s">
        <v>3653</v>
      </c>
      <c r="J104" s="259" t="s">
        <v>92</v>
      </c>
      <c r="K104" s="215" t="s">
        <v>33</v>
      </c>
      <c r="L104" s="224"/>
      <c r="M104" s="224"/>
      <c r="N104" s="227"/>
      <c r="O104" s="210"/>
    </row>
    <row r="105">
      <c r="A105" s="212">
        <f t="shared" si="1"/>
        <v>103</v>
      </c>
      <c r="B105" s="228"/>
      <c r="C105" s="212" t="s">
        <v>245</v>
      </c>
      <c r="D105" s="212" t="s">
        <v>3719</v>
      </c>
      <c r="E105" s="212" t="s">
        <v>92</v>
      </c>
      <c r="F105" s="212" t="s">
        <v>2322</v>
      </c>
      <c r="G105" s="224"/>
      <c r="H105" s="227" t="s">
        <v>3720</v>
      </c>
      <c r="I105" s="271" t="s">
        <v>3721</v>
      </c>
      <c r="J105" s="259" t="s">
        <v>92</v>
      </c>
      <c r="K105" s="215" t="s">
        <v>33</v>
      </c>
      <c r="L105" s="224"/>
      <c r="M105" s="224"/>
      <c r="N105" s="227"/>
      <c r="O105" s="210"/>
    </row>
    <row r="106">
      <c r="A106" s="212">
        <f t="shared" si="1"/>
        <v>104</v>
      </c>
      <c r="B106" s="228"/>
      <c r="C106" s="212" t="s">
        <v>245</v>
      </c>
      <c r="D106" s="212" t="s">
        <v>3719</v>
      </c>
      <c r="E106" s="212" t="s">
        <v>92</v>
      </c>
      <c r="F106" s="212" t="s">
        <v>3722</v>
      </c>
      <c r="G106" s="224"/>
      <c r="H106" s="227" t="s">
        <v>3723</v>
      </c>
      <c r="I106" s="227" t="s">
        <v>3724</v>
      </c>
      <c r="J106" s="259" t="s">
        <v>92</v>
      </c>
      <c r="K106" s="215" t="s">
        <v>33</v>
      </c>
      <c r="L106" s="224"/>
      <c r="M106" s="224"/>
      <c r="N106" s="227"/>
      <c r="O106" s="210"/>
    </row>
    <row r="107">
      <c r="A107" s="212">
        <f t="shared" si="1"/>
        <v>105</v>
      </c>
      <c r="B107" s="228"/>
      <c r="C107" s="212" t="s">
        <v>245</v>
      </c>
      <c r="D107" s="212" t="s">
        <v>3719</v>
      </c>
      <c r="E107" s="212" t="s">
        <v>3725</v>
      </c>
      <c r="F107" s="212" t="s">
        <v>613</v>
      </c>
      <c r="G107" s="224"/>
      <c r="H107" s="213" t="s">
        <v>3726</v>
      </c>
      <c r="I107" s="227" t="s">
        <v>3727</v>
      </c>
      <c r="J107" s="259" t="s">
        <v>92</v>
      </c>
      <c r="K107" s="215" t="s">
        <v>33</v>
      </c>
      <c r="L107" s="224"/>
      <c r="M107" s="224"/>
      <c r="N107" s="227"/>
      <c r="O107" s="210"/>
    </row>
    <row r="108">
      <c r="A108" s="212">
        <f t="shared" si="1"/>
        <v>106</v>
      </c>
      <c r="B108" s="228"/>
      <c r="C108" s="212" t="s">
        <v>245</v>
      </c>
      <c r="D108" s="212" t="s">
        <v>3719</v>
      </c>
      <c r="E108" s="212" t="s">
        <v>3725</v>
      </c>
      <c r="F108" s="225" t="s">
        <v>3728</v>
      </c>
      <c r="G108" s="227"/>
      <c r="H108" s="227" t="s">
        <v>3729</v>
      </c>
      <c r="I108" s="227" t="s">
        <v>3730</v>
      </c>
      <c r="J108" s="259" t="s">
        <v>92</v>
      </c>
      <c r="K108" s="215" t="s">
        <v>33</v>
      </c>
      <c r="L108" s="224"/>
      <c r="M108" s="224"/>
      <c r="N108" s="227"/>
      <c r="O108" s="210"/>
    </row>
    <row r="109">
      <c r="A109" s="212">
        <f t="shared" si="1"/>
        <v>107</v>
      </c>
      <c r="B109" s="228"/>
      <c r="C109" s="212" t="s">
        <v>245</v>
      </c>
      <c r="D109" s="212" t="s">
        <v>3719</v>
      </c>
      <c r="E109" s="212" t="s">
        <v>3725</v>
      </c>
      <c r="F109" s="220"/>
      <c r="G109" s="227" t="s">
        <v>3554</v>
      </c>
      <c r="H109" s="213" t="s">
        <v>3731</v>
      </c>
      <c r="I109" s="227" t="s">
        <v>3732</v>
      </c>
      <c r="J109" s="259" t="s">
        <v>92</v>
      </c>
      <c r="K109" s="215" t="s">
        <v>33</v>
      </c>
      <c r="L109" s="224"/>
      <c r="M109" s="224"/>
      <c r="N109" s="227"/>
      <c r="O109" s="210"/>
    </row>
    <row r="110">
      <c r="A110" s="212">
        <f t="shared" si="1"/>
        <v>108</v>
      </c>
      <c r="B110" s="228"/>
      <c r="C110" s="212" t="s">
        <v>245</v>
      </c>
      <c r="D110" s="212" t="s">
        <v>3719</v>
      </c>
      <c r="E110" s="212" t="s">
        <v>3725</v>
      </c>
      <c r="F110" s="39"/>
      <c r="G110" s="227" t="s">
        <v>3733</v>
      </c>
      <c r="H110" s="227" t="s">
        <v>3683</v>
      </c>
      <c r="I110" s="227" t="s">
        <v>3684</v>
      </c>
      <c r="J110" s="259" t="s">
        <v>92</v>
      </c>
      <c r="K110" s="215" t="s">
        <v>33</v>
      </c>
      <c r="L110" s="224"/>
      <c r="M110" s="224"/>
      <c r="N110" s="227"/>
      <c r="O110" s="210"/>
    </row>
    <row r="111">
      <c r="A111" s="212">
        <f t="shared" si="1"/>
        <v>109</v>
      </c>
      <c r="B111" s="228"/>
      <c r="C111" s="212" t="s">
        <v>245</v>
      </c>
      <c r="D111" s="212" t="s">
        <v>3719</v>
      </c>
      <c r="E111" s="212" t="s">
        <v>3725</v>
      </c>
      <c r="F111" s="212" t="s">
        <v>3594</v>
      </c>
      <c r="G111" s="227"/>
      <c r="H111" s="227" t="s">
        <v>1162</v>
      </c>
      <c r="I111" s="227" t="s">
        <v>3734</v>
      </c>
      <c r="J111" s="259" t="s">
        <v>92</v>
      </c>
      <c r="K111" s="215" t="s">
        <v>33</v>
      </c>
      <c r="L111" s="224"/>
      <c r="M111" s="224"/>
      <c r="N111" s="227"/>
      <c r="O111" s="210"/>
    </row>
    <row r="112">
      <c r="A112" s="212">
        <f t="shared" si="1"/>
        <v>110</v>
      </c>
      <c r="B112" s="228"/>
      <c r="C112" s="212" t="s">
        <v>245</v>
      </c>
      <c r="D112" s="212" t="s">
        <v>3719</v>
      </c>
      <c r="E112" s="212" t="s">
        <v>3725</v>
      </c>
      <c r="F112" s="225" t="s">
        <v>3597</v>
      </c>
      <c r="G112" s="227" t="s">
        <v>3735</v>
      </c>
      <c r="H112" s="227" t="s">
        <v>2031</v>
      </c>
      <c r="I112" s="227" t="s">
        <v>3663</v>
      </c>
      <c r="J112" s="259" t="s">
        <v>92</v>
      </c>
      <c r="K112" s="215" t="s">
        <v>33</v>
      </c>
      <c r="L112" s="224"/>
      <c r="M112" s="224"/>
      <c r="N112" s="227"/>
      <c r="O112" s="210"/>
    </row>
    <row r="113">
      <c r="A113" s="212">
        <f t="shared" si="1"/>
        <v>111</v>
      </c>
      <c r="B113" s="228"/>
      <c r="C113" s="212" t="s">
        <v>245</v>
      </c>
      <c r="D113" s="212" t="s">
        <v>3719</v>
      </c>
      <c r="E113" s="212" t="s">
        <v>3725</v>
      </c>
      <c r="F113" s="39"/>
      <c r="G113" s="227" t="s">
        <v>3736</v>
      </c>
      <c r="H113" s="227" t="s">
        <v>2031</v>
      </c>
      <c r="I113" s="227" t="s">
        <v>3737</v>
      </c>
      <c r="J113" s="259" t="s">
        <v>92</v>
      </c>
      <c r="K113" s="215" t="s">
        <v>33</v>
      </c>
      <c r="L113" s="224"/>
      <c r="M113" s="224"/>
      <c r="N113" s="227"/>
      <c r="O113" s="210"/>
    </row>
    <row r="114">
      <c r="A114" s="212">
        <f t="shared" si="1"/>
        <v>112</v>
      </c>
      <c r="B114" s="228"/>
      <c r="C114" s="212" t="s">
        <v>245</v>
      </c>
      <c r="D114" s="212" t="s">
        <v>3719</v>
      </c>
      <c r="E114" s="212" t="s">
        <v>92</v>
      </c>
      <c r="F114" s="212" t="s">
        <v>3738</v>
      </c>
      <c r="G114" s="224"/>
      <c r="H114" s="227" t="s">
        <v>3739</v>
      </c>
      <c r="I114" s="227" t="s">
        <v>3740</v>
      </c>
      <c r="J114" s="259" t="s">
        <v>92</v>
      </c>
      <c r="K114" s="215" t="s">
        <v>33</v>
      </c>
      <c r="L114" s="226"/>
      <c r="M114" s="224"/>
      <c r="N114" s="227"/>
      <c r="O114" s="210"/>
    </row>
    <row r="115">
      <c r="A115" s="212">
        <f t="shared" si="1"/>
        <v>113</v>
      </c>
      <c r="B115" s="228"/>
      <c r="C115" s="212" t="s">
        <v>245</v>
      </c>
      <c r="D115" s="212" t="s">
        <v>3719</v>
      </c>
      <c r="E115" s="212" t="s">
        <v>3741</v>
      </c>
      <c r="F115" s="212" t="s">
        <v>613</v>
      </c>
      <c r="G115" s="224"/>
      <c r="H115" s="213" t="s">
        <v>3742</v>
      </c>
      <c r="I115" s="227" t="s">
        <v>3743</v>
      </c>
      <c r="J115" s="259" t="s">
        <v>92</v>
      </c>
      <c r="K115" s="215" t="s">
        <v>33</v>
      </c>
      <c r="L115" s="226"/>
      <c r="M115" s="224"/>
      <c r="N115" s="227"/>
      <c r="O115" s="210"/>
    </row>
    <row r="116">
      <c r="A116" s="212">
        <f t="shared" si="1"/>
        <v>114</v>
      </c>
      <c r="B116" s="228"/>
      <c r="C116" s="212" t="s">
        <v>245</v>
      </c>
      <c r="D116" s="212" t="s">
        <v>3719</v>
      </c>
      <c r="E116" s="212" t="s">
        <v>3741</v>
      </c>
      <c r="F116" s="225" t="s">
        <v>3744</v>
      </c>
      <c r="G116" s="227"/>
      <c r="H116" s="227" t="s">
        <v>3745</v>
      </c>
      <c r="I116" s="227" t="s">
        <v>3746</v>
      </c>
      <c r="J116" s="259" t="s">
        <v>92</v>
      </c>
      <c r="K116" s="215" t="s">
        <v>33</v>
      </c>
      <c r="L116" s="226"/>
      <c r="M116" s="224"/>
      <c r="N116" s="227"/>
      <c r="O116" s="210"/>
    </row>
    <row r="117">
      <c r="A117" s="212">
        <f t="shared" si="1"/>
        <v>115</v>
      </c>
      <c r="B117" s="228"/>
      <c r="C117" s="212" t="s">
        <v>245</v>
      </c>
      <c r="D117" s="212" t="s">
        <v>3719</v>
      </c>
      <c r="E117" s="212" t="s">
        <v>3741</v>
      </c>
      <c r="F117" s="220"/>
      <c r="G117" s="227" t="s">
        <v>3554</v>
      </c>
      <c r="H117" s="213" t="s">
        <v>3747</v>
      </c>
      <c r="I117" s="227" t="s">
        <v>3732</v>
      </c>
      <c r="J117" s="259" t="s">
        <v>92</v>
      </c>
      <c r="K117" s="215" t="s">
        <v>33</v>
      </c>
      <c r="L117" s="224"/>
      <c r="M117" s="224"/>
      <c r="N117" s="227"/>
      <c r="O117" s="210"/>
    </row>
    <row r="118">
      <c r="A118" s="212">
        <f t="shared" si="1"/>
        <v>116</v>
      </c>
      <c r="B118" s="228"/>
      <c r="C118" s="212" t="s">
        <v>245</v>
      </c>
      <c r="D118" s="212" t="s">
        <v>3719</v>
      </c>
      <c r="E118" s="212" t="s">
        <v>3741</v>
      </c>
      <c r="F118" s="39"/>
      <c r="G118" s="227" t="s">
        <v>3733</v>
      </c>
      <c r="H118" s="227" t="s">
        <v>3683</v>
      </c>
      <c r="I118" s="227" t="s">
        <v>3684</v>
      </c>
      <c r="J118" s="259" t="s">
        <v>92</v>
      </c>
      <c r="K118" s="215" t="s">
        <v>33</v>
      </c>
      <c r="L118" s="224"/>
      <c r="M118" s="224"/>
      <c r="N118" s="227"/>
      <c r="O118" s="210"/>
    </row>
    <row r="119">
      <c r="A119" s="212">
        <f t="shared" si="1"/>
        <v>117</v>
      </c>
      <c r="B119" s="228"/>
      <c r="C119" s="212" t="s">
        <v>245</v>
      </c>
      <c r="D119" s="212" t="s">
        <v>3719</v>
      </c>
      <c r="E119" s="212" t="s">
        <v>3741</v>
      </c>
      <c r="F119" s="212" t="s">
        <v>3594</v>
      </c>
      <c r="G119" s="227"/>
      <c r="H119" s="227" t="s">
        <v>1162</v>
      </c>
      <c r="I119" s="227" t="s">
        <v>3748</v>
      </c>
      <c r="J119" s="259" t="s">
        <v>92</v>
      </c>
      <c r="K119" s="215" t="s">
        <v>33</v>
      </c>
      <c r="L119" s="224"/>
      <c r="M119" s="224"/>
      <c r="N119" s="227"/>
      <c r="O119" s="210"/>
    </row>
    <row r="120">
      <c r="A120" s="212">
        <f t="shared" si="1"/>
        <v>118</v>
      </c>
      <c r="B120" s="228"/>
      <c r="C120" s="212" t="s">
        <v>245</v>
      </c>
      <c r="D120" s="212" t="s">
        <v>3719</v>
      </c>
      <c r="E120" s="212" t="s">
        <v>3741</v>
      </c>
      <c r="F120" s="225" t="s">
        <v>3597</v>
      </c>
      <c r="G120" s="227" t="s">
        <v>3749</v>
      </c>
      <c r="H120" s="227" t="s">
        <v>2031</v>
      </c>
      <c r="I120" s="227" t="s">
        <v>3663</v>
      </c>
      <c r="J120" s="259" t="s">
        <v>92</v>
      </c>
      <c r="K120" s="215" t="s">
        <v>33</v>
      </c>
      <c r="L120" s="224"/>
      <c r="M120" s="224"/>
      <c r="N120" s="227"/>
      <c r="O120" s="210"/>
    </row>
    <row r="121">
      <c r="A121" s="212">
        <f t="shared" si="1"/>
        <v>119</v>
      </c>
      <c r="B121" s="228"/>
      <c r="C121" s="212" t="s">
        <v>245</v>
      </c>
      <c r="D121" s="212" t="s">
        <v>3719</v>
      </c>
      <c r="E121" s="212" t="s">
        <v>3741</v>
      </c>
      <c r="F121" s="39"/>
      <c r="G121" s="227" t="s">
        <v>3750</v>
      </c>
      <c r="H121" s="227" t="s">
        <v>2031</v>
      </c>
      <c r="I121" s="227" t="s">
        <v>3737</v>
      </c>
      <c r="J121" s="259" t="s">
        <v>92</v>
      </c>
      <c r="K121" s="215" t="s">
        <v>33</v>
      </c>
      <c r="L121" s="224"/>
      <c r="M121" s="224"/>
      <c r="N121" s="227"/>
      <c r="O121" s="210"/>
    </row>
    <row r="122">
      <c r="A122" s="212">
        <f t="shared" si="1"/>
        <v>120</v>
      </c>
      <c r="B122" s="228"/>
      <c r="C122" s="212" t="s">
        <v>245</v>
      </c>
      <c r="D122" s="212" t="s">
        <v>3719</v>
      </c>
      <c r="E122" s="212" t="s">
        <v>92</v>
      </c>
      <c r="F122" s="212" t="s">
        <v>3751</v>
      </c>
      <c r="G122" s="224"/>
      <c r="H122" s="227" t="s">
        <v>3752</v>
      </c>
      <c r="I122" s="227" t="s">
        <v>3643</v>
      </c>
      <c r="J122" s="259" t="s">
        <v>92</v>
      </c>
      <c r="K122" s="215" t="s">
        <v>33</v>
      </c>
      <c r="L122" s="224"/>
      <c r="M122" s="224"/>
      <c r="N122" s="227"/>
      <c r="O122" s="210"/>
    </row>
    <row r="123">
      <c r="A123" s="212">
        <f t="shared" si="1"/>
        <v>121</v>
      </c>
      <c r="B123" s="228"/>
      <c r="C123" s="212" t="s">
        <v>245</v>
      </c>
      <c r="D123" s="212" t="s">
        <v>3719</v>
      </c>
      <c r="E123" s="212" t="s">
        <v>3644</v>
      </c>
      <c r="F123" s="212" t="s">
        <v>613</v>
      </c>
      <c r="G123" s="227"/>
      <c r="H123" s="227" t="s">
        <v>3645</v>
      </c>
      <c r="I123" s="227" t="s">
        <v>3753</v>
      </c>
      <c r="J123" s="259" t="s">
        <v>92</v>
      </c>
      <c r="K123" s="215"/>
      <c r="L123" s="240" t="s">
        <v>3754</v>
      </c>
      <c r="M123" s="224"/>
      <c r="N123" s="227"/>
      <c r="O123" s="210"/>
    </row>
    <row r="124">
      <c r="A124" s="212">
        <f t="shared" si="1"/>
        <v>122</v>
      </c>
      <c r="B124" s="228"/>
      <c r="C124" s="212" t="s">
        <v>245</v>
      </c>
      <c r="D124" s="212" t="s">
        <v>3719</v>
      </c>
      <c r="E124" s="212" t="s">
        <v>3644</v>
      </c>
      <c r="F124" s="225" t="s">
        <v>3755</v>
      </c>
      <c r="G124" s="227"/>
      <c r="H124" s="227" t="s">
        <v>3756</v>
      </c>
      <c r="I124" s="227" t="s">
        <v>3757</v>
      </c>
      <c r="J124" s="259" t="s">
        <v>92</v>
      </c>
      <c r="K124" s="215" t="s">
        <v>33</v>
      </c>
      <c r="L124" s="224"/>
      <c r="M124" s="227"/>
      <c r="N124" s="227"/>
      <c r="O124" s="210"/>
    </row>
    <row r="125">
      <c r="A125" s="212">
        <f t="shared" si="1"/>
        <v>123</v>
      </c>
      <c r="B125" s="228"/>
      <c r="C125" s="212" t="s">
        <v>245</v>
      </c>
      <c r="D125" s="212" t="s">
        <v>3719</v>
      </c>
      <c r="E125" s="212" t="s">
        <v>3644</v>
      </c>
      <c r="F125" s="39"/>
      <c r="G125" s="227" t="s">
        <v>3758</v>
      </c>
      <c r="H125" s="227" t="s">
        <v>3759</v>
      </c>
      <c r="I125" s="227" t="s">
        <v>3760</v>
      </c>
      <c r="J125" s="259" t="s">
        <v>92</v>
      </c>
      <c r="K125" s="215" t="s">
        <v>33</v>
      </c>
      <c r="L125" s="224"/>
      <c r="M125" s="224"/>
      <c r="N125" s="227"/>
      <c r="O125" s="210"/>
    </row>
    <row r="126">
      <c r="A126" s="212">
        <f t="shared" si="1"/>
        <v>124</v>
      </c>
      <c r="B126" s="228"/>
      <c r="C126" s="212" t="s">
        <v>245</v>
      </c>
      <c r="D126" s="212" t="s">
        <v>3719</v>
      </c>
      <c r="E126" s="212" t="s">
        <v>3644</v>
      </c>
      <c r="F126" s="212" t="s">
        <v>3761</v>
      </c>
      <c r="G126" s="227" t="s">
        <v>3554</v>
      </c>
      <c r="H126" s="213" t="s">
        <v>3650</v>
      </c>
      <c r="I126" s="227" t="s">
        <v>3651</v>
      </c>
      <c r="J126" s="259" t="s">
        <v>92</v>
      </c>
      <c r="K126" s="215" t="s">
        <v>33</v>
      </c>
      <c r="L126" s="224"/>
      <c r="M126" s="224"/>
      <c r="N126" s="227"/>
      <c r="O126" s="210"/>
    </row>
    <row r="127">
      <c r="A127" s="212">
        <f t="shared" si="1"/>
        <v>125</v>
      </c>
      <c r="B127" s="228"/>
      <c r="C127" s="212" t="s">
        <v>245</v>
      </c>
      <c r="D127" s="212" t="s">
        <v>3719</v>
      </c>
      <c r="E127" s="212" t="s">
        <v>3644</v>
      </c>
      <c r="F127" s="225" t="s">
        <v>3762</v>
      </c>
      <c r="G127" s="227"/>
      <c r="H127" s="227" t="s">
        <v>3763</v>
      </c>
      <c r="I127" s="227" t="s">
        <v>3764</v>
      </c>
      <c r="J127" s="259" t="s">
        <v>92</v>
      </c>
      <c r="K127" s="215" t="s">
        <v>34</v>
      </c>
      <c r="L127" s="224"/>
      <c r="M127" s="227" t="s">
        <v>3765</v>
      </c>
      <c r="N127" s="227"/>
      <c r="O127" s="210"/>
    </row>
    <row r="128">
      <c r="A128" s="212">
        <f t="shared" si="1"/>
        <v>126</v>
      </c>
      <c r="B128" s="228"/>
      <c r="C128" s="212" t="s">
        <v>245</v>
      </c>
      <c r="D128" s="212" t="s">
        <v>3719</v>
      </c>
      <c r="E128" s="212" t="s">
        <v>3644</v>
      </c>
      <c r="F128" s="220"/>
      <c r="G128" s="273"/>
      <c r="H128" s="257" t="s">
        <v>3766</v>
      </c>
      <c r="I128" s="257" t="s">
        <v>3767</v>
      </c>
      <c r="J128" s="259" t="s">
        <v>92</v>
      </c>
      <c r="K128" s="215" t="s">
        <v>36</v>
      </c>
      <c r="L128" s="224"/>
      <c r="M128" s="227" t="s">
        <v>3765</v>
      </c>
      <c r="N128" s="227"/>
      <c r="O128" s="210"/>
    </row>
    <row r="129">
      <c r="A129" s="212">
        <f t="shared" si="1"/>
        <v>127</v>
      </c>
      <c r="B129" s="228"/>
      <c r="C129" s="212" t="s">
        <v>245</v>
      </c>
      <c r="D129" s="212" t="s">
        <v>3719</v>
      </c>
      <c r="E129" s="212" t="s">
        <v>3644</v>
      </c>
      <c r="F129" s="220"/>
      <c r="G129" s="257" t="s">
        <v>3768</v>
      </c>
      <c r="H129" s="257" t="s">
        <v>3769</v>
      </c>
      <c r="I129" s="257" t="s">
        <v>3770</v>
      </c>
      <c r="J129" s="259" t="s">
        <v>92</v>
      </c>
      <c r="K129" s="215" t="s">
        <v>35</v>
      </c>
      <c r="L129" s="224"/>
      <c r="M129" s="227" t="s">
        <v>3765</v>
      </c>
      <c r="N129" s="227"/>
      <c r="O129" s="210"/>
    </row>
    <row r="130">
      <c r="A130" s="212">
        <f t="shared" si="1"/>
        <v>128</v>
      </c>
      <c r="B130" s="228"/>
      <c r="C130" s="212" t="s">
        <v>245</v>
      </c>
      <c r="D130" s="212" t="s">
        <v>3719</v>
      </c>
      <c r="E130" s="212" t="s">
        <v>3644</v>
      </c>
      <c r="F130" s="220"/>
      <c r="G130" s="257" t="s">
        <v>3771</v>
      </c>
      <c r="H130" s="257" t="s">
        <v>3769</v>
      </c>
      <c r="I130" s="257" t="s">
        <v>3772</v>
      </c>
      <c r="J130" s="259" t="s">
        <v>92</v>
      </c>
      <c r="K130" s="215" t="s">
        <v>33</v>
      </c>
      <c r="L130" s="224"/>
      <c r="M130" s="224"/>
      <c r="N130" s="227"/>
      <c r="O130" s="210"/>
    </row>
    <row r="131">
      <c r="A131" s="212">
        <f t="shared" si="1"/>
        <v>129</v>
      </c>
      <c r="B131" s="228"/>
      <c r="C131" s="212" t="s">
        <v>245</v>
      </c>
      <c r="D131" s="212" t="s">
        <v>3719</v>
      </c>
      <c r="E131" s="212" t="s">
        <v>3644</v>
      </c>
      <c r="F131" s="220"/>
      <c r="G131" s="227"/>
      <c r="H131" s="227" t="s">
        <v>3773</v>
      </c>
      <c r="I131" s="227" t="s">
        <v>3774</v>
      </c>
      <c r="J131" s="259" t="s">
        <v>92</v>
      </c>
      <c r="K131" s="215" t="s">
        <v>33</v>
      </c>
      <c r="L131" s="224"/>
      <c r="M131" s="224"/>
      <c r="N131" s="227"/>
      <c r="O131" s="210"/>
    </row>
    <row r="132">
      <c r="A132" s="212">
        <f t="shared" si="1"/>
        <v>130</v>
      </c>
      <c r="B132" s="228"/>
      <c r="C132" s="212" t="s">
        <v>245</v>
      </c>
      <c r="D132" s="212" t="s">
        <v>3719</v>
      </c>
      <c r="E132" s="212" t="s">
        <v>3644</v>
      </c>
      <c r="F132" s="39"/>
      <c r="G132" s="227"/>
      <c r="H132" s="213" t="s">
        <v>3775</v>
      </c>
      <c r="I132" s="227" t="s">
        <v>3776</v>
      </c>
      <c r="J132" s="259" t="s">
        <v>92</v>
      </c>
      <c r="K132" s="215" t="s">
        <v>33</v>
      </c>
      <c r="L132" s="224"/>
      <c r="M132" s="224"/>
      <c r="N132" s="227"/>
      <c r="O132" s="210"/>
    </row>
    <row r="133">
      <c r="A133" s="212">
        <f t="shared" si="1"/>
        <v>131</v>
      </c>
      <c r="B133" s="228"/>
      <c r="C133" s="212" t="s">
        <v>245</v>
      </c>
      <c r="D133" s="212" t="s">
        <v>3719</v>
      </c>
      <c r="E133" s="212" t="s">
        <v>3644</v>
      </c>
      <c r="F133" s="212" t="s">
        <v>3777</v>
      </c>
      <c r="G133" s="227" t="s">
        <v>3554</v>
      </c>
      <c r="H133" s="213" t="s">
        <v>3778</v>
      </c>
      <c r="I133" s="227" t="s">
        <v>3779</v>
      </c>
      <c r="J133" s="259" t="s">
        <v>92</v>
      </c>
      <c r="K133" s="215" t="s">
        <v>33</v>
      </c>
      <c r="L133" s="224"/>
      <c r="M133" s="224"/>
      <c r="N133" s="227"/>
      <c r="O133" s="210"/>
    </row>
    <row r="134">
      <c r="A134" s="212">
        <f t="shared" si="1"/>
        <v>132</v>
      </c>
      <c r="B134" s="228"/>
      <c r="C134" s="212" t="s">
        <v>245</v>
      </c>
      <c r="D134" s="212" t="s">
        <v>3719</v>
      </c>
      <c r="E134" s="212" t="s">
        <v>3644</v>
      </c>
      <c r="F134" s="225" t="s">
        <v>3780</v>
      </c>
      <c r="G134" s="224"/>
      <c r="H134" s="227" t="s">
        <v>3781</v>
      </c>
      <c r="I134" s="227" t="s">
        <v>3782</v>
      </c>
      <c r="J134" s="259" t="s">
        <v>92</v>
      </c>
      <c r="K134" s="215" t="s">
        <v>33</v>
      </c>
      <c r="L134" s="224"/>
      <c r="M134" s="224"/>
      <c r="N134" s="227"/>
      <c r="O134" s="210"/>
    </row>
    <row r="135">
      <c r="A135" s="212">
        <f t="shared" si="1"/>
        <v>133</v>
      </c>
      <c r="B135" s="228"/>
      <c r="C135" s="212" t="s">
        <v>245</v>
      </c>
      <c r="D135" s="212" t="s">
        <v>3719</v>
      </c>
      <c r="E135" s="212" t="s">
        <v>3644</v>
      </c>
      <c r="F135" s="39"/>
      <c r="G135" s="224"/>
      <c r="H135" s="227" t="s">
        <v>3783</v>
      </c>
      <c r="I135" s="271" t="s">
        <v>3784</v>
      </c>
      <c r="J135" s="259" t="s">
        <v>92</v>
      </c>
      <c r="K135" s="215" t="s">
        <v>33</v>
      </c>
      <c r="L135" s="224"/>
      <c r="M135" s="224"/>
      <c r="N135" s="227"/>
      <c r="O135" s="210"/>
    </row>
    <row r="136">
      <c r="A136" s="212">
        <f t="shared" si="1"/>
        <v>134</v>
      </c>
      <c r="B136" s="228"/>
      <c r="C136" s="212" t="s">
        <v>245</v>
      </c>
      <c r="D136" s="212" t="s">
        <v>3719</v>
      </c>
      <c r="E136" s="212" t="s">
        <v>3644</v>
      </c>
      <c r="F136" s="225" t="s">
        <v>3562</v>
      </c>
      <c r="G136" s="224"/>
      <c r="H136" s="227" t="s">
        <v>3564</v>
      </c>
      <c r="I136" s="227" t="s">
        <v>3785</v>
      </c>
      <c r="J136" s="259" t="s">
        <v>92</v>
      </c>
      <c r="K136" s="215" t="s">
        <v>33</v>
      </c>
      <c r="L136" s="224"/>
      <c r="M136" s="224"/>
      <c r="N136" s="227"/>
      <c r="O136" s="210"/>
    </row>
    <row r="137">
      <c r="A137" s="212">
        <f t="shared" si="1"/>
        <v>135</v>
      </c>
      <c r="B137" s="228"/>
      <c r="C137" s="212" t="s">
        <v>245</v>
      </c>
      <c r="D137" s="212" t="s">
        <v>3719</v>
      </c>
      <c r="E137" s="212" t="s">
        <v>3644</v>
      </c>
      <c r="F137" s="220"/>
      <c r="G137" s="227"/>
      <c r="H137" s="227" t="s">
        <v>3566</v>
      </c>
      <c r="I137" s="227" t="s">
        <v>3786</v>
      </c>
      <c r="J137" s="259" t="s">
        <v>92</v>
      </c>
      <c r="K137" s="215" t="s">
        <v>33</v>
      </c>
      <c r="L137" s="224"/>
      <c r="M137" s="224"/>
      <c r="N137" s="227"/>
      <c r="O137" s="210"/>
    </row>
    <row r="138">
      <c r="A138" s="212">
        <f t="shared" si="1"/>
        <v>136</v>
      </c>
      <c r="B138" s="228"/>
      <c r="C138" s="212" t="s">
        <v>245</v>
      </c>
      <c r="D138" s="212" t="s">
        <v>3719</v>
      </c>
      <c r="E138" s="212" t="s">
        <v>3644</v>
      </c>
      <c r="F138" s="220"/>
      <c r="G138" s="227"/>
      <c r="H138" s="213" t="s">
        <v>3568</v>
      </c>
      <c r="I138" s="213" t="s">
        <v>3569</v>
      </c>
      <c r="J138" s="259" t="s">
        <v>92</v>
      </c>
      <c r="K138" s="215" t="s">
        <v>33</v>
      </c>
      <c r="L138" s="224"/>
      <c r="M138" s="224"/>
      <c r="N138" s="227"/>
      <c r="O138" s="210"/>
    </row>
    <row r="139">
      <c r="A139" s="212">
        <f t="shared" si="1"/>
        <v>137</v>
      </c>
      <c r="B139" s="228"/>
      <c r="C139" s="212" t="s">
        <v>245</v>
      </c>
      <c r="D139" s="212" t="s">
        <v>3719</v>
      </c>
      <c r="E139" s="212" t="s">
        <v>3644</v>
      </c>
      <c r="F139" s="39"/>
      <c r="G139" s="227"/>
      <c r="H139" s="227" t="s">
        <v>3570</v>
      </c>
      <c r="I139" s="213" t="s">
        <v>3571</v>
      </c>
      <c r="J139" s="259" t="s">
        <v>92</v>
      </c>
      <c r="K139" s="215" t="s">
        <v>33</v>
      </c>
      <c r="L139" s="224"/>
      <c r="M139" s="224"/>
      <c r="N139" s="227"/>
      <c r="O139" s="210"/>
    </row>
    <row r="140">
      <c r="A140" s="212">
        <f t="shared" si="1"/>
        <v>138</v>
      </c>
      <c r="B140" s="228"/>
      <c r="C140" s="212" t="s">
        <v>245</v>
      </c>
      <c r="D140" s="212" t="s">
        <v>3719</v>
      </c>
      <c r="E140" s="212" t="s">
        <v>3644</v>
      </c>
      <c r="F140" s="212" t="s">
        <v>3787</v>
      </c>
      <c r="G140" s="227" t="s">
        <v>3554</v>
      </c>
      <c r="H140" s="213" t="s">
        <v>3788</v>
      </c>
      <c r="I140" s="227" t="s">
        <v>3789</v>
      </c>
      <c r="J140" s="259" t="s">
        <v>92</v>
      </c>
      <c r="K140" s="215" t="s">
        <v>33</v>
      </c>
      <c r="L140" s="224"/>
      <c r="M140" s="224"/>
      <c r="N140" s="227"/>
      <c r="O140" s="210"/>
    </row>
    <row r="141">
      <c r="A141" s="212">
        <f t="shared" si="1"/>
        <v>139</v>
      </c>
      <c r="B141" s="228"/>
      <c r="C141" s="212" t="s">
        <v>245</v>
      </c>
      <c r="D141" s="212" t="s">
        <v>3719</v>
      </c>
      <c r="E141" s="212" t="s">
        <v>3644</v>
      </c>
      <c r="F141" s="225" t="s">
        <v>3790</v>
      </c>
      <c r="G141" s="227"/>
      <c r="H141" s="227" t="s">
        <v>3791</v>
      </c>
      <c r="I141" s="227" t="s">
        <v>3792</v>
      </c>
      <c r="J141" s="259" t="s">
        <v>92</v>
      </c>
      <c r="K141" s="215" t="s">
        <v>33</v>
      </c>
      <c r="L141" s="224"/>
      <c r="M141" s="224"/>
      <c r="N141" s="227"/>
      <c r="O141" s="210"/>
    </row>
    <row r="142">
      <c r="A142" s="212">
        <f t="shared" si="1"/>
        <v>140</v>
      </c>
      <c r="B142" s="228"/>
      <c r="C142" s="212" t="s">
        <v>245</v>
      </c>
      <c r="D142" s="212" t="s">
        <v>3719</v>
      </c>
      <c r="E142" s="212" t="s">
        <v>3644</v>
      </c>
      <c r="F142" s="220"/>
      <c r="G142" s="227"/>
      <c r="H142" s="227" t="s">
        <v>3793</v>
      </c>
      <c r="I142" s="227" t="s">
        <v>3794</v>
      </c>
      <c r="J142" s="259" t="s">
        <v>92</v>
      </c>
      <c r="K142" s="215" t="s">
        <v>33</v>
      </c>
      <c r="L142" s="224"/>
      <c r="M142" s="224"/>
      <c r="N142" s="227"/>
      <c r="O142" s="210"/>
    </row>
    <row r="143">
      <c r="A143" s="212">
        <f t="shared" si="1"/>
        <v>141</v>
      </c>
      <c r="B143" s="228"/>
      <c r="C143" s="212" t="s">
        <v>245</v>
      </c>
      <c r="D143" s="212" t="s">
        <v>3719</v>
      </c>
      <c r="E143" s="212" t="s">
        <v>3644</v>
      </c>
      <c r="F143" s="39"/>
      <c r="G143" s="227"/>
      <c r="H143" s="227" t="s">
        <v>3795</v>
      </c>
      <c r="I143" s="227" t="s">
        <v>3796</v>
      </c>
      <c r="J143" s="259" t="s">
        <v>92</v>
      </c>
      <c r="K143" s="215" t="s">
        <v>33</v>
      </c>
      <c r="L143" s="224"/>
      <c r="M143" s="227"/>
      <c r="N143" s="227"/>
      <c r="O143" s="210"/>
    </row>
    <row r="144">
      <c r="A144" s="212">
        <f t="shared" si="1"/>
        <v>142</v>
      </c>
      <c r="B144" s="228"/>
      <c r="C144" s="212" t="s">
        <v>245</v>
      </c>
      <c r="D144" s="212" t="s">
        <v>3719</v>
      </c>
      <c r="E144" s="212" t="s">
        <v>3644</v>
      </c>
      <c r="F144" s="212" t="s">
        <v>3594</v>
      </c>
      <c r="G144" s="227"/>
      <c r="H144" s="227" t="s">
        <v>1162</v>
      </c>
      <c r="I144" s="227" t="s">
        <v>3797</v>
      </c>
      <c r="J144" s="259" t="s">
        <v>92</v>
      </c>
      <c r="K144" s="215" t="s">
        <v>33</v>
      </c>
      <c r="L144" s="224"/>
      <c r="M144" s="224"/>
      <c r="N144" s="227"/>
      <c r="O144" s="210"/>
    </row>
    <row r="145">
      <c r="A145" s="212">
        <f t="shared" si="1"/>
        <v>143</v>
      </c>
      <c r="B145" s="228"/>
      <c r="C145" s="212" t="s">
        <v>245</v>
      </c>
      <c r="D145" s="212" t="s">
        <v>3719</v>
      </c>
      <c r="E145" s="212" t="s">
        <v>3644</v>
      </c>
      <c r="F145" s="225" t="s">
        <v>3597</v>
      </c>
      <c r="G145" s="257" t="s">
        <v>3798</v>
      </c>
      <c r="H145" s="227" t="s">
        <v>2031</v>
      </c>
      <c r="I145" s="257" t="s">
        <v>3663</v>
      </c>
      <c r="J145" s="259" t="s">
        <v>92</v>
      </c>
      <c r="K145" s="215" t="s">
        <v>33</v>
      </c>
      <c r="L145" s="224"/>
      <c r="M145" s="224"/>
      <c r="N145" s="227"/>
      <c r="O145" s="210"/>
    </row>
    <row r="146">
      <c r="A146" s="212">
        <f t="shared" si="1"/>
        <v>144</v>
      </c>
      <c r="B146" s="228"/>
      <c r="C146" s="212" t="s">
        <v>245</v>
      </c>
      <c r="D146" s="212" t="s">
        <v>3719</v>
      </c>
      <c r="E146" s="212" t="s">
        <v>3644</v>
      </c>
      <c r="F146" s="39"/>
      <c r="G146" s="257" t="s">
        <v>3799</v>
      </c>
      <c r="H146" s="227" t="s">
        <v>2031</v>
      </c>
      <c r="I146" s="257" t="s">
        <v>3800</v>
      </c>
      <c r="J146" s="259" t="s">
        <v>92</v>
      </c>
      <c r="K146" s="215" t="s">
        <v>33</v>
      </c>
      <c r="L146" s="226"/>
      <c r="M146" s="227"/>
      <c r="N146" s="227"/>
      <c r="O146" s="210"/>
    </row>
    <row r="147">
      <c r="A147" s="212">
        <f t="shared" si="1"/>
        <v>145</v>
      </c>
      <c r="B147" s="228"/>
      <c r="C147" s="212" t="s">
        <v>245</v>
      </c>
      <c r="D147" s="212" t="s">
        <v>3719</v>
      </c>
      <c r="E147" s="212" t="s">
        <v>92</v>
      </c>
      <c r="F147" s="225" t="s">
        <v>3687</v>
      </c>
      <c r="G147" s="227" t="s">
        <v>3801</v>
      </c>
      <c r="H147" s="227" t="s">
        <v>3689</v>
      </c>
      <c r="I147" s="257" t="s">
        <v>3663</v>
      </c>
      <c r="J147" s="259" t="s">
        <v>92</v>
      </c>
      <c r="K147" s="215" t="s">
        <v>33</v>
      </c>
      <c r="L147" s="224"/>
      <c r="M147" s="224"/>
      <c r="N147" s="227"/>
      <c r="O147" s="210"/>
    </row>
    <row r="148">
      <c r="A148" s="212">
        <f t="shared" si="1"/>
        <v>146</v>
      </c>
      <c r="B148" s="228"/>
      <c r="C148" s="212" t="s">
        <v>245</v>
      </c>
      <c r="D148" s="212" t="s">
        <v>3719</v>
      </c>
      <c r="E148" s="212" t="s">
        <v>92</v>
      </c>
      <c r="F148" s="220"/>
      <c r="G148" s="254" t="s">
        <v>3802</v>
      </c>
      <c r="H148" s="227" t="s">
        <v>3803</v>
      </c>
      <c r="I148" s="257" t="s">
        <v>3804</v>
      </c>
      <c r="J148" s="259" t="s">
        <v>92</v>
      </c>
      <c r="K148" s="215" t="s">
        <v>33</v>
      </c>
      <c r="L148" s="224"/>
      <c r="M148" s="224"/>
      <c r="N148" s="227"/>
      <c r="O148" s="210"/>
    </row>
    <row r="149">
      <c r="A149" s="212">
        <f t="shared" si="1"/>
        <v>147</v>
      </c>
      <c r="B149" s="228"/>
      <c r="C149" s="212" t="s">
        <v>245</v>
      </c>
      <c r="D149" s="212" t="s">
        <v>3719</v>
      </c>
      <c r="E149" s="212" t="s">
        <v>92</v>
      </c>
      <c r="F149" s="220"/>
      <c r="G149" s="220"/>
      <c r="H149" s="227" t="s">
        <v>3689</v>
      </c>
      <c r="I149" s="227" t="s">
        <v>3805</v>
      </c>
      <c r="J149" s="259" t="s">
        <v>92</v>
      </c>
      <c r="K149" s="215" t="s">
        <v>33</v>
      </c>
      <c r="L149" s="224"/>
      <c r="M149" s="224"/>
      <c r="N149" s="227"/>
      <c r="O149" s="210"/>
    </row>
    <row r="150">
      <c r="A150" s="212">
        <f t="shared" si="1"/>
        <v>148</v>
      </c>
      <c r="B150" s="228"/>
      <c r="C150" s="212" t="s">
        <v>245</v>
      </c>
      <c r="D150" s="212" t="s">
        <v>3719</v>
      </c>
      <c r="E150" s="212" t="s">
        <v>92</v>
      </c>
      <c r="F150" s="220"/>
      <c r="G150" s="220"/>
      <c r="H150" s="227" t="s">
        <v>3625</v>
      </c>
      <c r="I150" s="227" t="s">
        <v>3806</v>
      </c>
      <c r="J150" s="259" t="s">
        <v>92</v>
      </c>
      <c r="K150" s="215" t="s">
        <v>33</v>
      </c>
      <c r="L150" s="224"/>
      <c r="M150" s="224"/>
      <c r="N150" s="227"/>
      <c r="O150" s="210"/>
    </row>
    <row r="151">
      <c r="A151" s="212">
        <f t="shared" si="1"/>
        <v>149</v>
      </c>
      <c r="B151" s="228"/>
      <c r="C151" s="212" t="s">
        <v>245</v>
      </c>
      <c r="D151" s="212" t="s">
        <v>3719</v>
      </c>
      <c r="E151" s="212" t="s">
        <v>92</v>
      </c>
      <c r="F151" s="39"/>
      <c r="G151" s="39"/>
      <c r="H151" s="227" t="s">
        <v>3627</v>
      </c>
      <c r="I151" s="227" t="s">
        <v>3807</v>
      </c>
      <c r="J151" s="259" t="s">
        <v>92</v>
      </c>
      <c r="K151" s="215" t="s">
        <v>33</v>
      </c>
      <c r="L151" s="224"/>
      <c r="M151" s="224"/>
      <c r="N151" s="227"/>
      <c r="O151" s="210"/>
    </row>
    <row r="152">
      <c r="A152" s="212">
        <f t="shared" si="1"/>
        <v>150</v>
      </c>
      <c r="B152" s="228"/>
      <c r="C152" s="212" t="s">
        <v>245</v>
      </c>
      <c r="D152" s="212" t="s">
        <v>3808</v>
      </c>
      <c r="E152" s="212" t="s">
        <v>92</v>
      </c>
      <c r="F152" s="212" t="s">
        <v>613</v>
      </c>
      <c r="G152" s="224"/>
      <c r="H152" s="227" t="s">
        <v>3809</v>
      </c>
      <c r="I152" s="227" t="s">
        <v>3810</v>
      </c>
      <c r="J152" s="259" t="s">
        <v>92</v>
      </c>
      <c r="K152" s="215"/>
      <c r="L152" s="224"/>
      <c r="M152" s="224"/>
      <c r="N152" s="227"/>
      <c r="O152" s="210"/>
    </row>
    <row r="153">
      <c r="A153" s="212">
        <f t="shared" si="1"/>
        <v>151</v>
      </c>
      <c r="B153" s="228"/>
      <c r="C153" s="212" t="s">
        <v>245</v>
      </c>
      <c r="D153" s="212" t="s">
        <v>3808</v>
      </c>
      <c r="E153" s="212" t="s">
        <v>92</v>
      </c>
      <c r="F153" s="212" t="s">
        <v>3811</v>
      </c>
      <c r="G153" s="224"/>
      <c r="H153" s="227" t="s">
        <v>3812</v>
      </c>
      <c r="I153" s="227" t="s">
        <v>3813</v>
      </c>
      <c r="J153" s="259" t="s">
        <v>92</v>
      </c>
      <c r="K153" s="215"/>
      <c r="L153" s="224"/>
      <c r="M153" s="224"/>
      <c r="N153" s="227"/>
      <c r="O153" s="210"/>
    </row>
    <row r="154">
      <c r="A154" s="212">
        <f t="shared" si="1"/>
        <v>152</v>
      </c>
      <c r="B154" s="228"/>
      <c r="C154" s="212" t="s">
        <v>245</v>
      </c>
      <c r="D154" s="212" t="s">
        <v>3808</v>
      </c>
      <c r="E154" s="212" t="s">
        <v>3814</v>
      </c>
      <c r="F154" s="212" t="s">
        <v>613</v>
      </c>
      <c r="G154" s="227"/>
      <c r="H154" s="227" t="s">
        <v>3815</v>
      </c>
      <c r="I154" s="227" t="s">
        <v>3816</v>
      </c>
      <c r="J154" s="259" t="s">
        <v>92</v>
      </c>
      <c r="K154" s="215"/>
      <c r="L154" s="224"/>
      <c r="M154" s="224"/>
      <c r="N154" s="227"/>
      <c r="O154" s="210"/>
    </row>
    <row r="155">
      <c r="A155" s="212">
        <f t="shared" si="1"/>
        <v>153</v>
      </c>
      <c r="B155" s="228"/>
      <c r="C155" s="212" t="s">
        <v>245</v>
      </c>
      <c r="D155" s="212" t="s">
        <v>3808</v>
      </c>
      <c r="E155" s="212" t="s">
        <v>3814</v>
      </c>
      <c r="F155" s="225" t="s">
        <v>1898</v>
      </c>
      <c r="G155" s="227" t="s">
        <v>3817</v>
      </c>
      <c r="H155" s="227" t="s">
        <v>3818</v>
      </c>
      <c r="I155" s="227" t="s">
        <v>3819</v>
      </c>
      <c r="J155" s="259" t="s">
        <v>92</v>
      </c>
      <c r="K155" s="215"/>
      <c r="L155" s="226"/>
      <c r="M155" s="224"/>
      <c r="N155" s="227"/>
      <c r="O155" s="210"/>
    </row>
    <row r="156">
      <c r="A156" s="212">
        <f t="shared" si="1"/>
        <v>154</v>
      </c>
      <c r="B156" s="228"/>
      <c r="C156" s="212" t="s">
        <v>245</v>
      </c>
      <c r="D156" s="212" t="s">
        <v>3808</v>
      </c>
      <c r="E156" s="212" t="s">
        <v>3814</v>
      </c>
      <c r="F156" s="39"/>
      <c r="G156" s="227" t="s">
        <v>3820</v>
      </c>
      <c r="H156" s="227" t="s">
        <v>3818</v>
      </c>
      <c r="I156" s="227" t="s">
        <v>3821</v>
      </c>
      <c r="J156" s="259" t="s">
        <v>92</v>
      </c>
      <c r="K156" s="215"/>
      <c r="L156" s="224"/>
      <c r="M156" s="224"/>
      <c r="N156" s="227"/>
      <c r="O156" s="210"/>
    </row>
    <row r="157">
      <c r="A157" s="212">
        <f t="shared" si="1"/>
        <v>155</v>
      </c>
      <c r="B157" s="228"/>
      <c r="C157" s="212" t="s">
        <v>245</v>
      </c>
      <c r="D157" s="212" t="s">
        <v>3808</v>
      </c>
      <c r="E157" s="212" t="s">
        <v>3814</v>
      </c>
      <c r="F157" s="225" t="s">
        <v>1694</v>
      </c>
      <c r="G157" s="224"/>
      <c r="H157" s="227" t="s">
        <v>878</v>
      </c>
      <c r="I157" s="227" t="s">
        <v>3822</v>
      </c>
      <c r="J157" s="259" t="s">
        <v>92</v>
      </c>
      <c r="K157" s="215"/>
      <c r="L157" s="224"/>
      <c r="M157" s="224"/>
      <c r="N157" s="227"/>
      <c r="O157" s="210"/>
    </row>
    <row r="158">
      <c r="A158" s="212">
        <f t="shared" si="1"/>
        <v>156</v>
      </c>
      <c r="B158" s="228"/>
      <c r="C158" s="212" t="s">
        <v>245</v>
      </c>
      <c r="D158" s="212" t="s">
        <v>3808</v>
      </c>
      <c r="E158" s="212" t="s">
        <v>3814</v>
      </c>
      <c r="F158" s="220"/>
      <c r="G158" s="227"/>
      <c r="H158" s="227" t="s">
        <v>3625</v>
      </c>
      <c r="I158" s="227" t="s">
        <v>3806</v>
      </c>
      <c r="J158" s="259" t="s">
        <v>92</v>
      </c>
      <c r="K158" s="215"/>
      <c r="L158" s="224"/>
      <c r="M158" s="224"/>
      <c r="N158" s="227"/>
      <c r="O158" s="210"/>
    </row>
    <row r="159">
      <c r="A159" s="212">
        <f t="shared" si="1"/>
        <v>157</v>
      </c>
      <c r="B159" s="228"/>
      <c r="C159" s="212" t="s">
        <v>245</v>
      </c>
      <c r="D159" s="212" t="s">
        <v>3808</v>
      </c>
      <c r="E159" s="212" t="s">
        <v>3814</v>
      </c>
      <c r="F159" s="39"/>
      <c r="G159" s="224"/>
      <c r="H159" s="227" t="s">
        <v>3627</v>
      </c>
      <c r="I159" s="227" t="s">
        <v>3807</v>
      </c>
      <c r="J159" s="259" t="s">
        <v>92</v>
      </c>
      <c r="K159" s="215"/>
      <c r="L159" s="224"/>
      <c r="M159" s="224"/>
      <c r="N159" s="227"/>
      <c r="O159" s="210"/>
    </row>
    <row r="160">
      <c r="A160" s="212">
        <f t="shared" si="1"/>
        <v>158</v>
      </c>
      <c r="B160" s="228"/>
      <c r="C160" s="212" t="s">
        <v>3823</v>
      </c>
      <c r="D160" s="212" t="s">
        <v>92</v>
      </c>
      <c r="E160" s="212" t="s">
        <v>92</v>
      </c>
      <c r="F160" s="212" t="s">
        <v>613</v>
      </c>
      <c r="G160" s="227"/>
      <c r="H160" s="213" t="s">
        <v>3824</v>
      </c>
      <c r="I160" s="227" t="s">
        <v>3825</v>
      </c>
      <c r="J160" s="256" t="s">
        <v>3823</v>
      </c>
      <c r="K160" s="215"/>
      <c r="L160" s="224"/>
      <c r="M160" s="224"/>
      <c r="N160" s="227"/>
      <c r="O160" s="210"/>
    </row>
    <row r="161">
      <c r="A161" s="212">
        <f t="shared" si="1"/>
        <v>159</v>
      </c>
      <c r="B161" s="228"/>
      <c r="C161" s="212" t="s">
        <v>3823</v>
      </c>
      <c r="D161" s="212" t="s">
        <v>3372</v>
      </c>
      <c r="E161" s="212" t="s">
        <v>92</v>
      </c>
      <c r="F161" s="212" t="s">
        <v>3373</v>
      </c>
      <c r="G161" s="217"/>
      <c r="H161" s="213" t="s">
        <v>3374</v>
      </c>
      <c r="I161" s="213" t="s">
        <v>3826</v>
      </c>
      <c r="J161" s="256" t="s">
        <v>3827</v>
      </c>
      <c r="K161" s="215"/>
      <c r="L161" s="226"/>
      <c r="M161" s="224"/>
      <c r="N161" s="227"/>
      <c r="O161" s="210"/>
    </row>
    <row r="162">
      <c r="A162" s="212">
        <f t="shared" si="1"/>
        <v>160</v>
      </c>
      <c r="B162" s="228"/>
      <c r="C162" s="212" t="s">
        <v>3823</v>
      </c>
      <c r="D162" s="212" t="s">
        <v>3372</v>
      </c>
      <c r="E162" s="212" t="s">
        <v>92</v>
      </c>
      <c r="F162" s="212" t="s">
        <v>1378</v>
      </c>
      <c r="G162" s="217"/>
      <c r="H162" s="213" t="s">
        <v>1379</v>
      </c>
      <c r="I162" s="213" t="s">
        <v>3828</v>
      </c>
      <c r="J162" s="256" t="s">
        <v>3827</v>
      </c>
      <c r="K162" s="215"/>
      <c r="L162" s="226"/>
      <c r="M162" s="224"/>
      <c r="N162" s="227"/>
      <c r="O162" s="210"/>
    </row>
    <row r="163">
      <c r="A163" s="212">
        <f t="shared" si="1"/>
        <v>161</v>
      </c>
      <c r="B163" s="228"/>
      <c r="C163" s="212" t="s">
        <v>3823</v>
      </c>
      <c r="D163" s="212" t="s">
        <v>587</v>
      </c>
      <c r="E163" s="212" t="s">
        <v>92</v>
      </c>
      <c r="F163" s="212" t="s">
        <v>613</v>
      </c>
      <c r="G163" s="224"/>
      <c r="H163" s="227" t="s">
        <v>3829</v>
      </c>
      <c r="I163" s="227" t="s">
        <v>3830</v>
      </c>
      <c r="J163" s="256" t="s">
        <v>3831</v>
      </c>
      <c r="K163" s="215"/>
      <c r="L163" s="226"/>
      <c r="M163" s="224"/>
      <c r="N163" s="227"/>
      <c r="O163" s="210"/>
    </row>
    <row r="164">
      <c r="A164" s="212">
        <f t="shared" si="1"/>
        <v>162</v>
      </c>
      <c r="B164" s="228"/>
      <c r="C164" s="212" t="s">
        <v>3823</v>
      </c>
      <c r="D164" s="212" t="s">
        <v>587</v>
      </c>
      <c r="E164" s="212" t="s">
        <v>92</v>
      </c>
      <c r="F164" s="212" t="s">
        <v>3832</v>
      </c>
      <c r="G164" s="224"/>
      <c r="H164" s="227" t="s">
        <v>3833</v>
      </c>
      <c r="I164" s="227" t="s">
        <v>3834</v>
      </c>
      <c r="J164" s="256" t="s">
        <v>3835</v>
      </c>
      <c r="K164" s="215"/>
      <c r="L164" s="226"/>
      <c r="M164" s="224"/>
      <c r="N164" s="227"/>
      <c r="O164" s="210"/>
    </row>
    <row r="165">
      <c r="A165" s="212">
        <f t="shared" si="1"/>
        <v>163</v>
      </c>
      <c r="B165" s="228"/>
      <c r="C165" s="212" t="s">
        <v>3823</v>
      </c>
      <c r="D165" s="212" t="s">
        <v>587</v>
      </c>
      <c r="E165" s="212" t="s">
        <v>92</v>
      </c>
      <c r="F165" s="212" t="s">
        <v>1191</v>
      </c>
      <c r="G165" s="224"/>
      <c r="H165" s="227" t="s">
        <v>3836</v>
      </c>
      <c r="I165" s="227" t="s">
        <v>3837</v>
      </c>
      <c r="J165" s="256" t="s">
        <v>3838</v>
      </c>
      <c r="K165" s="215"/>
      <c r="L165" s="226"/>
      <c r="M165" s="224"/>
      <c r="N165" s="227"/>
      <c r="O165" s="210"/>
    </row>
    <row r="166">
      <c r="A166" s="212">
        <f t="shared" si="1"/>
        <v>164</v>
      </c>
      <c r="B166" s="228"/>
      <c r="C166" s="212" t="s">
        <v>3823</v>
      </c>
      <c r="D166" s="212" t="s">
        <v>587</v>
      </c>
      <c r="E166" s="212" t="s">
        <v>92</v>
      </c>
      <c r="F166" s="225" t="s">
        <v>3839</v>
      </c>
      <c r="G166" s="227"/>
      <c r="H166" s="227" t="s">
        <v>3840</v>
      </c>
      <c r="I166" s="227" t="s">
        <v>3841</v>
      </c>
      <c r="J166" s="256" t="s">
        <v>3842</v>
      </c>
      <c r="K166" s="215"/>
      <c r="L166" s="226"/>
      <c r="M166" s="224"/>
      <c r="N166" s="227"/>
      <c r="O166" s="210"/>
    </row>
    <row r="167">
      <c r="A167" s="212">
        <f t="shared" si="1"/>
        <v>165</v>
      </c>
      <c r="B167" s="228"/>
      <c r="C167" s="212" t="s">
        <v>3823</v>
      </c>
      <c r="D167" s="212" t="s">
        <v>587</v>
      </c>
      <c r="E167" s="212" t="s">
        <v>92</v>
      </c>
      <c r="F167" s="39"/>
      <c r="G167" s="224"/>
      <c r="H167" s="227" t="s">
        <v>3843</v>
      </c>
      <c r="I167" s="227" t="s">
        <v>3844</v>
      </c>
      <c r="J167" s="256" t="s">
        <v>3842</v>
      </c>
      <c r="K167" s="215"/>
      <c r="L167" s="226"/>
      <c r="M167" s="224"/>
      <c r="N167" s="227"/>
      <c r="O167" s="210"/>
    </row>
    <row r="168">
      <c r="A168" s="212">
        <f t="shared" si="1"/>
        <v>166</v>
      </c>
      <c r="B168" s="228"/>
      <c r="C168" s="212" t="s">
        <v>3823</v>
      </c>
      <c r="D168" s="212" t="s">
        <v>587</v>
      </c>
      <c r="E168" s="212" t="s">
        <v>92</v>
      </c>
      <c r="F168" s="225" t="s">
        <v>3845</v>
      </c>
      <c r="G168" s="224"/>
      <c r="H168" s="227" t="s">
        <v>3846</v>
      </c>
      <c r="I168" s="227" t="s">
        <v>3847</v>
      </c>
      <c r="J168" s="256" t="s">
        <v>3848</v>
      </c>
      <c r="K168" s="215"/>
      <c r="L168" s="226"/>
      <c r="M168" s="224"/>
      <c r="N168" s="227"/>
      <c r="O168" s="210"/>
    </row>
    <row r="169">
      <c r="A169" s="212">
        <f t="shared" si="1"/>
        <v>167</v>
      </c>
      <c r="B169" s="228"/>
      <c r="C169" s="212" t="s">
        <v>3823</v>
      </c>
      <c r="D169" s="212" t="s">
        <v>587</v>
      </c>
      <c r="E169" s="212" t="s">
        <v>92</v>
      </c>
      <c r="F169" s="39"/>
      <c r="G169" s="224"/>
      <c r="H169" s="227" t="s">
        <v>3849</v>
      </c>
      <c r="I169" s="227" t="s">
        <v>3850</v>
      </c>
      <c r="J169" s="256" t="s">
        <v>3848</v>
      </c>
      <c r="K169" s="215"/>
      <c r="L169" s="226"/>
      <c r="M169" s="224"/>
      <c r="N169" s="227"/>
      <c r="O169" s="210"/>
    </row>
    <row r="170">
      <c r="A170" s="212">
        <f t="shared" si="1"/>
        <v>168</v>
      </c>
      <c r="B170" s="228"/>
      <c r="C170" s="212" t="s">
        <v>3823</v>
      </c>
      <c r="D170" s="212" t="s">
        <v>587</v>
      </c>
      <c r="E170" s="212" t="s">
        <v>92</v>
      </c>
      <c r="F170" s="212" t="s">
        <v>608</v>
      </c>
      <c r="G170" s="227" t="s">
        <v>3851</v>
      </c>
      <c r="H170" s="227" t="s">
        <v>1479</v>
      </c>
      <c r="I170" s="227" t="s">
        <v>3852</v>
      </c>
      <c r="J170" s="259" t="s">
        <v>92</v>
      </c>
      <c r="K170" s="215"/>
      <c r="L170" s="226"/>
      <c r="M170" s="224"/>
      <c r="N170" s="227"/>
      <c r="O170" s="210"/>
    </row>
    <row r="171">
      <c r="A171" s="212">
        <f t="shared" si="1"/>
        <v>169</v>
      </c>
      <c r="B171" s="228"/>
      <c r="C171" s="212" t="s">
        <v>3823</v>
      </c>
      <c r="D171" s="212" t="s">
        <v>587</v>
      </c>
      <c r="E171" s="212" t="s">
        <v>92</v>
      </c>
      <c r="F171" s="225" t="s">
        <v>1310</v>
      </c>
      <c r="G171" s="227" t="s">
        <v>3853</v>
      </c>
      <c r="H171" s="227" t="s">
        <v>1863</v>
      </c>
      <c r="I171" s="227" t="s">
        <v>3854</v>
      </c>
      <c r="J171" s="259" t="s">
        <v>92</v>
      </c>
      <c r="K171" s="215"/>
      <c r="L171" s="226"/>
      <c r="M171" s="224"/>
      <c r="N171" s="227"/>
      <c r="O171" s="210"/>
    </row>
    <row r="172">
      <c r="A172" s="212">
        <f t="shared" si="1"/>
        <v>170</v>
      </c>
      <c r="B172" s="228"/>
      <c r="C172" s="212" t="s">
        <v>3823</v>
      </c>
      <c r="D172" s="212" t="s">
        <v>587</v>
      </c>
      <c r="E172" s="212" t="s">
        <v>92</v>
      </c>
      <c r="F172" s="220"/>
      <c r="G172" s="227" t="s">
        <v>3855</v>
      </c>
      <c r="H172" s="227" t="s">
        <v>1863</v>
      </c>
      <c r="I172" s="227" t="s">
        <v>3856</v>
      </c>
      <c r="J172" s="256" t="s">
        <v>3857</v>
      </c>
      <c r="K172" s="215"/>
      <c r="L172" s="226"/>
      <c r="M172" s="224"/>
      <c r="N172" s="227"/>
      <c r="O172" s="210"/>
    </row>
    <row r="173">
      <c r="A173" s="212">
        <f t="shared" si="1"/>
        <v>171</v>
      </c>
      <c r="B173" s="228"/>
      <c r="C173" s="212" t="s">
        <v>3823</v>
      </c>
      <c r="D173" s="212" t="s">
        <v>587</v>
      </c>
      <c r="E173" s="212" t="s">
        <v>92</v>
      </c>
      <c r="F173" s="220"/>
      <c r="G173" s="227" t="s">
        <v>3858</v>
      </c>
      <c r="H173" s="227" t="s">
        <v>1863</v>
      </c>
      <c r="I173" s="227" t="s">
        <v>3859</v>
      </c>
      <c r="J173" s="256" t="s">
        <v>3857</v>
      </c>
      <c r="K173" s="215"/>
      <c r="L173" s="226"/>
      <c r="M173" s="224"/>
      <c r="N173" s="227"/>
      <c r="O173" s="210"/>
    </row>
    <row r="174">
      <c r="A174" s="212">
        <f t="shared" si="1"/>
        <v>172</v>
      </c>
      <c r="B174" s="228"/>
      <c r="C174" s="212" t="s">
        <v>3823</v>
      </c>
      <c r="D174" s="212" t="s">
        <v>587</v>
      </c>
      <c r="E174" s="212" t="s">
        <v>92</v>
      </c>
      <c r="F174" s="220"/>
      <c r="G174" s="227" t="s">
        <v>3860</v>
      </c>
      <c r="H174" s="227" t="s">
        <v>1863</v>
      </c>
      <c r="I174" s="227" t="s">
        <v>3861</v>
      </c>
      <c r="J174" s="256" t="s">
        <v>3857</v>
      </c>
      <c r="K174" s="215"/>
      <c r="L174" s="226"/>
      <c r="M174" s="224"/>
      <c r="N174" s="227"/>
      <c r="O174" s="210"/>
    </row>
    <row r="175">
      <c r="A175" s="212">
        <f t="shared" si="1"/>
        <v>173</v>
      </c>
      <c r="B175" s="228"/>
      <c r="C175" s="212" t="s">
        <v>3823</v>
      </c>
      <c r="D175" s="212" t="s">
        <v>587</v>
      </c>
      <c r="E175" s="212" t="s">
        <v>92</v>
      </c>
      <c r="F175" s="39"/>
      <c r="G175" s="227" t="s">
        <v>3862</v>
      </c>
      <c r="H175" s="227" t="s">
        <v>1863</v>
      </c>
      <c r="I175" s="227" t="s">
        <v>3863</v>
      </c>
      <c r="J175" s="259" t="s">
        <v>92</v>
      </c>
      <c r="K175" s="215"/>
      <c r="L175" s="226"/>
      <c r="M175" s="224"/>
      <c r="N175" s="227"/>
      <c r="O175" s="210"/>
    </row>
    <row r="176">
      <c r="A176" s="212">
        <f t="shared" si="1"/>
        <v>174</v>
      </c>
      <c r="B176" s="228"/>
      <c r="C176" s="212" t="s">
        <v>3823</v>
      </c>
      <c r="D176" s="212" t="s">
        <v>3864</v>
      </c>
      <c r="E176" s="212" t="s">
        <v>92</v>
      </c>
      <c r="F176" s="212" t="s">
        <v>613</v>
      </c>
      <c r="G176" s="224"/>
      <c r="H176" s="227" t="s">
        <v>3456</v>
      </c>
      <c r="I176" s="227" t="s">
        <v>3865</v>
      </c>
      <c r="J176" s="256" t="s">
        <v>3866</v>
      </c>
      <c r="K176" s="215"/>
      <c r="L176" s="226"/>
      <c r="M176" s="224"/>
      <c r="N176" s="227"/>
      <c r="O176" s="210"/>
    </row>
    <row r="177">
      <c r="A177" s="212">
        <f t="shared" si="1"/>
        <v>175</v>
      </c>
      <c r="B177" s="228"/>
      <c r="C177" s="212" t="s">
        <v>3823</v>
      </c>
      <c r="D177" s="212" t="s">
        <v>3864</v>
      </c>
      <c r="E177" s="212" t="s">
        <v>92</v>
      </c>
      <c r="F177" s="212" t="s">
        <v>3867</v>
      </c>
      <c r="G177" s="227"/>
      <c r="H177" s="227" t="s">
        <v>3868</v>
      </c>
      <c r="I177" s="227" t="s">
        <v>3869</v>
      </c>
      <c r="J177" s="256" t="s">
        <v>3870</v>
      </c>
      <c r="K177" s="215"/>
      <c r="L177" s="226"/>
      <c r="M177" s="224"/>
      <c r="N177" s="227"/>
      <c r="O177" s="210"/>
    </row>
    <row r="178">
      <c r="A178" s="212">
        <f t="shared" si="1"/>
        <v>176</v>
      </c>
      <c r="B178" s="228"/>
      <c r="C178" s="212" t="s">
        <v>3823</v>
      </c>
      <c r="D178" s="212" t="s">
        <v>3864</v>
      </c>
      <c r="E178" s="212" t="s">
        <v>92</v>
      </c>
      <c r="F178" s="212" t="s">
        <v>3871</v>
      </c>
      <c r="G178" s="224"/>
      <c r="H178" s="227" t="s">
        <v>3872</v>
      </c>
      <c r="I178" s="227" t="s">
        <v>3873</v>
      </c>
      <c r="J178" s="256" t="s">
        <v>3874</v>
      </c>
      <c r="K178" s="215"/>
      <c r="L178" s="226"/>
      <c r="M178" s="224"/>
      <c r="N178" s="227"/>
      <c r="O178" s="210"/>
    </row>
    <row r="179">
      <c r="A179" s="212">
        <f t="shared" si="1"/>
        <v>177</v>
      </c>
      <c r="B179" s="228"/>
      <c r="C179" s="212" t="s">
        <v>3823</v>
      </c>
      <c r="D179" s="212" t="s">
        <v>3864</v>
      </c>
      <c r="E179" s="212" t="s">
        <v>92</v>
      </c>
      <c r="F179" s="212" t="s">
        <v>3875</v>
      </c>
      <c r="G179" s="224"/>
      <c r="H179" s="227" t="s">
        <v>3876</v>
      </c>
      <c r="I179" s="227" t="s">
        <v>3877</v>
      </c>
      <c r="J179" s="256" t="s">
        <v>3878</v>
      </c>
      <c r="K179" s="215"/>
      <c r="L179" s="226"/>
      <c r="M179" s="224"/>
      <c r="N179" s="227"/>
      <c r="O179" s="210"/>
    </row>
    <row r="180">
      <c r="A180" s="212">
        <f t="shared" si="1"/>
        <v>178</v>
      </c>
      <c r="B180" s="228"/>
      <c r="C180" s="212" t="s">
        <v>3823</v>
      </c>
      <c r="D180" s="212" t="s">
        <v>3864</v>
      </c>
      <c r="E180" s="212" t="s">
        <v>92</v>
      </c>
      <c r="F180" s="212" t="s">
        <v>3879</v>
      </c>
      <c r="G180" s="224"/>
      <c r="H180" s="227" t="s">
        <v>3880</v>
      </c>
      <c r="I180" s="227" t="s">
        <v>3881</v>
      </c>
      <c r="J180" s="256" t="s">
        <v>3882</v>
      </c>
      <c r="K180" s="215"/>
      <c r="L180" s="226"/>
      <c r="M180" s="224"/>
      <c r="N180" s="227"/>
      <c r="O180" s="210"/>
    </row>
    <row r="181">
      <c r="A181" s="212">
        <f t="shared" si="1"/>
        <v>179</v>
      </c>
      <c r="B181" s="228"/>
      <c r="C181" s="212" t="s">
        <v>3823</v>
      </c>
      <c r="D181" s="212" t="s">
        <v>3883</v>
      </c>
      <c r="E181" s="212" t="s">
        <v>92</v>
      </c>
      <c r="F181" s="225" t="s">
        <v>3884</v>
      </c>
      <c r="G181" s="224"/>
      <c r="H181" s="227" t="s">
        <v>3885</v>
      </c>
      <c r="I181" s="227" t="s">
        <v>3886</v>
      </c>
      <c r="J181" s="256" t="s">
        <v>3887</v>
      </c>
      <c r="K181" s="215"/>
      <c r="L181" s="226"/>
      <c r="M181" s="224"/>
      <c r="N181" s="227"/>
      <c r="O181" s="210"/>
    </row>
    <row r="182">
      <c r="A182" s="212">
        <f t="shared" si="1"/>
        <v>180</v>
      </c>
      <c r="B182" s="228"/>
      <c r="C182" s="212" t="s">
        <v>3823</v>
      </c>
      <c r="D182" s="212" t="s">
        <v>3883</v>
      </c>
      <c r="E182" s="212" t="s">
        <v>92</v>
      </c>
      <c r="F182" s="39"/>
      <c r="G182" s="224"/>
      <c r="H182" s="227" t="s">
        <v>3888</v>
      </c>
      <c r="I182" s="227" t="s">
        <v>3889</v>
      </c>
      <c r="J182" s="259" t="s">
        <v>92</v>
      </c>
      <c r="K182" s="215"/>
      <c r="L182" s="226"/>
      <c r="M182" s="224"/>
      <c r="N182" s="227"/>
      <c r="O182" s="210"/>
    </row>
    <row r="183">
      <c r="A183" s="212">
        <f t="shared" si="1"/>
        <v>181</v>
      </c>
      <c r="B183" s="228"/>
      <c r="C183" s="212" t="s">
        <v>3823</v>
      </c>
      <c r="D183" s="212" t="s">
        <v>3883</v>
      </c>
      <c r="E183" s="212" t="s">
        <v>92</v>
      </c>
      <c r="F183" s="225" t="s">
        <v>3890</v>
      </c>
      <c r="G183" s="227"/>
      <c r="H183" s="227" t="s">
        <v>3891</v>
      </c>
      <c r="I183" s="227" t="s">
        <v>3892</v>
      </c>
      <c r="J183" s="256" t="s">
        <v>3893</v>
      </c>
      <c r="K183" s="215"/>
      <c r="L183" s="224"/>
      <c r="M183" s="224"/>
      <c r="N183" s="227"/>
      <c r="O183" s="210"/>
    </row>
    <row r="184">
      <c r="A184" s="212">
        <f t="shared" si="1"/>
        <v>182</v>
      </c>
      <c r="B184" s="228"/>
      <c r="C184" s="212" t="s">
        <v>3823</v>
      </c>
      <c r="D184" s="212" t="s">
        <v>3883</v>
      </c>
      <c r="E184" s="212" t="s">
        <v>92</v>
      </c>
      <c r="F184" s="220"/>
      <c r="G184" s="227" t="s">
        <v>3894</v>
      </c>
      <c r="H184" s="227" t="s">
        <v>3891</v>
      </c>
      <c r="I184" s="227" t="s">
        <v>3895</v>
      </c>
      <c r="J184" s="256" t="s">
        <v>3893</v>
      </c>
      <c r="K184" s="215"/>
      <c r="L184" s="224"/>
      <c r="M184" s="224"/>
      <c r="N184" s="227"/>
      <c r="O184" s="210"/>
    </row>
    <row r="185">
      <c r="A185" s="212">
        <f t="shared" si="1"/>
        <v>183</v>
      </c>
      <c r="B185" s="228"/>
      <c r="C185" s="212" t="s">
        <v>3823</v>
      </c>
      <c r="D185" s="212" t="s">
        <v>3883</v>
      </c>
      <c r="E185" s="212" t="s">
        <v>92</v>
      </c>
      <c r="F185" s="39"/>
      <c r="G185" s="227"/>
      <c r="H185" s="227" t="s">
        <v>3888</v>
      </c>
      <c r="I185" s="227" t="s">
        <v>3889</v>
      </c>
      <c r="J185" s="259" t="s">
        <v>92</v>
      </c>
      <c r="K185" s="215"/>
      <c r="L185" s="224"/>
      <c r="M185" s="224"/>
      <c r="N185" s="227"/>
      <c r="O185" s="210"/>
    </row>
    <row r="186">
      <c r="A186" s="212">
        <f t="shared" si="1"/>
        <v>184</v>
      </c>
      <c r="B186" s="228"/>
      <c r="C186" s="212" t="s">
        <v>3823</v>
      </c>
      <c r="D186" s="212" t="s">
        <v>3883</v>
      </c>
      <c r="E186" s="212" t="s">
        <v>92</v>
      </c>
      <c r="F186" s="225" t="s">
        <v>3896</v>
      </c>
      <c r="G186" s="227"/>
      <c r="H186" s="227" t="s">
        <v>3897</v>
      </c>
      <c r="I186" s="227" t="s">
        <v>3898</v>
      </c>
      <c r="J186" s="256" t="s">
        <v>3899</v>
      </c>
      <c r="K186" s="215"/>
      <c r="L186" s="224"/>
      <c r="M186" s="224"/>
      <c r="N186" s="227"/>
      <c r="O186" s="210"/>
    </row>
    <row r="187">
      <c r="A187" s="212">
        <f t="shared" si="1"/>
        <v>185</v>
      </c>
      <c r="B187" s="228"/>
      <c r="C187" s="212" t="s">
        <v>3823</v>
      </c>
      <c r="D187" s="212" t="s">
        <v>3883</v>
      </c>
      <c r="E187" s="212" t="s">
        <v>92</v>
      </c>
      <c r="F187" s="220"/>
      <c r="G187" s="227" t="s">
        <v>3900</v>
      </c>
      <c r="H187" s="227" t="s">
        <v>3901</v>
      </c>
      <c r="I187" s="227" t="s">
        <v>3902</v>
      </c>
      <c r="J187" s="256" t="s">
        <v>3899</v>
      </c>
      <c r="K187" s="215"/>
      <c r="L187" s="224"/>
      <c r="M187" s="224"/>
      <c r="N187" s="227"/>
      <c r="O187" s="210"/>
    </row>
    <row r="188">
      <c r="A188" s="212">
        <f t="shared" si="1"/>
        <v>186</v>
      </c>
      <c r="B188" s="228"/>
      <c r="C188" s="212" t="s">
        <v>3823</v>
      </c>
      <c r="D188" s="212" t="s">
        <v>3883</v>
      </c>
      <c r="E188" s="212" t="s">
        <v>92</v>
      </c>
      <c r="F188" s="39"/>
      <c r="G188" s="227"/>
      <c r="H188" s="227" t="s">
        <v>3888</v>
      </c>
      <c r="I188" s="227" t="s">
        <v>3889</v>
      </c>
      <c r="J188" s="259" t="s">
        <v>92</v>
      </c>
      <c r="K188" s="215"/>
      <c r="L188" s="224"/>
      <c r="M188" s="224"/>
      <c r="N188" s="227"/>
      <c r="O188" s="210"/>
    </row>
    <row r="189">
      <c r="A189" s="212">
        <f t="shared" si="1"/>
        <v>187</v>
      </c>
      <c r="B189" s="228"/>
      <c r="C189" s="212" t="s">
        <v>3823</v>
      </c>
      <c r="D189" s="212" t="s">
        <v>3903</v>
      </c>
      <c r="E189" s="212" t="s">
        <v>92</v>
      </c>
      <c r="F189" s="212" t="s">
        <v>613</v>
      </c>
      <c r="G189" s="227"/>
      <c r="H189" s="227" t="s">
        <v>3904</v>
      </c>
      <c r="I189" s="227" t="s">
        <v>3905</v>
      </c>
      <c r="J189" s="256" t="s">
        <v>3906</v>
      </c>
      <c r="K189" s="215"/>
      <c r="L189" s="224"/>
      <c r="M189" s="224"/>
      <c r="N189" s="227"/>
      <c r="O189" s="210"/>
    </row>
    <row r="190">
      <c r="A190" s="212">
        <f t="shared" si="1"/>
        <v>188</v>
      </c>
      <c r="B190" s="228"/>
      <c r="C190" s="212" t="s">
        <v>3823</v>
      </c>
      <c r="D190" s="212" t="s">
        <v>3903</v>
      </c>
      <c r="E190" s="212" t="s">
        <v>92</v>
      </c>
      <c r="F190" s="225" t="s">
        <v>3907</v>
      </c>
      <c r="G190" s="227"/>
      <c r="H190" s="227" t="s">
        <v>3908</v>
      </c>
      <c r="I190" s="227" t="s">
        <v>3909</v>
      </c>
      <c r="J190" s="256" t="s">
        <v>3906</v>
      </c>
      <c r="K190" s="215"/>
      <c r="L190" s="224"/>
      <c r="M190" s="224"/>
      <c r="N190" s="227"/>
      <c r="O190" s="210"/>
    </row>
    <row r="191">
      <c r="A191" s="212">
        <f t="shared" si="1"/>
        <v>189</v>
      </c>
      <c r="B191" s="228"/>
      <c r="C191" s="212" t="s">
        <v>3823</v>
      </c>
      <c r="D191" s="212" t="s">
        <v>3903</v>
      </c>
      <c r="E191" s="212" t="s">
        <v>92</v>
      </c>
      <c r="F191" s="39"/>
      <c r="G191" s="227"/>
      <c r="H191" s="227" t="s">
        <v>3910</v>
      </c>
      <c r="I191" s="227" t="s">
        <v>3911</v>
      </c>
      <c r="J191" s="259" t="s">
        <v>92</v>
      </c>
      <c r="K191" s="215"/>
      <c r="L191" s="224"/>
      <c r="M191" s="224"/>
      <c r="N191" s="227"/>
      <c r="O191" s="210"/>
    </row>
    <row r="192">
      <c r="A192" s="212">
        <f t="shared" si="1"/>
        <v>190</v>
      </c>
      <c r="B192" s="228"/>
      <c r="C192" s="212" t="s">
        <v>3823</v>
      </c>
      <c r="D192" s="212" t="s">
        <v>3912</v>
      </c>
      <c r="E192" s="212" t="s">
        <v>92</v>
      </c>
      <c r="F192" s="212" t="s">
        <v>613</v>
      </c>
      <c r="G192" s="227"/>
      <c r="H192" s="227" t="s">
        <v>3913</v>
      </c>
      <c r="I192" s="227" t="s">
        <v>3914</v>
      </c>
      <c r="J192" s="256" t="s">
        <v>3915</v>
      </c>
      <c r="K192" s="215"/>
      <c r="L192" s="224"/>
      <c r="M192" s="224"/>
      <c r="N192" s="227"/>
      <c r="O192" s="210"/>
    </row>
    <row r="193">
      <c r="A193" s="212">
        <f t="shared" si="1"/>
        <v>191</v>
      </c>
      <c r="B193" s="228"/>
      <c r="C193" s="212" t="s">
        <v>3823</v>
      </c>
      <c r="D193" s="212" t="s">
        <v>3912</v>
      </c>
      <c r="E193" s="212" t="s">
        <v>92</v>
      </c>
      <c r="F193" s="212" t="s">
        <v>3867</v>
      </c>
      <c r="G193" s="227"/>
      <c r="H193" s="227" t="s">
        <v>3916</v>
      </c>
      <c r="I193" s="227" t="s">
        <v>3917</v>
      </c>
      <c r="J193" s="256" t="s">
        <v>3918</v>
      </c>
      <c r="K193" s="215"/>
      <c r="L193" s="224"/>
      <c r="M193" s="224"/>
      <c r="N193" s="227"/>
      <c r="O193" s="210"/>
    </row>
    <row r="194">
      <c r="A194" s="212">
        <f t="shared" si="1"/>
        <v>192</v>
      </c>
      <c r="B194" s="228"/>
      <c r="C194" s="212" t="s">
        <v>3823</v>
      </c>
      <c r="D194" s="212" t="s">
        <v>3912</v>
      </c>
      <c r="E194" s="212" t="s">
        <v>92</v>
      </c>
      <c r="F194" s="212" t="s">
        <v>3871</v>
      </c>
      <c r="G194" s="227"/>
      <c r="H194" s="227" t="s">
        <v>3919</v>
      </c>
      <c r="I194" s="227" t="s">
        <v>3920</v>
      </c>
      <c r="J194" s="256" t="s">
        <v>3918</v>
      </c>
      <c r="K194" s="215"/>
      <c r="L194" s="224"/>
      <c r="M194" s="224"/>
      <c r="N194" s="227"/>
      <c r="O194" s="210"/>
    </row>
    <row r="195">
      <c r="A195" s="212">
        <f t="shared" si="1"/>
        <v>193</v>
      </c>
      <c r="B195" s="228"/>
      <c r="C195" s="212" t="s">
        <v>3823</v>
      </c>
      <c r="D195" s="212" t="s">
        <v>3912</v>
      </c>
      <c r="E195" s="212" t="s">
        <v>92</v>
      </c>
      <c r="F195" s="212" t="s">
        <v>448</v>
      </c>
      <c r="G195" s="227"/>
      <c r="H195" s="227" t="s">
        <v>579</v>
      </c>
      <c r="I195" s="227" t="s">
        <v>3486</v>
      </c>
      <c r="J195" s="256" t="s">
        <v>3921</v>
      </c>
      <c r="K195" s="215"/>
      <c r="L195" s="224"/>
      <c r="M195" s="224"/>
      <c r="N195" s="227"/>
      <c r="O195" s="210"/>
    </row>
    <row r="196">
      <c r="A196" s="212">
        <f t="shared" si="1"/>
        <v>194</v>
      </c>
      <c r="B196" s="228"/>
      <c r="C196" s="212" t="s">
        <v>3823</v>
      </c>
      <c r="D196" s="212" t="s">
        <v>3912</v>
      </c>
      <c r="E196" s="212" t="s">
        <v>92</v>
      </c>
      <c r="F196" s="225" t="s">
        <v>3922</v>
      </c>
      <c r="G196" s="227"/>
      <c r="H196" s="227" t="s">
        <v>3923</v>
      </c>
      <c r="I196" s="227" t="s">
        <v>3924</v>
      </c>
      <c r="J196" s="256" t="s">
        <v>3915</v>
      </c>
      <c r="K196" s="215"/>
      <c r="L196" s="224"/>
      <c r="M196" s="224"/>
      <c r="N196" s="227"/>
      <c r="O196" s="210"/>
    </row>
    <row r="197">
      <c r="A197" s="212">
        <f t="shared" si="1"/>
        <v>195</v>
      </c>
      <c r="B197" s="228"/>
      <c r="C197" s="212" t="s">
        <v>3823</v>
      </c>
      <c r="D197" s="212" t="s">
        <v>3912</v>
      </c>
      <c r="E197" s="212" t="s">
        <v>92</v>
      </c>
      <c r="F197" s="220"/>
      <c r="G197" s="227"/>
      <c r="H197" s="227" t="s">
        <v>3925</v>
      </c>
      <c r="I197" s="227" t="s">
        <v>3926</v>
      </c>
      <c r="J197" s="259" t="s">
        <v>92</v>
      </c>
      <c r="K197" s="215"/>
      <c r="L197" s="224"/>
      <c r="M197" s="224"/>
      <c r="N197" s="227"/>
      <c r="O197" s="210"/>
    </row>
    <row r="198">
      <c r="A198" s="212">
        <f t="shared" si="1"/>
        <v>196</v>
      </c>
      <c r="B198" s="228"/>
      <c r="C198" s="212" t="s">
        <v>3823</v>
      </c>
      <c r="D198" s="212" t="s">
        <v>3912</v>
      </c>
      <c r="E198" s="212" t="s">
        <v>92</v>
      </c>
      <c r="F198" s="39"/>
      <c r="G198" s="227" t="s">
        <v>3927</v>
      </c>
      <c r="H198" s="227" t="s">
        <v>1233</v>
      </c>
      <c r="I198" s="227" t="s">
        <v>3928</v>
      </c>
      <c r="J198" s="259" t="s">
        <v>92</v>
      </c>
      <c r="K198" s="215"/>
      <c r="L198" s="224"/>
      <c r="M198" s="224"/>
      <c r="N198" s="227"/>
      <c r="O198" s="210"/>
    </row>
    <row r="199">
      <c r="A199" s="212">
        <f t="shared" si="1"/>
        <v>197</v>
      </c>
      <c r="B199" s="228"/>
      <c r="C199" s="212" t="s">
        <v>3823</v>
      </c>
      <c r="D199" s="212" t="s">
        <v>3912</v>
      </c>
      <c r="E199" s="212" t="s">
        <v>92</v>
      </c>
      <c r="F199" s="225" t="s">
        <v>3015</v>
      </c>
      <c r="G199" s="254" t="s">
        <v>3432</v>
      </c>
      <c r="H199" s="219" t="s">
        <v>3017</v>
      </c>
      <c r="I199" s="217" t="s">
        <v>3929</v>
      </c>
      <c r="J199" s="259" t="s">
        <v>92</v>
      </c>
      <c r="K199" s="215"/>
      <c r="L199" s="224"/>
      <c r="M199" s="224"/>
      <c r="N199" s="227"/>
      <c r="O199" s="210"/>
    </row>
    <row r="200">
      <c r="A200" s="212">
        <f t="shared" si="1"/>
        <v>198</v>
      </c>
      <c r="B200" s="228"/>
      <c r="C200" s="212" t="s">
        <v>3823</v>
      </c>
      <c r="D200" s="212" t="s">
        <v>3912</v>
      </c>
      <c r="E200" s="212" t="s">
        <v>92</v>
      </c>
      <c r="F200" s="39"/>
      <c r="G200" s="39"/>
      <c r="H200" s="217" t="s">
        <v>3434</v>
      </c>
      <c r="I200" s="213" t="s">
        <v>3435</v>
      </c>
      <c r="J200" s="259" t="s">
        <v>92</v>
      </c>
      <c r="K200" s="215"/>
      <c r="L200" s="224"/>
      <c r="M200" s="224"/>
      <c r="N200" s="227"/>
      <c r="O200" s="210"/>
    </row>
    <row r="201">
      <c r="A201" s="212">
        <f t="shared" si="1"/>
        <v>199</v>
      </c>
      <c r="B201" s="228"/>
      <c r="C201" s="212" t="s">
        <v>3823</v>
      </c>
      <c r="D201" s="212" t="s">
        <v>3930</v>
      </c>
      <c r="E201" s="212" t="s">
        <v>92</v>
      </c>
      <c r="F201" s="212" t="s">
        <v>3931</v>
      </c>
      <c r="G201" s="227"/>
      <c r="H201" s="227" t="s">
        <v>3932</v>
      </c>
      <c r="I201" s="227" t="s">
        <v>3933</v>
      </c>
      <c r="J201" s="256" t="s">
        <v>3934</v>
      </c>
      <c r="K201" s="215"/>
      <c r="L201" s="224"/>
      <c r="M201" s="224"/>
      <c r="N201" s="227"/>
      <c r="O201" s="210"/>
    </row>
    <row r="202">
      <c r="A202" s="212">
        <f t="shared" si="1"/>
        <v>200</v>
      </c>
      <c r="B202" s="228"/>
      <c r="C202" s="212" t="s">
        <v>3823</v>
      </c>
      <c r="D202" s="212" t="s">
        <v>3930</v>
      </c>
      <c r="E202" s="212" t="s">
        <v>92</v>
      </c>
      <c r="F202" s="212" t="s">
        <v>3935</v>
      </c>
      <c r="G202" s="227"/>
      <c r="H202" s="227" t="s">
        <v>3936</v>
      </c>
      <c r="I202" s="227" t="s">
        <v>3937</v>
      </c>
      <c r="J202" s="256" t="s">
        <v>3938</v>
      </c>
      <c r="K202" s="215"/>
      <c r="L202" s="224"/>
      <c r="M202" s="224"/>
      <c r="N202" s="227"/>
      <c r="O202" s="210"/>
    </row>
    <row r="203">
      <c r="A203" s="212">
        <f t="shared" si="1"/>
        <v>201</v>
      </c>
      <c r="B203" s="228"/>
      <c r="C203" s="212" t="s">
        <v>3823</v>
      </c>
      <c r="D203" s="212" t="s">
        <v>3930</v>
      </c>
      <c r="E203" s="212" t="s">
        <v>3939</v>
      </c>
      <c r="F203" s="212" t="s">
        <v>3940</v>
      </c>
      <c r="G203" s="227"/>
      <c r="H203" s="227" t="s">
        <v>3941</v>
      </c>
      <c r="I203" s="227" t="s">
        <v>3942</v>
      </c>
      <c r="J203" s="256" t="s">
        <v>3943</v>
      </c>
      <c r="K203" s="215"/>
      <c r="L203" s="224"/>
      <c r="M203" s="224"/>
      <c r="N203" s="227"/>
      <c r="O203" s="210"/>
    </row>
    <row r="204">
      <c r="A204" s="212">
        <f t="shared" si="1"/>
        <v>202</v>
      </c>
      <c r="B204" s="228"/>
      <c r="C204" s="212" t="s">
        <v>3823</v>
      </c>
      <c r="D204" s="212" t="s">
        <v>3930</v>
      </c>
      <c r="E204" s="212" t="s">
        <v>3939</v>
      </c>
      <c r="F204" s="212" t="s">
        <v>1378</v>
      </c>
      <c r="G204" s="227"/>
      <c r="H204" s="227" t="s">
        <v>1379</v>
      </c>
      <c r="I204" s="227" t="s">
        <v>3944</v>
      </c>
      <c r="J204" s="256" t="s">
        <v>3943</v>
      </c>
      <c r="K204" s="215"/>
      <c r="L204" s="224"/>
      <c r="M204" s="224"/>
      <c r="N204" s="227"/>
      <c r="O204" s="210"/>
    </row>
    <row r="205">
      <c r="A205" s="212">
        <f t="shared" si="1"/>
        <v>203</v>
      </c>
      <c r="B205" s="228"/>
      <c r="C205" s="212" t="s">
        <v>3823</v>
      </c>
      <c r="D205" s="212" t="s">
        <v>3930</v>
      </c>
      <c r="E205" s="212" t="s">
        <v>3939</v>
      </c>
      <c r="F205" s="225" t="s">
        <v>587</v>
      </c>
      <c r="G205" s="227"/>
      <c r="H205" s="227" t="s">
        <v>698</v>
      </c>
      <c r="I205" s="227" t="s">
        <v>3945</v>
      </c>
      <c r="J205" s="259" t="s">
        <v>92</v>
      </c>
      <c r="K205" s="215"/>
      <c r="L205" s="224"/>
      <c r="M205" s="224"/>
      <c r="N205" s="227"/>
      <c r="O205" s="210"/>
    </row>
    <row r="206">
      <c r="A206" s="212">
        <f t="shared" si="1"/>
        <v>204</v>
      </c>
      <c r="B206" s="228"/>
      <c r="C206" s="212" t="s">
        <v>3823</v>
      </c>
      <c r="D206" s="212" t="s">
        <v>3930</v>
      </c>
      <c r="E206" s="212" t="s">
        <v>3939</v>
      </c>
      <c r="F206" s="220"/>
      <c r="G206" s="227"/>
      <c r="H206" s="227" t="s">
        <v>3946</v>
      </c>
      <c r="I206" s="227" t="s">
        <v>3947</v>
      </c>
      <c r="J206" s="259" t="s">
        <v>92</v>
      </c>
      <c r="K206" s="215"/>
      <c r="L206" s="224"/>
      <c r="M206" s="224"/>
      <c r="N206" s="227"/>
      <c r="O206" s="210"/>
    </row>
    <row r="207">
      <c r="A207" s="212">
        <f t="shared" si="1"/>
        <v>205</v>
      </c>
      <c r="B207" s="228"/>
      <c r="C207" s="212" t="s">
        <v>3823</v>
      </c>
      <c r="D207" s="212" t="s">
        <v>3930</v>
      </c>
      <c r="E207" s="212" t="s">
        <v>3939</v>
      </c>
      <c r="F207" s="220"/>
      <c r="G207" s="227"/>
      <c r="H207" s="227" t="s">
        <v>3948</v>
      </c>
      <c r="I207" s="227" t="s">
        <v>3949</v>
      </c>
      <c r="J207" s="259" t="s">
        <v>92</v>
      </c>
      <c r="K207" s="215"/>
      <c r="L207" s="224"/>
      <c r="M207" s="224"/>
      <c r="N207" s="227"/>
      <c r="O207" s="210"/>
    </row>
    <row r="208">
      <c r="A208" s="212">
        <f t="shared" si="1"/>
        <v>206</v>
      </c>
      <c r="B208" s="228"/>
      <c r="C208" s="212" t="s">
        <v>3823</v>
      </c>
      <c r="D208" s="212" t="s">
        <v>3930</v>
      </c>
      <c r="E208" s="212" t="s">
        <v>3939</v>
      </c>
      <c r="F208" s="39"/>
      <c r="G208" s="227"/>
      <c r="H208" s="227" t="s">
        <v>3950</v>
      </c>
      <c r="I208" s="227" t="s">
        <v>3951</v>
      </c>
      <c r="J208" s="259" t="s">
        <v>92</v>
      </c>
      <c r="K208" s="215"/>
      <c r="L208" s="224"/>
      <c r="M208" s="224"/>
      <c r="N208" s="227"/>
      <c r="O208" s="210"/>
    </row>
    <row r="209">
      <c r="A209" s="212">
        <f t="shared" si="1"/>
        <v>207</v>
      </c>
      <c r="B209" s="228"/>
      <c r="C209" s="212" t="s">
        <v>3823</v>
      </c>
      <c r="D209" s="212" t="s">
        <v>3930</v>
      </c>
      <c r="E209" s="212" t="s">
        <v>3939</v>
      </c>
      <c r="F209" s="212" t="s">
        <v>2365</v>
      </c>
      <c r="G209" s="227"/>
      <c r="H209" s="227" t="s">
        <v>3952</v>
      </c>
      <c r="I209" s="227" t="s">
        <v>3953</v>
      </c>
      <c r="J209" s="259" t="s">
        <v>92</v>
      </c>
      <c r="K209" s="215" t="s">
        <v>34</v>
      </c>
      <c r="L209" s="240" t="s">
        <v>3954</v>
      </c>
      <c r="M209" s="227" t="s">
        <v>3955</v>
      </c>
      <c r="N209" s="227"/>
      <c r="O209" s="210"/>
    </row>
    <row r="210">
      <c r="A210" s="212">
        <f t="shared" si="1"/>
        <v>208</v>
      </c>
      <c r="B210" s="228"/>
      <c r="C210" s="212" t="s">
        <v>3823</v>
      </c>
      <c r="D210" s="212" t="s">
        <v>3930</v>
      </c>
      <c r="E210" s="212" t="s">
        <v>3939</v>
      </c>
      <c r="F210" s="212" t="s">
        <v>3956</v>
      </c>
      <c r="G210" s="227"/>
      <c r="H210" s="227" t="s">
        <v>3957</v>
      </c>
      <c r="I210" s="227" t="s">
        <v>3958</v>
      </c>
      <c r="J210" s="259" t="s">
        <v>92</v>
      </c>
      <c r="K210" s="215"/>
      <c r="L210" s="224"/>
      <c r="M210" s="224"/>
      <c r="N210" s="227"/>
      <c r="O210" s="210"/>
    </row>
    <row r="211">
      <c r="A211" s="212">
        <f t="shared" si="1"/>
        <v>209</v>
      </c>
      <c r="B211" s="228"/>
      <c r="C211" s="212" t="s">
        <v>3823</v>
      </c>
      <c r="D211" s="212" t="s">
        <v>3930</v>
      </c>
      <c r="E211" s="212" t="s">
        <v>3939</v>
      </c>
      <c r="F211" s="212" t="s">
        <v>3959</v>
      </c>
      <c r="G211" s="227"/>
      <c r="H211" s="227" t="s">
        <v>3960</v>
      </c>
      <c r="I211" s="227" t="s">
        <v>3961</v>
      </c>
      <c r="J211" s="259" t="s">
        <v>92</v>
      </c>
      <c r="K211" s="215"/>
      <c r="L211" s="224"/>
      <c r="M211" s="224"/>
      <c r="N211" s="227"/>
      <c r="O211" s="210"/>
    </row>
    <row r="212">
      <c r="A212" s="212">
        <f t="shared" si="1"/>
        <v>210</v>
      </c>
      <c r="B212" s="228"/>
      <c r="C212" s="212" t="s">
        <v>3823</v>
      </c>
      <c r="D212" s="212" t="s">
        <v>3930</v>
      </c>
      <c r="E212" s="212" t="s">
        <v>3939</v>
      </c>
      <c r="F212" s="212" t="s">
        <v>3962</v>
      </c>
      <c r="G212" s="227"/>
      <c r="H212" s="227" t="s">
        <v>3963</v>
      </c>
      <c r="I212" s="227" t="s">
        <v>3964</v>
      </c>
      <c r="J212" s="259" t="s">
        <v>92</v>
      </c>
      <c r="K212" s="215"/>
      <c r="L212" s="224"/>
      <c r="M212" s="224"/>
      <c r="N212" s="227"/>
      <c r="O212" s="210"/>
    </row>
    <row r="213">
      <c r="A213" s="212">
        <f t="shared" si="1"/>
        <v>211</v>
      </c>
      <c r="B213" s="228"/>
      <c r="C213" s="212" t="s">
        <v>3823</v>
      </c>
      <c r="D213" s="212" t="s">
        <v>3930</v>
      </c>
      <c r="E213" s="212" t="s">
        <v>3939</v>
      </c>
      <c r="F213" s="212" t="s">
        <v>1229</v>
      </c>
      <c r="G213" s="227"/>
      <c r="H213" s="227" t="s">
        <v>1230</v>
      </c>
      <c r="I213" s="227" t="s">
        <v>3965</v>
      </c>
      <c r="J213" s="259" t="s">
        <v>92</v>
      </c>
      <c r="K213" s="215"/>
      <c r="L213" s="224"/>
      <c r="M213" s="224"/>
      <c r="N213" s="227"/>
      <c r="O213" s="210"/>
    </row>
    <row r="214">
      <c r="A214" s="212">
        <f t="shared" si="1"/>
        <v>212</v>
      </c>
      <c r="B214" s="228"/>
      <c r="C214" s="212" t="s">
        <v>3823</v>
      </c>
      <c r="D214" s="212" t="s">
        <v>3930</v>
      </c>
      <c r="E214" s="212" t="s">
        <v>3966</v>
      </c>
      <c r="F214" s="212" t="s">
        <v>3940</v>
      </c>
      <c r="G214" s="227"/>
      <c r="H214" s="227" t="s">
        <v>3967</v>
      </c>
      <c r="I214" s="227" t="s">
        <v>3968</v>
      </c>
      <c r="J214" s="256" t="s">
        <v>3969</v>
      </c>
      <c r="K214" s="215"/>
      <c r="L214" s="224"/>
      <c r="M214" s="224"/>
      <c r="N214" s="227"/>
      <c r="O214" s="210"/>
    </row>
    <row r="215">
      <c r="A215" s="212">
        <f t="shared" si="1"/>
        <v>213</v>
      </c>
      <c r="B215" s="228"/>
      <c r="C215" s="212" t="s">
        <v>3823</v>
      </c>
      <c r="D215" s="212" t="s">
        <v>3930</v>
      </c>
      <c r="E215" s="212" t="s">
        <v>3966</v>
      </c>
      <c r="F215" s="212" t="s">
        <v>1378</v>
      </c>
      <c r="G215" s="227"/>
      <c r="H215" s="227" t="s">
        <v>1379</v>
      </c>
      <c r="I215" s="227" t="s">
        <v>3944</v>
      </c>
      <c r="J215" s="256" t="s">
        <v>3969</v>
      </c>
      <c r="K215" s="215"/>
      <c r="L215" s="224"/>
      <c r="M215" s="224"/>
      <c r="N215" s="227"/>
      <c r="O215" s="210"/>
    </row>
    <row r="216">
      <c r="A216" s="212">
        <f t="shared" si="1"/>
        <v>214</v>
      </c>
      <c r="B216" s="228"/>
      <c r="C216" s="212" t="s">
        <v>3823</v>
      </c>
      <c r="D216" s="212" t="s">
        <v>3930</v>
      </c>
      <c r="E216" s="212" t="s">
        <v>3966</v>
      </c>
      <c r="F216" s="225" t="s">
        <v>587</v>
      </c>
      <c r="G216" s="227"/>
      <c r="H216" s="227" t="s">
        <v>698</v>
      </c>
      <c r="I216" s="227" t="s">
        <v>3945</v>
      </c>
      <c r="J216" s="259" t="s">
        <v>92</v>
      </c>
      <c r="K216" s="215"/>
      <c r="L216" s="224"/>
      <c r="M216" s="224"/>
      <c r="N216" s="227"/>
      <c r="O216" s="210"/>
    </row>
    <row r="217">
      <c r="A217" s="212">
        <f t="shared" si="1"/>
        <v>215</v>
      </c>
      <c r="B217" s="228"/>
      <c r="C217" s="212" t="s">
        <v>3823</v>
      </c>
      <c r="D217" s="212" t="s">
        <v>3930</v>
      </c>
      <c r="E217" s="212" t="s">
        <v>3966</v>
      </c>
      <c r="F217" s="220"/>
      <c r="G217" s="227"/>
      <c r="H217" s="227" t="s">
        <v>3946</v>
      </c>
      <c r="I217" s="227" t="s">
        <v>3947</v>
      </c>
      <c r="J217" s="259" t="s">
        <v>92</v>
      </c>
      <c r="K217" s="215"/>
      <c r="L217" s="224"/>
      <c r="M217" s="224"/>
      <c r="N217" s="227"/>
      <c r="O217" s="210"/>
    </row>
    <row r="218">
      <c r="A218" s="212">
        <f t="shared" si="1"/>
        <v>216</v>
      </c>
      <c r="B218" s="228"/>
      <c r="C218" s="212" t="s">
        <v>3823</v>
      </c>
      <c r="D218" s="212" t="s">
        <v>3930</v>
      </c>
      <c r="E218" s="212" t="s">
        <v>3966</v>
      </c>
      <c r="F218" s="220"/>
      <c r="G218" s="227"/>
      <c r="H218" s="227" t="s">
        <v>3840</v>
      </c>
      <c r="I218" s="227" t="s">
        <v>3970</v>
      </c>
      <c r="J218" s="259" t="s">
        <v>92</v>
      </c>
      <c r="K218" s="215"/>
      <c r="L218" s="224"/>
      <c r="M218" s="224"/>
      <c r="N218" s="227"/>
      <c r="O218" s="210"/>
    </row>
    <row r="219">
      <c r="A219" s="212">
        <f t="shared" si="1"/>
        <v>217</v>
      </c>
      <c r="B219" s="228"/>
      <c r="C219" s="212" t="s">
        <v>3823</v>
      </c>
      <c r="D219" s="212" t="s">
        <v>3930</v>
      </c>
      <c r="E219" s="212" t="s">
        <v>3966</v>
      </c>
      <c r="F219" s="220"/>
      <c r="G219" s="227"/>
      <c r="H219" s="227" t="s">
        <v>3843</v>
      </c>
      <c r="I219" s="227" t="s">
        <v>3844</v>
      </c>
      <c r="J219" s="259" t="s">
        <v>92</v>
      </c>
      <c r="K219" s="215"/>
      <c r="L219" s="224"/>
      <c r="M219" s="224"/>
      <c r="N219" s="227"/>
      <c r="O219" s="210"/>
    </row>
    <row r="220">
      <c r="A220" s="212">
        <f t="shared" si="1"/>
        <v>218</v>
      </c>
      <c r="B220" s="228"/>
      <c r="C220" s="212" t="s">
        <v>3823</v>
      </c>
      <c r="D220" s="212" t="s">
        <v>3930</v>
      </c>
      <c r="E220" s="212" t="s">
        <v>3966</v>
      </c>
      <c r="F220" s="220"/>
      <c r="G220" s="227"/>
      <c r="H220" s="227" t="s">
        <v>3971</v>
      </c>
      <c r="I220" s="227" t="s">
        <v>3972</v>
      </c>
      <c r="J220" s="259" t="s">
        <v>92</v>
      </c>
      <c r="K220" s="215"/>
      <c r="L220" s="224"/>
      <c r="M220" s="224"/>
      <c r="N220" s="227"/>
      <c r="O220" s="210"/>
    </row>
    <row r="221">
      <c r="A221" s="212">
        <f t="shared" si="1"/>
        <v>219</v>
      </c>
      <c r="B221" s="228"/>
      <c r="C221" s="212" t="s">
        <v>3823</v>
      </c>
      <c r="D221" s="212" t="s">
        <v>3930</v>
      </c>
      <c r="E221" s="212" t="s">
        <v>3966</v>
      </c>
      <c r="F221" s="220"/>
      <c r="G221" s="227"/>
      <c r="H221" s="227" t="s">
        <v>3973</v>
      </c>
      <c r="I221" s="227" t="s">
        <v>3974</v>
      </c>
      <c r="J221" s="259" t="s">
        <v>92</v>
      </c>
      <c r="K221" s="215"/>
      <c r="L221" s="224"/>
      <c r="M221" s="224"/>
      <c r="N221" s="227"/>
      <c r="O221" s="210"/>
    </row>
    <row r="222">
      <c r="A222" s="212">
        <f t="shared" si="1"/>
        <v>220</v>
      </c>
      <c r="B222" s="228"/>
      <c r="C222" s="212" t="s">
        <v>3823</v>
      </c>
      <c r="D222" s="212" t="s">
        <v>3930</v>
      </c>
      <c r="E222" s="212" t="s">
        <v>3966</v>
      </c>
      <c r="F222" s="220"/>
      <c r="G222" s="227"/>
      <c r="H222" s="227" t="s">
        <v>3948</v>
      </c>
      <c r="I222" s="227" t="s">
        <v>3949</v>
      </c>
      <c r="J222" s="259" t="s">
        <v>92</v>
      </c>
      <c r="K222" s="215"/>
      <c r="L222" s="224"/>
      <c r="M222" s="224"/>
      <c r="N222" s="227"/>
      <c r="O222" s="210"/>
    </row>
    <row r="223">
      <c r="A223" s="212">
        <f t="shared" si="1"/>
        <v>221</v>
      </c>
      <c r="B223" s="228"/>
      <c r="C223" s="212" t="s">
        <v>3823</v>
      </c>
      <c r="D223" s="212" t="s">
        <v>3930</v>
      </c>
      <c r="E223" s="212" t="s">
        <v>3966</v>
      </c>
      <c r="F223" s="39"/>
      <c r="G223" s="227"/>
      <c r="H223" s="227" t="s">
        <v>3950</v>
      </c>
      <c r="I223" s="227" t="s">
        <v>3951</v>
      </c>
      <c r="J223" s="259" t="s">
        <v>92</v>
      </c>
      <c r="K223" s="215"/>
      <c r="L223" s="224"/>
      <c r="M223" s="224"/>
      <c r="N223" s="227"/>
      <c r="O223" s="210"/>
    </row>
    <row r="224">
      <c r="A224" s="212">
        <f t="shared" si="1"/>
        <v>222</v>
      </c>
      <c r="B224" s="228"/>
      <c r="C224" s="212" t="s">
        <v>3823</v>
      </c>
      <c r="D224" s="212" t="s">
        <v>3930</v>
      </c>
      <c r="E224" s="212" t="s">
        <v>3966</v>
      </c>
      <c r="F224" s="212" t="s">
        <v>2365</v>
      </c>
      <c r="G224" s="227"/>
      <c r="H224" s="227" t="s">
        <v>3952</v>
      </c>
      <c r="I224" s="227" t="s">
        <v>3975</v>
      </c>
      <c r="J224" s="259" t="s">
        <v>92</v>
      </c>
      <c r="K224" s="215" t="s">
        <v>34</v>
      </c>
      <c r="L224" s="240" t="s">
        <v>3954</v>
      </c>
      <c r="M224" s="227" t="s">
        <v>3955</v>
      </c>
      <c r="N224" s="227"/>
      <c r="O224" s="210"/>
    </row>
    <row r="225">
      <c r="A225" s="212">
        <f t="shared" si="1"/>
        <v>223</v>
      </c>
      <c r="B225" s="228"/>
      <c r="C225" s="212" t="s">
        <v>3823</v>
      </c>
      <c r="D225" s="212" t="s">
        <v>3930</v>
      </c>
      <c r="E225" s="212" t="s">
        <v>3966</v>
      </c>
      <c r="F225" s="225" t="s">
        <v>3409</v>
      </c>
      <c r="G225" s="227" t="s">
        <v>3976</v>
      </c>
      <c r="H225" s="227" t="s">
        <v>3410</v>
      </c>
      <c r="I225" s="227" t="s">
        <v>3977</v>
      </c>
      <c r="J225" s="259" t="s">
        <v>92</v>
      </c>
      <c r="K225" s="215"/>
      <c r="L225" s="224"/>
      <c r="M225" s="224"/>
      <c r="N225" s="227"/>
      <c r="O225" s="210"/>
    </row>
    <row r="226">
      <c r="A226" s="212">
        <f t="shared" si="1"/>
        <v>224</v>
      </c>
      <c r="B226" s="228"/>
      <c r="C226" s="212" t="s">
        <v>3823</v>
      </c>
      <c r="D226" s="212" t="s">
        <v>3930</v>
      </c>
      <c r="E226" s="212" t="s">
        <v>3966</v>
      </c>
      <c r="F226" s="39"/>
      <c r="G226" s="227" t="s">
        <v>3978</v>
      </c>
      <c r="H226" s="227" t="s">
        <v>3410</v>
      </c>
      <c r="I226" s="227" t="s">
        <v>3979</v>
      </c>
      <c r="J226" s="259" t="s">
        <v>92</v>
      </c>
      <c r="K226" s="215"/>
      <c r="L226" s="224"/>
      <c r="M226" s="224"/>
      <c r="N226" s="227"/>
      <c r="O226" s="210"/>
    </row>
    <row r="227">
      <c r="A227" s="212">
        <f t="shared" si="1"/>
        <v>225</v>
      </c>
      <c r="B227" s="228"/>
      <c r="C227" s="212" t="s">
        <v>3823</v>
      </c>
      <c r="D227" s="212" t="s">
        <v>3930</v>
      </c>
      <c r="E227" s="212" t="s">
        <v>3966</v>
      </c>
      <c r="F227" s="225" t="s">
        <v>3980</v>
      </c>
      <c r="G227" s="227"/>
      <c r="H227" s="227" t="s">
        <v>3981</v>
      </c>
      <c r="I227" s="227" t="s">
        <v>3982</v>
      </c>
      <c r="J227" s="259" t="s">
        <v>92</v>
      </c>
      <c r="K227" s="215"/>
      <c r="L227" s="224"/>
      <c r="M227" s="224"/>
      <c r="N227" s="227"/>
      <c r="O227" s="210"/>
    </row>
    <row r="228">
      <c r="A228" s="212"/>
      <c r="B228" s="228"/>
      <c r="C228" s="212" t="s">
        <v>3823</v>
      </c>
      <c r="D228" s="212" t="s">
        <v>3930</v>
      </c>
      <c r="E228" s="212" t="s">
        <v>3966</v>
      </c>
      <c r="F228" s="220"/>
      <c r="G228" s="227" t="s">
        <v>3983</v>
      </c>
      <c r="H228" s="227" t="s">
        <v>3981</v>
      </c>
      <c r="I228" s="227" t="s">
        <v>3984</v>
      </c>
      <c r="J228" s="259" t="s">
        <v>92</v>
      </c>
      <c r="K228" s="215"/>
      <c r="L228" s="224"/>
      <c r="M228" s="224"/>
      <c r="N228" s="227"/>
      <c r="O228" s="210"/>
    </row>
    <row r="229">
      <c r="A229" s="212">
        <f t="shared" ref="A229:A233" si="2">COUNTA($I$3:$I229)</f>
        <v>227</v>
      </c>
      <c r="B229" s="228"/>
      <c r="C229" s="212" t="s">
        <v>3823</v>
      </c>
      <c r="D229" s="212" t="s">
        <v>3930</v>
      </c>
      <c r="E229" s="212" t="s">
        <v>3966</v>
      </c>
      <c r="F229" s="220"/>
      <c r="G229" s="224"/>
      <c r="H229" s="227" t="s">
        <v>3985</v>
      </c>
      <c r="I229" s="227" t="s">
        <v>3986</v>
      </c>
      <c r="J229" s="259" t="s">
        <v>92</v>
      </c>
      <c r="K229" s="215"/>
      <c r="L229" s="224"/>
      <c r="M229" s="224"/>
      <c r="N229" s="227"/>
      <c r="O229" s="210"/>
    </row>
    <row r="230">
      <c r="A230" s="212">
        <f t="shared" si="2"/>
        <v>228</v>
      </c>
      <c r="B230" s="228"/>
      <c r="C230" s="212" t="s">
        <v>3823</v>
      </c>
      <c r="D230" s="212" t="s">
        <v>3930</v>
      </c>
      <c r="E230" s="212" t="s">
        <v>3966</v>
      </c>
      <c r="F230" s="39"/>
      <c r="G230" s="224"/>
      <c r="H230" s="227" t="s">
        <v>3987</v>
      </c>
      <c r="I230" s="227" t="s">
        <v>3988</v>
      </c>
      <c r="J230" s="259" t="s">
        <v>92</v>
      </c>
      <c r="K230" s="215"/>
      <c r="L230" s="224"/>
      <c r="M230" s="224"/>
      <c r="N230" s="227"/>
      <c r="O230" s="210"/>
    </row>
    <row r="231">
      <c r="A231" s="212">
        <f t="shared" si="2"/>
        <v>229</v>
      </c>
      <c r="B231" s="228"/>
      <c r="C231" s="212" t="s">
        <v>3823</v>
      </c>
      <c r="D231" s="212" t="s">
        <v>3930</v>
      </c>
      <c r="E231" s="212" t="s">
        <v>3966</v>
      </c>
      <c r="F231" s="225" t="s">
        <v>3015</v>
      </c>
      <c r="G231" s="254" t="s">
        <v>3432</v>
      </c>
      <c r="H231" s="219" t="s">
        <v>3017</v>
      </c>
      <c r="I231" s="217" t="s">
        <v>3929</v>
      </c>
      <c r="J231" s="259" t="s">
        <v>92</v>
      </c>
      <c r="K231" s="215"/>
      <c r="L231" s="224"/>
      <c r="M231" s="224"/>
      <c r="N231" s="227"/>
      <c r="O231" s="210"/>
    </row>
    <row r="232">
      <c r="A232" s="212">
        <f t="shared" si="2"/>
        <v>230</v>
      </c>
      <c r="B232" s="228"/>
      <c r="C232" s="212" t="s">
        <v>3823</v>
      </c>
      <c r="D232" s="212" t="s">
        <v>3930</v>
      </c>
      <c r="E232" s="212" t="s">
        <v>3966</v>
      </c>
      <c r="F232" s="39"/>
      <c r="G232" s="39"/>
      <c r="H232" s="217" t="s">
        <v>3434</v>
      </c>
      <c r="I232" s="213" t="s">
        <v>3435</v>
      </c>
      <c r="J232" s="259" t="s">
        <v>92</v>
      </c>
      <c r="K232" s="215"/>
      <c r="L232" s="224"/>
      <c r="M232" s="224"/>
      <c r="N232" s="227"/>
      <c r="O232" s="210"/>
    </row>
    <row r="233">
      <c r="A233" s="212">
        <f t="shared" si="2"/>
        <v>231</v>
      </c>
      <c r="B233" s="228"/>
      <c r="C233" s="212" t="s">
        <v>3823</v>
      </c>
      <c r="D233" s="212" t="s">
        <v>3930</v>
      </c>
      <c r="E233" s="212" t="s">
        <v>3966</v>
      </c>
      <c r="F233" s="212" t="s">
        <v>1229</v>
      </c>
      <c r="G233" s="227"/>
      <c r="H233" s="227" t="s">
        <v>1230</v>
      </c>
      <c r="I233" s="227" t="s">
        <v>3989</v>
      </c>
      <c r="J233" s="259" t="s">
        <v>92</v>
      </c>
      <c r="K233" s="215"/>
      <c r="L233" s="224"/>
      <c r="M233" s="224"/>
      <c r="N233" s="227"/>
      <c r="O233" s="210"/>
    </row>
    <row r="234">
      <c r="A234" s="212"/>
      <c r="B234" s="228"/>
      <c r="C234" s="212"/>
      <c r="D234" s="212"/>
      <c r="E234" s="212"/>
      <c r="F234" s="212"/>
      <c r="G234" s="227"/>
      <c r="H234" s="227"/>
      <c r="I234" s="227"/>
      <c r="J234" s="259"/>
      <c r="K234" s="215"/>
      <c r="L234" s="224"/>
      <c r="M234" s="224"/>
      <c r="N234" s="227"/>
      <c r="O234" s="210"/>
    </row>
    <row r="235">
      <c r="A235" s="212"/>
      <c r="B235" s="228"/>
      <c r="C235" s="212"/>
      <c r="D235" s="212"/>
      <c r="E235" s="212"/>
      <c r="F235" s="212"/>
      <c r="G235" s="227"/>
      <c r="H235" s="227"/>
      <c r="I235" s="227"/>
      <c r="J235" s="259"/>
      <c r="K235" s="215"/>
      <c r="L235" s="224"/>
      <c r="M235" s="224"/>
      <c r="N235" s="227"/>
      <c r="O235" s="210"/>
    </row>
    <row r="236">
      <c r="A236" s="212"/>
      <c r="B236" s="228"/>
      <c r="C236" s="212"/>
      <c r="D236" s="212"/>
      <c r="E236" s="212"/>
      <c r="F236" s="212"/>
      <c r="G236" s="227"/>
      <c r="H236" s="227"/>
      <c r="I236" s="227"/>
      <c r="J236" s="259"/>
      <c r="K236" s="215"/>
      <c r="L236" s="224"/>
      <c r="M236" s="224"/>
      <c r="N236" s="227"/>
      <c r="O236" s="210"/>
    </row>
    <row r="237">
      <c r="A237" s="212"/>
      <c r="B237" s="228"/>
      <c r="C237" s="212"/>
      <c r="D237" s="212"/>
      <c r="E237" s="212"/>
      <c r="F237" s="212"/>
      <c r="G237" s="227"/>
      <c r="H237" s="227"/>
      <c r="I237" s="227"/>
      <c r="J237" s="259"/>
      <c r="K237" s="215"/>
      <c r="L237" s="224"/>
      <c r="M237" s="224"/>
      <c r="N237" s="227"/>
      <c r="O237" s="210"/>
    </row>
    <row r="238">
      <c r="A238" s="212"/>
      <c r="B238" s="228"/>
      <c r="C238" s="212"/>
      <c r="D238" s="212"/>
      <c r="E238" s="212"/>
      <c r="F238" s="212"/>
      <c r="G238" s="227"/>
      <c r="H238" s="227"/>
      <c r="I238" s="227"/>
      <c r="J238" s="259"/>
      <c r="K238" s="215"/>
      <c r="L238" s="224"/>
      <c r="M238" s="224"/>
      <c r="N238" s="227"/>
      <c r="O238" s="210"/>
    </row>
    <row r="239">
      <c r="A239" s="212"/>
      <c r="B239" s="228"/>
      <c r="C239" s="212"/>
      <c r="D239" s="212"/>
      <c r="E239" s="212"/>
      <c r="F239" s="212"/>
      <c r="G239" s="227"/>
      <c r="H239" s="227"/>
      <c r="I239" s="227"/>
      <c r="J239" s="259"/>
      <c r="K239" s="215"/>
      <c r="L239" s="224"/>
      <c r="M239" s="224"/>
      <c r="N239" s="227"/>
      <c r="O239" s="210"/>
    </row>
    <row r="240">
      <c r="A240" s="212"/>
      <c r="B240" s="228"/>
      <c r="C240" s="212"/>
      <c r="D240" s="212"/>
      <c r="E240" s="212"/>
      <c r="F240" s="212"/>
      <c r="G240" s="227"/>
      <c r="H240" s="227"/>
      <c r="I240" s="227"/>
      <c r="J240" s="259"/>
      <c r="K240" s="215"/>
      <c r="L240" s="224"/>
      <c r="M240" s="224"/>
      <c r="N240" s="227"/>
      <c r="O240" s="210"/>
    </row>
    <row r="241">
      <c r="A241" s="212"/>
      <c r="B241" s="228"/>
      <c r="C241" s="212"/>
      <c r="D241" s="212"/>
      <c r="E241" s="212"/>
      <c r="F241" s="212"/>
      <c r="G241" s="227"/>
      <c r="H241" s="227"/>
      <c r="I241" s="227"/>
      <c r="J241" s="259"/>
      <c r="K241" s="215"/>
      <c r="L241" s="224"/>
      <c r="M241" s="224"/>
      <c r="N241" s="227"/>
      <c r="O241" s="210"/>
    </row>
    <row r="242">
      <c r="A242" s="212"/>
      <c r="B242" s="228"/>
      <c r="C242" s="212"/>
      <c r="D242" s="212"/>
      <c r="E242" s="212"/>
      <c r="F242" s="212"/>
      <c r="G242" s="227"/>
      <c r="H242" s="227"/>
      <c r="I242" s="227"/>
      <c r="J242" s="259"/>
      <c r="K242" s="215"/>
      <c r="L242" s="224"/>
      <c r="M242" s="224"/>
      <c r="N242" s="227"/>
      <c r="O242" s="210"/>
    </row>
    <row r="243">
      <c r="A243" s="212"/>
      <c r="B243" s="228"/>
      <c r="C243" s="212"/>
      <c r="D243" s="212"/>
      <c r="E243" s="212"/>
      <c r="F243" s="212"/>
      <c r="G243" s="227"/>
      <c r="H243" s="227"/>
      <c r="I243" s="227"/>
      <c r="J243" s="259"/>
      <c r="K243" s="215"/>
      <c r="L243" s="224"/>
      <c r="M243" s="224"/>
      <c r="N243" s="227"/>
      <c r="O243" s="210"/>
    </row>
  </sheetData>
  <mergeCells count="66">
    <mergeCell ref="F157:F159"/>
    <mergeCell ref="F166:F167"/>
    <mergeCell ref="F168:F169"/>
    <mergeCell ref="F171:F175"/>
    <mergeCell ref="F181:F182"/>
    <mergeCell ref="F183:F185"/>
    <mergeCell ref="F186:F188"/>
    <mergeCell ref="F227:F230"/>
    <mergeCell ref="F231:F232"/>
    <mergeCell ref="G231:G232"/>
    <mergeCell ref="F190:F191"/>
    <mergeCell ref="F196:F198"/>
    <mergeCell ref="F199:F200"/>
    <mergeCell ref="G199:G200"/>
    <mergeCell ref="F205:F208"/>
    <mergeCell ref="F216:F223"/>
    <mergeCell ref="F225:F226"/>
    <mergeCell ref="A1:A2"/>
    <mergeCell ref="C1:E1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F28:F29"/>
    <mergeCell ref="F30:F33"/>
    <mergeCell ref="G30:G33"/>
    <mergeCell ref="F34:F35"/>
    <mergeCell ref="G34:G35"/>
    <mergeCell ref="F36:F37"/>
    <mergeCell ref="G36:G37"/>
    <mergeCell ref="F38:F41"/>
    <mergeCell ref="F43:F45"/>
    <mergeCell ref="F48:F49"/>
    <mergeCell ref="F53:F55"/>
    <mergeCell ref="F56:F58"/>
    <mergeCell ref="F59:F61"/>
    <mergeCell ref="F64:F67"/>
    <mergeCell ref="F68:F70"/>
    <mergeCell ref="F72:F73"/>
    <mergeCell ref="F74:F75"/>
    <mergeCell ref="F78:F80"/>
    <mergeCell ref="F82:F83"/>
    <mergeCell ref="F84:F87"/>
    <mergeCell ref="G85:G87"/>
    <mergeCell ref="F88:F89"/>
    <mergeCell ref="F91:F92"/>
    <mergeCell ref="F93:F94"/>
    <mergeCell ref="F101:F104"/>
    <mergeCell ref="F108:F110"/>
    <mergeCell ref="F112:F113"/>
    <mergeCell ref="F116:F118"/>
    <mergeCell ref="F120:F121"/>
    <mergeCell ref="F124:F125"/>
    <mergeCell ref="F127:F132"/>
    <mergeCell ref="F134:F135"/>
    <mergeCell ref="F136:F139"/>
    <mergeCell ref="F141:F143"/>
    <mergeCell ref="F145:F146"/>
    <mergeCell ref="F147:F151"/>
    <mergeCell ref="G148:G151"/>
    <mergeCell ref="F155:F156"/>
  </mergeCells>
  <conditionalFormatting sqref="K3:K243">
    <cfRule type="cellIs" dxfId="4" priority="1" operator="equal">
      <formula>"PASS"</formula>
    </cfRule>
  </conditionalFormatting>
  <conditionalFormatting sqref="K3:K243">
    <cfRule type="cellIs" dxfId="5" priority="2" operator="equal">
      <formula>"FAIL"</formula>
    </cfRule>
  </conditionalFormatting>
  <conditionalFormatting sqref="K3:K243">
    <cfRule type="cellIs" dxfId="6" priority="3" operator="equal">
      <formula>"N/A"</formula>
    </cfRule>
  </conditionalFormatting>
  <conditionalFormatting sqref="K3:K243">
    <cfRule type="cellIs" dxfId="7" priority="4" operator="equal">
      <formula>"N/T"</formula>
    </cfRule>
  </conditionalFormatting>
  <dataValidations>
    <dataValidation type="list" allowBlank="1" sqref="K3:K243">
      <formula1>"PASS,FAIL,N/A,N/T"</formula1>
    </dataValidation>
  </dataValidation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6"/>
    <hyperlink r:id="rId25" ref="J27"/>
    <hyperlink r:id="rId26" ref="J28"/>
    <hyperlink r:id="rId27" ref="J46"/>
    <hyperlink r:id="rId28" ref="J48"/>
    <hyperlink r:id="rId29" ref="J98"/>
    <hyperlink r:id="rId30" ref="J99"/>
    <hyperlink r:id="rId31" ref="J100"/>
    <hyperlink r:id="rId32" ref="L123"/>
    <hyperlink r:id="rId33" ref="J160"/>
    <hyperlink r:id="rId34" ref="J161"/>
    <hyperlink r:id="rId35" ref="J162"/>
    <hyperlink r:id="rId36" ref="J163"/>
    <hyperlink r:id="rId37" ref="J164"/>
    <hyperlink r:id="rId38" ref="J165"/>
    <hyperlink r:id="rId39" ref="J166"/>
    <hyperlink r:id="rId40" ref="J167"/>
    <hyperlink r:id="rId41" ref="J168"/>
    <hyperlink r:id="rId42" ref="J169"/>
    <hyperlink r:id="rId43" ref="J172"/>
    <hyperlink r:id="rId44" ref="J173"/>
    <hyperlink r:id="rId45" ref="J174"/>
    <hyperlink r:id="rId46" ref="J176"/>
    <hyperlink r:id="rId47" ref="J177"/>
    <hyperlink r:id="rId48" ref="J178"/>
    <hyperlink r:id="rId49" ref="J179"/>
    <hyperlink r:id="rId50" ref="J180"/>
    <hyperlink r:id="rId51" ref="J181"/>
    <hyperlink r:id="rId52" ref="J183"/>
    <hyperlink r:id="rId53" ref="J184"/>
    <hyperlink r:id="rId54" ref="J186"/>
    <hyperlink r:id="rId55" ref="J187"/>
    <hyperlink r:id="rId56" ref="J189"/>
    <hyperlink r:id="rId57" ref="J190"/>
    <hyperlink r:id="rId58" ref="J192"/>
    <hyperlink r:id="rId59" ref="J193"/>
    <hyperlink r:id="rId60" ref="J194"/>
    <hyperlink r:id="rId61" ref="J195"/>
    <hyperlink r:id="rId62" ref="J196"/>
    <hyperlink r:id="rId63" ref="J201"/>
    <hyperlink r:id="rId64" ref="J202"/>
    <hyperlink r:id="rId65" ref="J203"/>
    <hyperlink r:id="rId66" ref="J204"/>
    <hyperlink r:id="rId67" ref="L209"/>
    <hyperlink r:id="rId68" ref="J214"/>
    <hyperlink r:id="rId69" ref="J215"/>
    <hyperlink r:id="rId70" ref="L224"/>
  </hyperlinks>
  <drawing r:id="rId7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152" t="s">
        <v>75</v>
      </c>
      <c r="D2" s="153" t="s">
        <v>76</v>
      </c>
      <c r="E2" s="153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116" si="1">COUNTA($I$3:$I3)</f>
        <v>1</v>
      </c>
      <c r="B3" s="212" t="s">
        <v>48</v>
      </c>
      <c r="C3" s="212" t="s">
        <v>253</v>
      </c>
      <c r="D3" s="212" t="s">
        <v>92</v>
      </c>
      <c r="E3" s="212" t="s">
        <v>92</v>
      </c>
      <c r="F3" s="212" t="s">
        <v>613</v>
      </c>
      <c r="G3" s="213"/>
      <c r="H3" s="213" t="s">
        <v>3990</v>
      </c>
      <c r="I3" s="213" t="s">
        <v>3991</v>
      </c>
      <c r="J3" s="214" t="s">
        <v>254</v>
      </c>
      <c r="K3" s="215" t="s">
        <v>33</v>
      </c>
      <c r="L3" s="216"/>
      <c r="M3" s="216"/>
      <c r="N3" s="217"/>
      <c r="O3" s="210"/>
    </row>
    <row r="4">
      <c r="A4" s="212">
        <f t="shared" si="1"/>
        <v>2</v>
      </c>
      <c r="B4" s="212"/>
      <c r="C4" s="212" t="s">
        <v>253</v>
      </c>
      <c r="D4" s="212" t="s">
        <v>3372</v>
      </c>
      <c r="E4" s="212" t="s">
        <v>92</v>
      </c>
      <c r="F4" s="212" t="s">
        <v>3373</v>
      </c>
      <c r="G4" s="217"/>
      <c r="H4" s="213" t="s">
        <v>3374</v>
      </c>
      <c r="I4" s="213" t="s">
        <v>3992</v>
      </c>
      <c r="J4" s="214" t="s">
        <v>3993</v>
      </c>
      <c r="K4" s="215" t="s">
        <v>33</v>
      </c>
      <c r="L4" s="240" t="s">
        <v>3994</v>
      </c>
      <c r="M4" s="227" t="s">
        <v>3995</v>
      </c>
      <c r="N4" s="217"/>
      <c r="O4" s="210"/>
    </row>
    <row r="5">
      <c r="A5" s="212">
        <f t="shared" si="1"/>
        <v>3</v>
      </c>
      <c r="B5" s="212"/>
      <c r="C5" s="212" t="s">
        <v>253</v>
      </c>
      <c r="D5" s="212" t="s">
        <v>3372</v>
      </c>
      <c r="E5" s="212" t="s">
        <v>92</v>
      </c>
      <c r="F5" s="212" t="s">
        <v>1378</v>
      </c>
      <c r="G5" s="217"/>
      <c r="H5" s="213" t="s">
        <v>1379</v>
      </c>
      <c r="I5" s="213" t="s">
        <v>3996</v>
      </c>
      <c r="J5" s="214" t="s">
        <v>3993</v>
      </c>
      <c r="K5" s="215" t="s">
        <v>33</v>
      </c>
      <c r="L5" s="216"/>
      <c r="M5" s="216"/>
      <c r="N5" s="217"/>
      <c r="O5" s="210"/>
    </row>
    <row r="6">
      <c r="A6" s="212">
        <f t="shared" si="1"/>
        <v>4</v>
      </c>
      <c r="B6" s="212"/>
      <c r="C6" s="212" t="s">
        <v>253</v>
      </c>
      <c r="D6" s="212" t="s">
        <v>587</v>
      </c>
      <c r="E6" s="212" t="s">
        <v>92</v>
      </c>
      <c r="F6" s="212" t="s">
        <v>613</v>
      </c>
      <c r="G6" s="216"/>
      <c r="H6" s="213" t="s">
        <v>3379</v>
      </c>
      <c r="I6" s="217" t="s">
        <v>3997</v>
      </c>
      <c r="J6" s="214" t="s">
        <v>3998</v>
      </c>
      <c r="K6" s="215" t="s">
        <v>33</v>
      </c>
      <c r="L6" s="224"/>
      <c r="M6" s="224"/>
      <c r="N6" s="217"/>
      <c r="O6" s="210"/>
    </row>
    <row r="7">
      <c r="A7" s="212">
        <f t="shared" si="1"/>
        <v>5</v>
      </c>
      <c r="B7" s="212"/>
      <c r="C7" s="212" t="s">
        <v>253</v>
      </c>
      <c r="D7" s="212" t="s">
        <v>587</v>
      </c>
      <c r="E7" s="212"/>
      <c r="F7" s="225" t="s">
        <v>3999</v>
      </c>
      <c r="G7" s="217"/>
      <c r="H7" s="213" t="s">
        <v>4000</v>
      </c>
      <c r="I7" s="286" t="s">
        <v>4001</v>
      </c>
      <c r="J7" s="214" t="s">
        <v>4002</v>
      </c>
      <c r="K7" s="215" t="s">
        <v>33</v>
      </c>
      <c r="L7" s="226"/>
      <c r="M7" s="224"/>
      <c r="N7" s="217"/>
      <c r="O7" s="210"/>
    </row>
    <row r="8">
      <c r="A8" s="212">
        <f t="shared" si="1"/>
        <v>6</v>
      </c>
      <c r="B8" s="212"/>
      <c r="C8" s="212" t="s">
        <v>253</v>
      </c>
      <c r="D8" s="212" t="s">
        <v>587</v>
      </c>
      <c r="E8" s="212"/>
      <c r="F8" s="39"/>
      <c r="G8" s="217"/>
      <c r="H8" s="213" t="s">
        <v>4003</v>
      </c>
      <c r="I8" s="217" t="s">
        <v>4004</v>
      </c>
      <c r="J8" s="214" t="s">
        <v>4002</v>
      </c>
      <c r="K8" s="215" t="s">
        <v>33</v>
      </c>
      <c r="L8" s="226"/>
      <c r="M8" s="224"/>
      <c r="N8" s="217"/>
      <c r="O8" s="210"/>
    </row>
    <row r="9">
      <c r="A9" s="212">
        <f t="shared" si="1"/>
        <v>7</v>
      </c>
      <c r="B9" s="212"/>
      <c r="C9" s="212" t="s">
        <v>253</v>
      </c>
      <c r="D9" s="212" t="s">
        <v>587</v>
      </c>
      <c r="E9" s="212" t="s">
        <v>92</v>
      </c>
      <c r="F9" s="225" t="s">
        <v>1191</v>
      </c>
      <c r="G9" s="217"/>
      <c r="H9" s="213" t="s">
        <v>3382</v>
      </c>
      <c r="I9" s="217" t="s">
        <v>4005</v>
      </c>
      <c r="J9" s="214" t="s">
        <v>4006</v>
      </c>
      <c r="K9" s="215" t="s">
        <v>33</v>
      </c>
      <c r="L9" s="226"/>
      <c r="M9" s="224"/>
      <c r="N9" s="217"/>
      <c r="O9" s="210"/>
    </row>
    <row r="10">
      <c r="A10" s="212">
        <f t="shared" si="1"/>
        <v>8</v>
      </c>
      <c r="B10" s="212"/>
      <c r="C10" s="212" t="s">
        <v>253</v>
      </c>
      <c r="D10" s="212" t="s">
        <v>587</v>
      </c>
      <c r="E10" s="212" t="s">
        <v>92</v>
      </c>
      <c r="F10" s="39"/>
      <c r="G10" s="217"/>
      <c r="H10" s="213" t="s">
        <v>4007</v>
      </c>
      <c r="I10" s="217" t="s">
        <v>4008</v>
      </c>
      <c r="J10" s="214" t="s">
        <v>4006</v>
      </c>
      <c r="K10" s="215" t="s">
        <v>33</v>
      </c>
      <c r="L10" s="240" t="s">
        <v>4009</v>
      </c>
      <c r="M10" s="227" t="s">
        <v>4010</v>
      </c>
      <c r="N10" s="217"/>
      <c r="O10" s="210"/>
    </row>
    <row r="11">
      <c r="A11" s="212">
        <f t="shared" si="1"/>
        <v>9</v>
      </c>
      <c r="B11" s="228"/>
      <c r="C11" s="212" t="s">
        <v>253</v>
      </c>
      <c r="D11" s="212" t="s">
        <v>587</v>
      </c>
      <c r="E11" s="212" t="s">
        <v>92</v>
      </c>
      <c r="F11" s="212" t="s">
        <v>608</v>
      </c>
      <c r="G11" s="227" t="s">
        <v>3387</v>
      </c>
      <c r="H11" s="213" t="s">
        <v>1479</v>
      </c>
      <c r="I11" s="227" t="s">
        <v>3388</v>
      </c>
      <c r="J11" s="242" t="s">
        <v>92</v>
      </c>
      <c r="K11" s="215" t="s">
        <v>33</v>
      </c>
      <c r="L11" s="224"/>
      <c r="M11" s="224"/>
      <c r="N11" s="217"/>
      <c r="O11" s="210"/>
    </row>
    <row r="12">
      <c r="A12" s="212">
        <f t="shared" si="1"/>
        <v>10</v>
      </c>
      <c r="B12" s="228"/>
      <c r="C12" s="212" t="s">
        <v>253</v>
      </c>
      <c r="D12" s="212" t="s">
        <v>587</v>
      </c>
      <c r="E12" s="212" t="s">
        <v>92</v>
      </c>
      <c r="F12" s="225" t="s">
        <v>1310</v>
      </c>
      <c r="G12" s="227"/>
      <c r="H12" s="213" t="s">
        <v>3389</v>
      </c>
      <c r="I12" s="227" t="s">
        <v>4011</v>
      </c>
      <c r="J12" s="242" t="s">
        <v>92</v>
      </c>
      <c r="K12" s="215" t="s">
        <v>33</v>
      </c>
      <c r="L12" s="224"/>
      <c r="M12" s="224"/>
      <c r="N12" s="217"/>
      <c r="O12" s="210"/>
    </row>
    <row r="13">
      <c r="A13" s="212">
        <f t="shared" si="1"/>
        <v>11</v>
      </c>
      <c r="B13" s="228"/>
      <c r="C13" s="212" t="s">
        <v>253</v>
      </c>
      <c r="D13" s="212" t="s">
        <v>587</v>
      </c>
      <c r="E13" s="212" t="s">
        <v>92</v>
      </c>
      <c r="F13" s="39"/>
      <c r="G13" s="227" t="s">
        <v>3387</v>
      </c>
      <c r="H13" s="213" t="s">
        <v>1863</v>
      </c>
      <c r="I13" s="227" t="s">
        <v>4012</v>
      </c>
      <c r="J13" s="242" t="s">
        <v>92</v>
      </c>
      <c r="K13" s="215" t="s">
        <v>33</v>
      </c>
      <c r="L13" s="224"/>
      <c r="M13" s="224"/>
      <c r="N13" s="217"/>
      <c r="O13" s="210"/>
    </row>
    <row r="14">
      <c r="A14" s="212">
        <f t="shared" si="1"/>
        <v>12</v>
      </c>
      <c r="B14" s="228"/>
      <c r="C14" s="212" t="s">
        <v>253</v>
      </c>
      <c r="D14" s="212" t="s">
        <v>3455</v>
      </c>
      <c r="E14" s="212" t="s">
        <v>92</v>
      </c>
      <c r="F14" s="212" t="s">
        <v>613</v>
      </c>
      <c r="G14" s="224"/>
      <c r="H14" s="227" t="s">
        <v>3456</v>
      </c>
      <c r="I14" s="227" t="s">
        <v>4013</v>
      </c>
      <c r="J14" s="214" t="s">
        <v>4014</v>
      </c>
      <c r="K14" s="215" t="s">
        <v>33</v>
      </c>
      <c r="L14" s="224"/>
      <c r="M14" s="224"/>
      <c r="N14" s="217"/>
      <c r="O14" s="210"/>
    </row>
    <row r="15">
      <c r="A15" s="212">
        <f t="shared" si="1"/>
        <v>13</v>
      </c>
      <c r="B15" s="228"/>
      <c r="C15" s="212" t="s">
        <v>253</v>
      </c>
      <c r="D15" s="212" t="s">
        <v>3455</v>
      </c>
      <c r="E15" s="212" t="s">
        <v>92</v>
      </c>
      <c r="F15" s="212" t="s">
        <v>4015</v>
      </c>
      <c r="G15" s="227"/>
      <c r="H15" s="227" t="s">
        <v>4016</v>
      </c>
      <c r="I15" s="227" t="s">
        <v>4017</v>
      </c>
      <c r="J15" s="214" t="s">
        <v>4018</v>
      </c>
      <c r="K15" s="215" t="s">
        <v>33</v>
      </c>
      <c r="L15" s="224"/>
      <c r="M15" s="224"/>
      <c r="N15" s="217"/>
      <c r="O15" s="210"/>
    </row>
    <row r="16">
      <c r="A16" s="212">
        <f t="shared" si="1"/>
        <v>14</v>
      </c>
      <c r="B16" s="228"/>
      <c r="C16" s="212" t="s">
        <v>253</v>
      </c>
      <c r="D16" s="212" t="s">
        <v>3455</v>
      </c>
      <c r="E16" s="212" t="s">
        <v>92</v>
      </c>
      <c r="F16" s="212" t="s">
        <v>4019</v>
      </c>
      <c r="G16" s="224"/>
      <c r="H16" s="227" t="s">
        <v>4020</v>
      </c>
      <c r="I16" s="227" t="s">
        <v>4021</v>
      </c>
      <c r="J16" s="214" t="s">
        <v>4022</v>
      </c>
      <c r="K16" s="215" t="s">
        <v>33</v>
      </c>
      <c r="L16" s="240" t="s">
        <v>3994</v>
      </c>
      <c r="M16" s="227" t="s">
        <v>4023</v>
      </c>
      <c r="N16" s="217"/>
      <c r="O16" s="210"/>
    </row>
    <row r="17">
      <c r="A17" s="212">
        <f t="shared" si="1"/>
        <v>15</v>
      </c>
      <c r="B17" s="228"/>
      <c r="C17" s="212" t="s">
        <v>253</v>
      </c>
      <c r="D17" s="212" t="s">
        <v>3455</v>
      </c>
      <c r="E17" s="212" t="s">
        <v>92</v>
      </c>
      <c r="F17" s="212" t="s">
        <v>4024</v>
      </c>
      <c r="G17" s="224"/>
      <c r="H17" s="227" t="s">
        <v>4025</v>
      </c>
      <c r="I17" s="227" t="s">
        <v>4026</v>
      </c>
      <c r="J17" s="214" t="s">
        <v>4027</v>
      </c>
      <c r="K17" s="215" t="s">
        <v>33</v>
      </c>
      <c r="L17" s="224"/>
      <c r="M17" s="224"/>
      <c r="N17" s="217"/>
      <c r="O17" s="210"/>
    </row>
    <row r="18">
      <c r="A18" s="212">
        <f t="shared" si="1"/>
        <v>16</v>
      </c>
      <c r="B18" s="228"/>
      <c r="C18" s="212" t="s">
        <v>253</v>
      </c>
      <c r="D18" s="212" t="s">
        <v>3455</v>
      </c>
      <c r="E18" s="212" t="s">
        <v>92</v>
      </c>
      <c r="F18" s="225" t="s">
        <v>4028</v>
      </c>
      <c r="G18" s="224"/>
      <c r="H18" s="227" t="s">
        <v>4029</v>
      </c>
      <c r="I18" s="227" t="s">
        <v>4030</v>
      </c>
      <c r="J18" s="214" t="s">
        <v>4031</v>
      </c>
      <c r="K18" s="215" t="s">
        <v>33</v>
      </c>
      <c r="L18" s="224"/>
      <c r="M18" s="224"/>
      <c r="N18" s="217"/>
      <c r="O18" s="210"/>
    </row>
    <row r="19">
      <c r="A19" s="212">
        <f t="shared" si="1"/>
        <v>17</v>
      </c>
      <c r="B19" s="228"/>
      <c r="C19" s="212" t="s">
        <v>253</v>
      </c>
      <c r="D19" s="212" t="s">
        <v>3455</v>
      </c>
      <c r="E19" s="212" t="s">
        <v>92</v>
      </c>
      <c r="F19" s="39"/>
      <c r="G19" s="227" t="s">
        <v>4032</v>
      </c>
      <c r="H19" s="227" t="s">
        <v>4029</v>
      </c>
      <c r="I19" s="227" t="s">
        <v>4033</v>
      </c>
      <c r="J19" s="242" t="s">
        <v>92</v>
      </c>
      <c r="K19" s="215" t="s">
        <v>33</v>
      </c>
      <c r="L19" s="226"/>
      <c r="M19" s="224"/>
      <c r="N19" s="217"/>
      <c r="O19" s="210"/>
    </row>
    <row r="20">
      <c r="A20" s="212">
        <f t="shared" si="1"/>
        <v>18</v>
      </c>
      <c r="B20" s="228"/>
      <c r="C20" s="212" t="s">
        <v>253</v>
      </c>
      <c r="D20" s="212" t="s">
        <v>4034</v>
      </c>
      <c r="E20" s="212" t="s">
        <v>92</v>
      </c>
      <c r="F20" s="212" t="s">
        <v>613</v>
      </c>
      <c r="G20" s="227"/>
      <c r="H20" s="227" t="s">
        <v>4035</v>
      </c>
      <c r="I20" s="227" t="s">
        <v>4036</v>
      </c>
      <c r="J20" s="214" t="s">
        <v>4037</v>
      </c>
      <c r="K20" s="215" t="s">
        <v>33</v>
      </c>
      <c r="L20" s="226"/>
      <c r="M20" s="224"/>
      <c r="N20" s="217"/>
      <c r="O20" s="210"/>
    </row>
    <row r="21">
      <c r="A21" s="212">
        <f t="shared" si="1"/>
        <v>19</v>
      </c>
      <c r="B21" s="228"/>
      <c r="C21" s="212" t="s">
        <v>253</v>
      </c>
      <c r="D21" s="212" t="s">
        <v>4034</v>
      </c>
      <c r="E21" s="212" t="s">
        <v>92</v>
      </c>
      <c r="F21" s="212" t="s">
        <v>448</v>
      </c>
      <c r="G21" s="227"/>
      <c r="H21" s="227" t="s">
        <v>579</v>
      </c>
      <c r="I21" s="227" t="s">
        <v>4038</v>
      </c>
      <c r="J21" s="242" t="s">
        <v>92</v>
      </c>
      <c r="K21" s="215" t="s">
        <v>33</v>
      </c>
      <c r="L21" s="240" t="s">
        <v>3994</v>
      </c>
      <c r="M21" s="227" t="s">
        <v>4039</v>
      </c>
      <c r="N21" s="217"/>
      <c r="O21" s="210"/>
    </row>
    <row r="22">
      <c r="A22" s="212">
        <f t="shared" si="1"/>
        <v>20</v>
      </c>
      <c r="B22" s="228"/>
      <c r="C22" s="212" t="s">
        <v>253</v>
      </c>
      <c r="D22" s="212" t="s">
        <v>4034</v>
      </c>
      <c r="E22" s="212" t="s">
        <v>92</v>
      </c>
      <c r="F22" s="225" t="s">
        <v>4040</v>
      </c>
      <c r="G22" s="227" t="s">
        <v>3459</v>
      </c>
      <c r="H22" s="227" t="s">
        <v>2531</v>
      </c>
      <c r="I22" s="227" t="s">
        <v>4041</v>
      </c>
      <c r="J22" s="242" t="s">
        <v>92</v>
      </c>
      <c r="K22" s="215" t="s">
        <v>33</v>
      </c>
      <c r="L22" s="224"/>
      <c r="M22" s="224"/>
      <c r="N22" s="217"/>
      <c r="O22" s="210"/>
    </row>
    <row r="23">
      <c r="A23" s="212">
        <f t="shared" si="1"/>
        <v>21</v>
      </c>
      <c r="B23" s="228"/>
      <c r="C23" s="212" t="s">
        <v>253</v>
      </c>
      <c r="D23" s="212" t="s">
        <v>4034</v>
      </c>
      <c r="E23" s="212" t="s">
        <v>92</v>
      </c>
      <c r="F23" s="220"/>
      <c r="G23" s="224"/>
      <c r="H23" s="227" t="s">
        <v>2531</v>
      </c>
      <c r="I23" s="227" t="s">
        <v>4042</v>
      </c>
      <c r="J23" s="214" t="s">
        <v>4037</v>
      </c>
      <c r="K23" s="215" t="s">
        <v>33</v>
      </c>
      <c r="L23" s="224"/>
      <c r="M23" s="224"/>
      <c r="N23" s="217"/>
      <c r="O23" s="210"/>
    </row>
    <row r="24">
      <c r="A24" s="212">
        <f t="shared" si="1"/>
        <v>22</v>
      </c>
      <c r="B24" s="228"/>
      <c r="C24" s="212" t="s">
        <v>253</v>
      </c>
      <c r="D24" s="212" t="s">
        <v>4034</v>
      </c>
      <c r="E24" s="212" t="s">
        <v>92</v>
      </c>
      <c r="F24" s="220"/>
      <c r="G24" s="224"/>
      <c r="H24" s="227" t="s">
        <v>4043</v>
      </c>
      <c r="I24" s="227" t="s">
        <v>4044</v>
      </c>
      <c r="J24" s="214" t="s">
        <v>4045</v>
      </c>
      <c r="K24" s="215" t="s">
        <v>33</v>
      </c>
      <c r="L24" s="224"/>
      <c r="M24" s="224"/>
      <c r="N24" s="217"/>
      <c r="O24" s="210"/>
    </row>
    <row r="25">
      <c r="A25" s="212">
        <f t="shared" si="1"/>
        <v>23</v>
      </c>
      <c r="B25" s="228"/>
      <c r="C25" s="212" t="s">
        <v>253</v>
      </c>
      <c r="D25" s="212" t="s">
        <v>4034</v>
      </c>
      <c r="E25" s="212" t="s">
        <v>92</v>
      </c>
      <c r="F25" s="220"/>
      <c r="G25" s="224"/>
      <c r="H25" s="227" t="s">
        <v>4046</v>
      </c>
      <c r="I25" s="227" t="s">
        <v>4047</v>
      </c>
      <c r="J25" s="214" t="s">
        <v>4045</v>
      </c>
      <c r="K25" s="215" t="s">
        <v>33</v>
      </c>
      <c r="L25" s="224"/>
      <c r="M25" s="224"/>
      <c r="N25" s="217"/>
      <c r="O25" s="210"/>
    </row>
    <row r="26">
      <c r="A26" s="212">
        <f t="shared" si="1"/>
        <v>24</v>
      </c>
      <c r="B26" s="228"/>
      <c r="C26" s="212" t="s">
        <v>253</v>
      </c>
      <c r="D26" s="212" t="s">
        <v>4034</v>
      </c>
      <c r="E26" s="212" t="s">
        <v>92</v>
      </c>
      <c r="F26" s="39"/>
      <c r="G26" s="227" t="s">
        <v>4048</v>
      </c>
      <c r="H26" s="227" t="s">
        <v>4046</v>
      </c>
      <c r="I26" s="227" t="s">
        <v>4033</v>
      </c>
      <c r="J26" s="242" t="s">
        <v>92</v>
      </c>
      <c r="K26" s="215" t="s">
        <v>33</v>
      </c>
      <c r="L26" s="224"/>
      <c r="M26" s="224"/>
      <c r="N26" s="217"/>
      <c r="O26" s="210"/>
    </row>
    <row r="27">
      <c r="A27" s="212">
        <f t="shared" si="1"/>
        <v>25</v>
      </c>
      <c r="B27" s="228"/>
      <c r="C27" s="212" t="s">
        <v>258</v>
      </c>
      <c r="D27" s="212" t="s">
        <v>92</v>
      </c>
      <c r="E27" s="212" t="s">
        <v>92</v>
      </c>
      <c r="F27" s="212" t="s">
        <v>577</v>
      </c>
      <c r="G27" s="213" t="s">
        <v>4049</v>
      </c>
      <c r="H27" s="213" t="s">
        <v>4050</v>
      </c>
      <c r="I27" s="213" t="s">
        <v>4051</v>
      </c>
      <c r="J27" s="214" t="s">
        <v>258</v>
      </c>
      <c r="K27" s="215" t="s">
        <v>33</v>
      </c>
      <c r="L27" s="224"/>
      <c r="M27" s="227" t="s">
        <v>4052</v>
      </c>
      <c r="N27" s="217"/>
      <c r="O27" s="210"/>
    </row>
    <row r="28">
      <c r="A28" s="212">
        <f t="shared" si="1"/>
        <v>26</v>
      </c>
      <c r="B28" s="228"/>
      <c r="C28" s="212" t="s">
        <v>258</v>
      </c>
      <c r="D28" s="212" t="s">
        <v>92</v>
      </c>
      <c r="E28" s="212" t="s">
        <v>92</v>
      </c>
      <c r="F28" s="212" t="s">
        <v>613</v>
      </c>
      <c r="G28" s="213" t="s">
        <v>4053</v>
      </c>
      <c r="H28" s="213" t="s">
        <v>4054</v>
      </c>
      <c r="I28" s="213" t="s">
        <v>4055</v>
      </c>
      <c r="J28" s="214" t="s">
        <v>258</v>
      </c>
      <c r="K28" s="215" t="s">
        <v>33</v>
      </c>
      <c r="L28" s="224"/>
      <c r="M28" s="227" t="s">
        <v>4052</v>
      </c>
      <c r="N28" s="217"/>
      <c r="O28" s="210"/>
    </row>
    <row r="29">
      <c r="A29" s="212">
        <f t="shared" si="1"/>
        <v>27</v>
      </c>
      <c r="B29" s="228"/>
      <c r="C29" s="212" t="s">
        <v>258</v>
      </c>
      <c r="D29" s="212" t="s">
        <v>3372</v>
      </c>
      <c r="E29" s="212" t="s">
        <v>92</v>
      </c>
      <c r="F29" s="212" t="s">
        <v>3373</v>
      </c>
      <c r="G29" s="217"/>
      <c r="H29" s="213" t="s">
        <v>3374</v>
      </c>
      <c r="I29" s="213" t="s">
        <v>4056</v>
      </c>
      <c r="J29" s="214" t="s">
        <v>4057</v>
      </c>
      <c r="K29" s="215" t="s">
        <v>33</v>
      </c>
      <c r="L29" s="224"/>
      <c r="M29" s="224"/>
      <c r="N29" s="217"/>
      <c r="O29" s="210"/>
    </row>
    <row r="30">
      <c r="A30" s="212">
        <f t="shared" si="1"/>
        <v>28</v>
      </c>
      <c r="B30" s="261"/>
      <c r="C30" s="212" t="s">
        <v>258</v>
      </c>
      <c r="D30" s="212" t="s">
        <v>3372</v>
      </c>
      <c r="E30" s="212" t="s">
        <v>92</v>
      </c>
      <c r="F30" s="212" t="s">
        <v>1378</v>
      </c>
      <c r="G30" s="217"/>
      <c r="H30" s="213" t="s">
        <v>1379</v>
      </c>
      <c r="I30" s="213" t="s">
        <v>4058</v>
      </c>
      <c r="J30" s="214" t="s">
        <v>4057</v>
      </c>
      <c r="K30" s="215" t="s">
        <v>33</v>
      </c>
      <c r="L30" s="224"/>
      <c r="M30" s="224"/>
      <c r="N30" s="217"/>
      <c r="O30" s="210"/>
    </row>
    <row r="31">
      <c r="A31" s="212">
        <f t="shared" si="1"/>
        <v>29</v>
      </c>
      <c r="B31" s="261"/>
      <c r="C31" s="212" t="s">
        <v>258</v>
      </c>
      <c r="D31" s="212" t="s">
        <v>587</v>
      </c>
      <c r="E31" s="212" t="s">
        <v>92</v>
      </c>
      <c r="F31" s="212" t="s">
        <v>613</v>
      </c>
      <c r="G31" s="216"/>
      <c r="H31" s="213" t="s">
        <v>3379</v>
      </c>
      <c r="I31" s="217" t="s">
        <v>4059</v>
      </c>
      <c r="J31" s="214" t="s">
        <v>4060</v>
      </c>
      <c r="K31" s="215" t="s">
        <v>33</v>
      </c>
      <c r="L31" s="224"/>
      <c r="M31" s="224"/>
      <c r="N31" s="217"/>
      <c r="O31" s="210"/>
    </row>
    <row r="32">
      <c r="A32" s="212">
        <f t="shared" si="1"/>
        <v>30</v>
      </c>
      <c r="B32" s="261"/>
      <c r="C32" s="212" t="s">
        <v>258</v>
      </c>
      <c r="D32" s="212" t="s">
        <v>587</v>
      </c>
      <c r="E32" s="212" t="s">
        <v>92</v>
      </c>
      <c r="F32" s="225" t="s">
        <v>4061</v>
      </c>
      <c r="G32" s="217"/>
      <c r="H32" s="213" t="s">
        <v>4062</v>
      </c>
      <c r="I32" s="213" t="s">
        <v>4063</v>
      </c>
      <c r="J32" s="214" t="s">
        <v>4064</v>
      </c>
      <c r="K32" s="215" t="s">
        <v>33</v>
      </c>
      <c r="L32" s="224"/>
      <c r="M32" s="224"/>
      <c r="N32" s="217"/>
      <c r="O32" s="210"/>
    </row>
    <row r="33">
      <c r="A33" s="212">
        <f t="shared" si="1"/>
        <v>31</v>
      </c>
      <c r="B33" s="261"/>
      <c r="C33" s="212" t="s">
        <v>258</v>
      </c>
      <c r="D33" s="212" t="s">
        <v>587</v>
      </c>
      <c r="E33" s="212" t="s">
        <v>92</v>
      </c>
      <c r="F33" s="39"/>
      <c r="G33" s="216"/>
      <c r="H33" s="213" t="s">
        <v>4065</v>
      </c>
      <c r="I33" s="217" t="s">
        <v>4066</v>
      </c>
      <c r="J33" s="214" t="s">
        <v>4064</v>
      </c>
      <c r="K33" s="215" t="s">
        <v>33</v>
      </c>
      <c r="L33" s="224"/>
      <c r="M33" s="224"/>
      <c r="N33" s="217"/>
      <c r="O33" s="210"/>
    </row>
    <row r="34">
      <c r="A34" s="212">
        <f t="shared" si="1"/>
        <v>32</v>
      </c>
      <c r="B34" s="261"/>
      <c r="C34" s="212" t="s">
        <v>258</v>
      </c>
      <c r="D34" s="212" t="s">
        <v>587</v>
      </c>
      <c r="E34" s="212" t="s">
        <v>92</v>
      </c>
      <c r="F34" s="225" t="s">
        <v>3999</v>
      </c>
      <c r="G34" s="217"/>
      <c r="H34" s="213" t="s">
        <v>4000</v>
      </c>
      <c r="I34" s="286" t="s">
        <v>4067</v>
      </c>
      <c r="J34" s="214" t="s">
        <v>4068</v>
      </c>
      <c r="K34" s="215" t="s">
        <v>33</v>
      </c>
      <c r="L34" s="240" t="s">
        <v>4069</v>
      </c>
      <c r="M34" s="227" t="s">
        <v>4070</v>
      </c>
      <c r="N34" s="217"/>
      <c r="O34" s="210"/>
    </row>
    <row r="35">
      <c r="A35" s="212">
        <f t="shared" si="1"/>
        <v>33</v>
      </c>
      <c r="B35" s="261"/>
      <c r="C35" s="212" t="s">
        <v>258</v>
      </c>
      <c r="D35" s="212" t="s">
        <v>587</v>
      </c>
      <c r="E35" s="212" t="s">
        <v>92</v>
      </c>
      <c r="F35" s="39"/>
      <c r="G35" s="217"/>
      <c r="H35" s="213" t="s">
        <v>4003</v>
      </c>
      <c r="I35" s="217" t="s">
        <v>4004</v>
      </c>
      <c r="J35" s="214" t="s">
        <v>4068</v>
      </c>
      <c r="K35" s="215" t="s">
        <v>33</v>
      </c>
      <c r="L35" s="224"/>
      <c r="M35" s="224"/>
      <c r="N35" s="217"/>
      <c r="O35" s="210"/>
    </row>
    <row r="36">
      <c r="A36" s="212">
        <f t="shared" si="1"/>
        <v>34</v>
      </c>
      <c r="B36" s="261"/>
      <c r="C36" s="212" t="s">
        <v>258</v>
      </c>
      <c r="D36" s="212" t="s">
        <v>587</v>
      </c>
      <c r="E36" s="212" t="s">
        <v>92</v>
      </c>
      <c r="F36" s="225" t="s">
        <v>1191</v>
      </c>
      <c r="G36" s="217"/>
      <c r="H36" s="213" t="s">
        <v>3382</v>
      </c>
      <c r="I36" s="217" t="s">
        <v>4005</v>
      </c>
      <c r="J36" s="214" t="s">
        <v>4071</v>
      </c>
      <c r="K36" s="215" t="s">
        <v>33</v>
      </c>
      <c r="L36" s="226"/>
      <c r="M36" s="224"/>
      <c r="N36" s="217"/>
      <c r="O36" s="210"/>
    </row>
    <row r="37">
      <c r="A37" s="212">
        <f t="shared" si="1"/>
        <v>35</v>
      </c>
      <c r="B37" s="261"/>
      <c r="C37" s="212" t="s">
        <v>258</v>
      </c>
      <c r="D37" s="212" t="s">
        <v>587</v>
      </c>
      <c r="E37" s="212" t="s">
        <v>92</v>
      </c>
      <c r="F37" s="39"/>
      <c r="G37" s="217"/>
      <c r="H37" s="213" t="s">
        <v>4007</v>
      </c>
      <c r="I37" s="217" t="s">
        <v>4072</v>
      </c>
      <c r="J37" s="214" t="s">
        <v>4071</v>
      </c>
      <c r="K37" s="215" t="s">
        <v>33</v>
      </c>
      <c r="L37" s="240" t="s">
        <v>4073</v>
      </c>
      <c r="M37" s="227" t="s">
        <v>4074</v>
      </c>
      <c r="N37" s="217"/>
      <c r="O37" s="210"/>
    </row>
    <row r="38">
      <c r="A38" s="212">
        <f t="shared" si="1"/>
        <v>36</v>
      </c>
      <c r="B38" s="261"/>
      <c r="C38" s="212" t="s">
        <v>258</v>
      </c>
      <c r="D38" s="212" t="s">
        <v>587</v>
      </c>
      <c r="E38" s="212" t="s">
        <v>92</v>
      </c>
      <c r="F38" s="212" t="s">
        <v>608</v>
      </c>
      <c r="G38" s="227" t="s">
        <v>3387</v>
      </c>
      <c r="H38" s="213" t="s">
        <v>1479</v>
      </c>
      <c r="I38" s="227" t="s">
        <v>3388</v>
      </c>
      <c r="J38" s="259" t="s">
        <v>92</v>
      </c>
      <c r="K38" s="215" t="s">
        <v>33</v>
      </c>
      <c r="L38" s="226"/>
      <c r="M38" s="224"/>
      <c r="N38" s="217"/>
      <c r="O38" s="210"/>
    </row>
    <row r="39">
      <c r="A39" s="212">
        <f t="shared" si="1"/>
        <v>37</v>
      </c>
      <c r="B39" s="261"/>
      <c r="C39" s="212" t="s">
        <v>258</v>
      </c>
      <c r="D39" s="212" t="s">
        <v>587</v>
      </c>
      <c r="E39" s="212" t="s">
        <v>92</v>
      </c>
      <c r="F39" s="225" t="s">
        <v>1310</v>
      </c>
      <c r="G39" s="227"/>
      <c r="H39" s="213" t="s">
        <v>3389</v>
      </c>
      <c r="I39" s="227" t="s">
        <v>4075</v>
      </c>
      <c r="J39" s="259" t="s">
        <v>92</v>
      </c>
      <c r="K39" s="215" t="s">
        <v>33</v>
      </c>
      <c r="L39" s="224"/>
      <c r="M39" s="224"/>
      <c r="N39" s="217"/>
      <c r="O39" s="210"/>
    </row>
    <row r="40">
      <c r="A40" s="212">
        <f t="shared" si="1"/>
        <v>38</v>
      </c>
      <c r="B40" s="261"/>
      <c r="C40" s="212" t="s">
        <v>258</v>
      </c>
      <c r="D40" s="212" t="s">
        <v>587</v>
      </c>
      <c r="E40" s="212" t="s">
        <v>92</v>
      </c>
      <c r="F40" s="39"/>
      <c r="G40" s="227" t="s">
        <v>3387</v>
      </c>
      <c r="H40" s="213" t="s">
        <v>1863</v>
      </c>
      <c r="I40" s="227" t="s">
        <v>4076</v>
      </c>
      <c r="J40" s="214" t="s">
        <v>4064</v>
      </c>
      <c r="K40" s="215" t="s">
        <v>33</v>
      </c>
      <c r="L40" s="224"/>
      <c r="M40" s="224"/>
      <c r="N40" s="217"/>
      <c r="O40" s="210"/>
    </row>
    <row r="41">
      <c r="A41" s="212">
        <f t="shared" si="1"/>
        <v>39</v>
      </c>
      <c r="B41" s="261"/>
      <c r="C41" s="212" t="s">
        <v>258</v>
      </c>
      <c r="D41" s="212" t="s">
        <v>4077</v>
      </c>
      <c r="E41" s="212" t="s">
        <v>92</v>
      </c>
      <c r="F41" s="212" t="s">
        <v>613</v>
      </c>
      <c r="G41" s="227" t="s">
        <v>4078</v>
      </c>
      <c r="H41" s="227" t="s">
        <v>4079</v>
      </c>
      <c r="I41" s="227" t="s">
        <v>4080</v>
      </c>
      <c r="J41" s="214" t="s">
        <v>4081</v>
      </c>
      <c r="K41" s="215" t="s">
        <v>33</v>
      </c>
      <c r="L41" s="224"/>
      <c r="M41" s="224"/>
      <c r="N41" s="217"/>
      <c r="O41" s="210"/>
    </row>
    <row r="42">
      <c r="A42" s="212">
        <f t="shared" si="1"/>
        <v>40</v>
      </c>
      <c r="B42" s="261"/>
      <c r="C42" s="212" t="s">
        <v>258</v>
      </c>
      <c r="D42" s="212" t="s">
        <v>4077</v>
      </c>
      <c r="E42" s="212" t="s">
        <v>92</v>
      </c>
      <c r="F42" s="212" t="s">
        <v>448</v>
      </c>
      <c r="G42" s="227"/>
      <c r="H42" s="227" t="s">
        <v>579</v>
      </c>
      <c r="I42" s="227" t="s">
        <v>4082</v>
      </c>
      <c r="J42" s="259" t="s">
        <v>92</v>
      </c>
      <c r="K42" s="215" t="s">
        <v>33</v>
      </c>
      <c r="L42" s="240" t="s">
        <v>4073</v>
      </c>
      <c r="M42" s="227" t="s">
        <v>4083</v>
      </c>
      <c r="N42" s="217"/>
      <c r="O42" s="210"/>
    </row>
    <row r="43">
      <c r="A43" s="212">
        <f t="shared" si="1"/>
        <v>41</v>
      </c>
      <c r="B43" s="261"/>
      <c r="C43" s="212" t="s">
        <v>258</v>
      </c>
      <c r="D43" s="212" t="s">
        <v>4077</v>
      </c>
      <c r="E43" s="212" t="s">
        <v>92</v>
      </c>
      <c r="F43" s="225" t="s">
        <v>4040</v>
      </c>
      <c r="G43" s="224"/>
      <c r="H43" s="227" t="s">
        <v>2531</v>
      </c>
      <c r="I43" s="227" t="s">
        <v>4042</v>
      </c>
      <c r="J43" s="214" t="s">
        <v>4084</v>
      </c>
      <c r="K43" s="215" t="s">
        <v>33</v>
      </c>
      <c r="L43" s="226"/>
      <c r="M43" s="227"/>
      <c r="N43" s="217"/>
      <c r="O43" s="210"/>
    </row>
    <row r="44">
      <c r="A44" s="212">
        <f t="shared" si="1"/>
        <v>42</v>
      </c>
      <c r="B44" s="261"/>
      <c r="C44" s="212" t="s">
        <v>258</v>
      </c>
      <c r="D44" s="212" t="s">
        <v>4077</v>
      </c>
      <c r="E44" s="212" t="s">
        <v>92</v>
      </c>
      <c r="F44" s="220"/>
      <c r="G44" s="224"/>
      <c r="H44" s="227" t="s">
        <v>4043</v>
      </c>
      <c r="I44" s="227" t="s">
        <v>4044</v>
      </c>
      <c r="J44" s="214" t="s">
        <v>4084</v>
      </c>
      <c r="K44" s="215" t="s">
        <v>33</v>
      </c>
      <c r="L44" s="224"/>
      <c r="M44" s="227"/>
      <c r="N44" s="217"/>
      <c r="O44" s="210"/>
    </row>
    <row r="45">
      <c r="A45" s="212">
        <f t="shared" si="1"/>
        <v>43</v>
      </c>
      <c r="B45" s="228"/>
      <c r="C45" s="212" t="s">
        <v>258</v>
      </c>
      <c r="D45" s="212" t="s">
        <v>4077</v>
      </c>
      <c r="E45" s="212" t="s">
        <v>92</v>
      </c>
      <c r="F45" s="39"/>
      <c r="G45" s="227"/>
      <c r="H45" s="227" t="s">
        <v>4046</v>
      </c>
      <c r="I45" s="227" t="s">
        <v>4047</v>
      </c>
      <c r="J45" s="214" t="s">
        <v>4084</v>
      </c>
      <c r="K45" s="215" t="s">
        <v>34</v>
      </c>
      <c r="L45" s="240" t="s">
        <v>4085</v>
      </c>
      <c r="M45" s="224"/>
      <c r="N45" s="217"/>
      <c r="O45" s="210"/>
    </row>
    <row r="46">
      <c r="A46" s="212">
        <f t="shared" si="1"/>
        <v>44</v>
      </c>
      <c r="B46" s="228"/>
      <c r="C46" s="212" t="s">
        <v>265</v>
      </c>
      <c r="D46" s="212" t="s">
        <v>92</v>
      </c>
      <c r="E46" s="212" t="s">
        <v>92</v>
      </c>
      <c r="F46" s="212" t="s">
        <v>613</v>
      </c>
      <c r="G46" s="213"/>
      <c r="H46" s="213" t="s">
        <v>4086</v>
      </c>
      <c r="I46" s="213" t="s">
        <v>4087</v>
      </c>
      <c r="J46" s="256" t="s">
        <v>265</v>
      </c>
      <c r="K46" s="215" t="s">
        <v>33</v>
      </c>
      <c r="L46" s="224"/>
      <c r="M46" s="224"/>
      <c r="N46" s="217"/>
      <c r="O46" s="210"/>
    </row>
    <row r="47">
      <c r="A47" s="212">
        <f t="shared" si="1"/>
        <v>45</v>
      </c>
      <c r="B47" s="228"/>
      <c r="C47" s="212" t="s">
        <v>265</v>
      </c>
      <c r="D47" s="212" t="s">
        <v>3372</v>
      </c>
      <c r="E47" s="212" t="s">
        <v>92</v>
      </c>
      <c r="F47" s="212" t="s">
        <v>3373</v>
      </c>
      <c r="G47" s="217"/>
      <c r="H47" s="213" t="s">
        <v>3374</v>
      </c>
      <c r="I47" s="213" t="s">
        <v>4088</v>
      </c>
      <c r="J47" s="256" t="s">
        <v>4089</v>
      </c>
      <c r="K47" s="215" t="s">
        <v>33</v>
      </c>
      <c r="L47" s="224"/>
      <c r="M47" s="224"/>
      <c r="N47" s="217"/>
      <c r="O47" s="210"/>
    </row>
    <row r="48">
      <c r="A48" s="212">
        <f t="shared" si="1"/>
        <v>46</v>
      </c>
      <c r="B48" s="228"/>
      <c r="C48" s="212" t="s">
        <v>265</v>
      </c>
      <c r="D48" s="212" t="s">
        <v>3372</v>
      </c>
      <c r="E48" s="212" t="s">
        <v>92</v>
      </c>
      <c r="F48" s="212" t="s">
        <v>1378</v>
      </c>
      <c r="G48" s="217"/>
      <c r="H48" s="213" t="s">
        <v>1379</v>
      </c>
      <c r="I48" s="213" t="s">
        <v>4090</v>
      </c>
      <c r="J48" s="256" t="s">
        <v>4089</v>
      </c>
      <c r="K48" s="215" t="s">
        <v>33</v>
      </c>
      <c r="L48" s="224"/>
      <c r="M48" s="224"/>
      <c r="N48" s="217"/>
      <c r="O48" s="210"/>
    </row>
    <row r="49">
      <c r="A49" s="212">
        <f t="shared" si="1"/>
        <v>47</v>
      </c>
      <c r="B49" s="228"/>
      <c r="C49" s="212" t="s">
        <v>265</v>
      </c>
      <c r="D49" s="212" t="s">
        <v>587</v>
      </c>
      <c r="E49" s="212" t="s">
        <v>92</v>
      </c>
      <c r="F49" s="212" t="s">
        <v>613</v>
      </c>
      <c r="G49" s="224"/>
      <c r="H49" s="213" t="s">
        <v>3829</v>
      </c>
      <c r="I49" s="227" t="s">
        <v>4091</v>
      </c>
      <c r="J49" s="256" t="s">
        <v>4092</v>
      </c>
      <c r="K49" s="215" t="s">
        <v>33</v>
      </c>
      <c r="L49" s="224"/>
      <c r="M49" s="224"/>
      <c r="N49" s="217"/>
      <c r="O49" s="210"/>
    </row>
    <row r="50">
      <c r="A50" s="212">
        <f t="shared" si="1"/>
        <v>48</v>
      </c>
      <c r="B50" s="228"/>
      <c r="C50" s="212" t="s">
        <v>265</v>
      </c>
      <c r="D50" s="212" t="s">
        <v>587</v>
      </c>
      <c r="E50" s="212" t="s">
        <v>92</v>
      </c>
      <c r="F50" s="225" t="s">
        <v>3024</v>
      </c>
      <c r="G50" s="227"/>
      <c r="H50" s="213" t="s">
        <v>4093</v>
      </c>
      <c r="I50" s="217" t="s">
        <v>4005</v>
      </c>
      <c r="J50" s="256" t="s">
        <v>4094</v>
      </c>
      <c r="K50" s="215" t="s">
        <v>33</v>
      </c>
      <c r="L50" s="226"/>
      <c r="M50" s="224"/>
      <c r="N50" s="217"/>
      <c r="O50" s="210"/>
    </row>
    <row r="51">
      <c r="A51" s="212">
        <f t="shared" si="1"/>
        <v>49</v>
      </c>
      <c r="B51" s="228"/>
      <c r="C51" s="212" t="s">
        <v>265</v>
      </c>
      <c r="D51" s="212" t="s">
        <v>587</v>
      </c>
      <c r="E51" s="212" t="s">
        <v>92</v>
      </c>
      <c r="F51" s="39"/>
      <c r="G51" s="227"/>
      <c r="H51" s="213" t="s">
        <v>4007</v>
      </c>
      <c r="I51" s="217" t="s">
        <v>4095</v>
      </c>
      <c r="J51" s="256" t="s">
        <v>4094</v>
      </c>
      <c r="K51" s="215" t="s">
        <v>33</v>
      </c>
      <c r="L51" s="226"/>
      <c r="M51" s="224"/>
      <c r="N51" s="217"/>
      <c r="O51" s="210"/>
    </row>
    <row r="52">
      <c r="A52" s="212">
        <f t="shared" si="1"/>
        <v>50</v>
      </c>
      <c r="B52" s="228"/>
      <c r="C52" s="212" t="s">
        <v>265</v>
      </c>
      <c r="D52" s="212" t="s">
        <v>587</v>
      </c>
      <c r="E52" s="212" t="s">
        <v>92</v>
      </c>
      <c r="F52" s="212" t="s">
        <v>3832</v>
      </c>
      <c r="G52" s="227"/>
      <c r="H52" s="213" t="s">
        <v>4096</v>
      </c>
      <c r="I52" s="227" t="s">
        <v>4097</v>
      </c>
      <c r="J52" s="256" t="s">
        <v>4098</v>
      </c>
      <c r="K52" s="215" t="s">
        <v>33</v>
      </c>
      <c r="L52" s="226"/>
      <c r="M52" s="224"/>
      <c r="N52" s="217"/>
      <c r="O52" s="210"/>
    </row>
    <row r="53">
      <c r="A53" s="212">
        <f t="shared" si="1"/>
        <v>51</v>
      </c>
      <c r="B53" s="228"/>
      <c r="C53" s="212" t="s">
        <v>265</v>
      </c>
      <c r="D53" s="212" t="s">
        <v>587</v>
      </c>
      <c r="E53" s="212" t="s">
        <v>92</v>
      </c>
      <c r="F53" s="225" t="s">
        <v>4099</v>
      </c>
      <c r="G53" s="227"/>
      <c r="H53" s="213" t="s">
        <v>4100</v>
      </c>
      <c r="I53" s="227" t="s">
        <v>4101</v>
      </c>
      <c r="J53" s="256" t="s">
        <v>4102</v>
      </c>
      <c r="K53" s="215" t="s">
        <v>33</v>
      </c>
      <c r="L53" s="224"/>
      <c r="M53" s="224"/>
      <c r="N53" s="217"/>
      <c r="O53" s="210"/>
    </row>
    <row r="54">
      <c r="A54" s="212">
        <f t="shared" si="1"/>
        <v>52</v>
      </c>
      <c r="B54" s="228"/>
      <c r="C54" s="212" t="s">
        <v>265</v>
      </c>
      <c r="D54" s="212" t="s">
        <v>587</v>
      </c>
      <c r="E54" s="212" t="s">
        <v>92</v>
      </c>
      <c r="F54" s="39"/>
      <c r="G54" s="224"/>
      <c r="H54" s="227" t="s">
        <v>3709</v>
      </c>
      <c r="I54" s="227" t="s">
        <v>4103</v>
      </c>
      <c r="J54" s="259" t="s">
        <v>92</v>
      </c>
      <c r="K54" s="215" t="s">
        <v>33</v>
      </c>
      <c r="L54" s="224"/>
      <c r="M54" s="224"/>
      <c r="N54" s="217"/>
      <c r="O54" s="210"/>
    </row>
    <row r="55">
      <c r="A55" s="212">
        <f t="shared" si="1"/>
        <v>53</v>
      </c>
      <c r="B55" s="228"/>
      <c r="C55" s="212" t="s">
        <v>265</v>
      </c>
      <c r="D55" s="212" t="s">
        <v>587</v>
      </c>
      <c r="E55" s="212" t="s">
        <v>92</v>
      </c>
      <c r="F55" s="212" t="s">
        <v>608</v>
      </c>
      <c r="G55" s="227" t="s">
        <v>3387</v>
      </c>
      <c r="H55" s="213" t="s">
        <v>1479</v>
      </c>
      <c r="I55" s="227" t="s">
        <v>3388</v>
      </c>
      <c r="J55" s="259" t="s">
        <v>92</v>
      </c>
      <c r="K55" s="215" t="s">
        <v>33</v>
      </c>
      <c r="L55" s="224"/>
      <c r="M55" s="224"/>
      <c r="N55" s="217"/>
      <c r="O55" s="210"/>
    </row>
    <row r="56">
      <c r="A56" s="212">
        <f t="shared" si="1"/>
        <v>54</v>
      </c>
      <c r="B56" s="228"/>
      <c r="C56" s="212" t="s">
        <v>265</v>
      </c>
      <c r="D56" s="212" t="s">
        <v>587</v>
      </c>
      <c r="E56" s="212" t="s">
        <v>92</v>
      </c>
      <c r="F56" s="225" t="s">
        <v>1310</v>
      </c>
      <c r="G56" s="227"/>
      <c r="H56" s="213" t="s">
        <v>3389</v>
      </c>
      <c r="I56" s="227" t="s">
        <v>4075</v>
      </c>
      <c r="J56" s="259" t="s">
        <v>92</v>
      </c>
      <c r="K56" s="215" t="s">
        <v>33</v>
      </c>
      <c r="L56" s="224"/>
      <c r="M56" s="224"/>
      <c r="N56" s="217"/>
      <c r="O56" s="210"/>
    </row>
    <row r="57">
      <c r="A57" s="212">
        <f t="shared" si="1"/>
        <v>55</v>
      </c>
      <c r="B57" s="228"/>
      <c r="C57" s="212" t="s">
        <v>265</v>
      </c>
      <c r="D57" s="212" t="s">
        <v>587</v>
      </c>
      <c r="E57" s="212" t="s">
        <v>92</v>
      </c>
      <c r="F57" s="39"/>
      <c r="G57" s="227" t="s">
        <v>3387</v>
      </c>
      <c r="H57" s="213" t="s">
        <v>1863</v>
      </c>
      <c r="I57" s="227" t="s">
        <v>4104</v>
      </c>
      <c r="J57" s="259" t="s">
        <v>92</v>
      </c>
      <c r="K57" s="215" t="s">
        <v>33</v>
      </c>
      <c r="L57" s="226"/>
      <c r="M57" s="227"/>
      <c r="N57" s="217"/>
      <c r="O57" s="210"/>
    </row>
    <row r="58">
      <c r="A58" s="212">
        <f t="shared" si="1"/>
        <v>56</v>
      </c>
      <c r="B58" s="228"/>
      <c r="C58" s="212" t="s">
        <v>265</v>
      </c>
      <c r="D58" s="212" t="s">
        <v>3455</v>
      </c>
      <c r="E58" s="212" t="s">
        <v>92</v>
      </c>
      <c r="F58" s="212" t="s">
        <v>613</v>
      </c>
      <c r="G58" s="224"/>
      <c r="H58" s="227" t="s">
        <v>3456</v>
      </c>
      <c r="I58" s="227" t="s">
        <v>4105</v>
      </c>
      <c r="J58" s="256" t="s">
        <v>4106</v>
      </c>
      <c r="K58" s="215" t="s">
        <v>33</v>
      </c>
      <c r="L58" s="226"/>
      <c r="M58" s="227"/>
      <c r="N58" s="217"/>
      <c r="O58" s="210"/>
    </row>
    <row r="59">
      <c r="A59" s="212">
        <f t="shared" si="1"/>
        <v>57</v>
      </c>
      <c r="B59" s="228"/>
      <c r="C59" s="212" t="s">
        <v>265</v>
      </c>
      <c r="D59" s="212" t="s">
        <v>3455</v>
      </c>
      <c r="E59" s="212" t="s">
        <v>92</v>
      </c>
      <c r="F59" s="212" t="s">
        <v>4107</v>
      </c>
      <c r="G59" s="224"/>
      <c r="H59" s="227" t="s">
        <v>4108</v>
      </c>
      <c r="I59" s="227" t="s">
        <v>4109</v>
      </c>
      <c r="J59" s="256" t="s">
        <v>4110</v>
      </c>
      <c r="K59" s="215" t="s">
        <v>33</v>
      </c>
      <c r="L59" s="224"/>
      <c r="M59" s="224"/>
      <c r="N59" s="217"/>
      <c r="O59" s="210"/>
    </row>
    <row r="60">
      <c r="A60" s="212">
        <f t="shared" si="1"/>
        <v>58</v>
      </c>
      <c r="B60" s="228"/>
      <c r="C60" s="212" t="s">
        <v>265</v>
      </c>
      <c r="D60" s="212" t="s">
        <v>3455</v>
      </c>
      <c r="E60" s="212" t="s">
        <v>92</v>
      </c>
      <c r="F60" s="212" t="s">
        <v>4111</v>
      </c>
      <c r="G60" s="224"/>
      <c r="H60" s="213" t="s">
        <v>4112</v>
      </c>
      <c r="I60" s="227" t="s">
        <v>4113</v>
      </c>
      <c r="J60" s="256" t="s">
        <v>4114</v>
      </c>
      <c r="K60" s="215" t="s">
        <v>33</v>
      </c>
      <c r="L60" s="224"/>
      <c r="M60" s="224"/>
      <c r="N60" s="217"/>
      <c r="O60" s="210"/>
    </row>
    <row r="61">
      <c r="A61" s="212">
        <f t="shared" si="1"/>
        <v>59</v>
      </c>
      <c r="B61" s="228"/>
      <c r="C61" s="212" t="s">
        <v>265</v>
      </c>
      <c r="D61" s="212" t="s">
        <v>3455</v>
      </c>
      <c r="E61" s="212" t="s">
        <v>92</v>
      </c>
      <c r="F61" s="212" t="s">
        <v>4115</v>
      </c>
      <c r="G61" s="224"/>
      <c r="H61" s="213" t="s">
        <v>4116</v>
      </c>
      <c r="I61" s="227" t="s">
        <v>4117</v>
      </c>
      <c r="J61" s="256" t="s">
        <v>4118</v>
      </c>
      <c r="K61" s="215" t="s">
        <v>33</v>
      </c>
      <c r="L61" s="224"/>
      <c r="M61" s="224"/>
      <c r="N61" s="217"/>
      <c r="O61" s="210"/>
    </row>
    <row r="62">
      <c r="A62" s="212">
        <f t="shared" si="1"/>
        <v>60</v>
      </c>
      <c r="B62" s="228"/>
      <c r="C62" s="212" t="s">
        <v>265</v>
      </c>
      <c r="D62" s="212" t="s">
        <v>3455</v>
      </c>
      <c r="E62" s="212" t="s">
        <v>92</v>
      </c>
      <c r="F62" s="212" t="s">
        <v>4119</v>
      </c>
      <c r="G62" s="217" t="s">
        <v>4120</v>
      </c>
      <c r="H62" s="213" t="s">
        <v>4121</v>
      </c>
      <c r="I62" s="227" t="s">
        <v>4122</v>
      </c>
      <c r="J62" s="256" t="s">
        <v>4123</v>
      </c>
      <c r="K62" s="215" t="s">
        <v>33</v>
      </c>
      <c r="L62" s="240" t="s">
        <v>4124</v>
      </c>
      <c r="M62" s="227" t="s">
        <v>4125</v>
      </c>
      <c r="N62" s="217"/>
      <c r="O62" s="210"/>
    </row>
    <row r="63">
      <c r="A63" s="212">
        <f t="shared" si="1"/>
        <v>61</v>
      </c>
      <c r="B63" s="228"/>
      <c r="C63" s="212" t="s">
        <v>265</v>
      </c>
      <c r="D63" s="212" t="s">
        <v>4126</v>
      </c>
      <c r="E63" s="212" t="s">
        <v>92</v>
      </c>
      <c r="F63" s="212" t="s">
        <v>613</v>
      </c>
      <c r="G63" s="217"/>
      <c r="H63" s="213" t="s">
        <v>4127</v>
      </c>
      <c r="I63" s="217" t="s">
        <v>4128</v>
      </c>
      <c r="J63" s="256" t="s">
        <v>4129</v>
      </c>
      <c r="K63" s="215" t="s">
        <v>33</v>
      </c>
      <c r="L63" s="224"/>
      <c r="M63" s="224"/>
      <c r="N63" s="217"/>
      <c r="O63" s="210"/>
    </row>
    <row r="64">
      <c r="A64" s="212">
        <f t="shared" si="1"/>
        <v>62</v>
      </c>
      <c r="B64" s="228"/>
      <c r="C64" s="212" t="s">
        <v>265</v>
      </c>
      <c r="D64" s="212" t="s">
        <v>4126</v>
      </c>
      <c r="E64" s="212" t="s">
        <v>92</v>
      </c>
      <c r="F64" s="225" t="s">
        <v>4130</v>
      </c>
      <c r="G64" s="227" t="s">
        <v>4131</v>
      </c>
      <c r="H64" s="213" t="s">
        <v>4132</v>
      </c>
      <c r="I64" s="227" t="s">
        <v>4133</v>
      </c>
      <c r="J64" s="259" t="s">
        <v>92</v>
      </c>
      <c r="K64" s="215" t="s">
        <v>33</v>
      </c>
      <c r="L64" s="240" t="s">
        <v>4134</v>
      </c>
      <c r="M64" s="227" t="s">
        <v>4135</v>
      </c>
      <c r="N64" s="217"/>
      <c r="O64" s="210"/>
    </row>
    <row r="65">
      <c r="A65" s="212">
        <f t="shared" si="1"/>
        <v>63</v>
      </c>
      <c r="B65" s="228"/>
      <c r="C65" s="212" t="s">
        <v>265</v>
      </c>
      <c r="D65" s="212" t="s">
        <v>4126</v>
      </c>
      <c r="E65" s="212" t="s">
        <v>92</v>
      </c>
      <c r="F65" s="39"/>
      <c r="G65" s="227" t="s">
        <v>4136</v>
      </c>
      <c r="H65" s="213" t="s">
        <v>4132</v>
      </c>
      <c r="I65" s="227" t="s">
        <v>4137</v>
      </c>
      <c r="J65" s="256" t="s">
        <v>4138</v>
      </c>
      <c r="K65" s="215" t="s">
        <v>33</v>
      </c>
      <c r="L65" s="226"/>
      <c r="M65" s="224"/>
      <c r="N65" s="217"/>
      <c r="O65" s="210"/>
    </row>
    <row r="66">
      <c r="A66" s="212">
        <f t="shared" si="1"/>
        <v>64</v>
      </c>
      <c r="B66" s="228"/>
      <c r="C66" s="212" t="s">
        <v>265</v>
      </c>
      <c r="D66" s="212" t="s">
        <v>4126</v>
      </c>
      <c r="E66" s="212" t="s">
        <v>92</v>
      </c>
      <c r="F66" s="212" t="s">
        <v>448</v>
      </c>
      <c r="G66" s="227"/>
      <c r="H66" s="227" t="s">
        <v>579</v>
      </c>
      <c r="I66" s="227" t="s">
        <v>4139</v>
      </c>
      <c r="J66" s="256" t="s">
        <v>4140</v>
      </c>
      <c r="K66" s="215" t="s">
        <v>33</v>
      </c>
      <c r="L66" s="226"/>
      <c r="M66" s="224"/>
      <c r="N66" s="217"/>
      <c r="O66" s="210"/>
    </row>
    <row r="67">
      <c r="A67" s="212">
        <f t="shared" si="1"/>
        <v>65</v>
      </c>
      <c r="B67" s="228"/>
      <c r="C67" s="212" t="s">
        <v>265</v>
      </c>
      <c r="D67" s="212" t="s">
        <v>4126</v>
      </c>
      <c r="E67" s="212" t="s">
        <v>92</v>
      </c>
      <c r="F67" s="225" t="s">
        <v>265</v>
      </c>
      <c r="G67" s="227" t="s">
        <v>4141</v>
      </c>
      <c r="H67" s="213" t="s">
        <v>4142</v>
      </c>
      <c r="I67" s="227" t="s">
        <v>4143</v>
      </c>
      <c r="J67" s="256" t="s">
        <v>4129</v>
      </c>
      <c r="K67" s="215" t="s">
        <v>33</v>
      </c>
      <c r="L67" s="226"/>
      <c r="M67" s="224"/>
      <c r="N67" s="217"/>
      <c r="O67" s="210"/>
    </row>
    <row r="68">
      <c r="A68" s="212">
        <f t="shared" si="1"/>
        <v>66</v>
      </c>
      <c r="B68" s="228"/>
      <c r="C68" s="212" t="s">
        <v>265</v>
      </c>
      <c r="D68" s="212" t="s">
        <v>4126</v>
      </c>
      <c r="E68" s="212" t="s">
        <v>92</v>
      </c>
      <c r="F68" s="39"/>
      <c r="G68" s="227"/>
      <c r="H68" s="213" t="s">
        <v>4144</v>
      </c>
      <c r="I68" s="227" t="s">
        <v>4145</v>
      </c>
      <c r="J68" s="256" t="s">
        <v>4146</v>
      </c>
      <c r="K68" s="215" t="s">
        <v>33</v>
      </c>
      <c r="L68" s="226"/>
      <c r="M68" s="224"/>
      <c r="N68" s="217"/>
      <c r="O68" s="210"/>
    </row>
    <row r="69">
      <c r="A69" s="212">
        <f t="shared" si="1"/>
        <v>67</v>
      </c>
      <c r="B69" s="228"/>
      <c r="C69" s="212" t="s">
        <v>265</v>
      </c>
      <c r="D69" s="212" t="s">
        <v>4126</v>
      </c>
      <c r="E69" s="212" t="s">
        <v>92</v>
      </c>
      <c r="F69" s="225" t="s">
        <v>3015</v>
      </c>
      <c r="G69" s="254" t="s">
        <v>3432</v>
      </c>
      <c r="H69" s="219" t="s">
        <v>3017</v>
      </c>
      <c r="I69" s="217" t="s">
        <v>4147</v>
      </c>
      <c r="J69" s="259" t="s">
        <v>92</v>
      </c>
      <c r="K69" s="215" t="s">
        <v>33</v>
      </c>
      <c r="L69" s="226"/>
      <c r="M69" s="224"/>
      <c r="N69" s="217"/>
      <c r="O69" s="210"/>
    </row>
    <row r="70">
      <c r="A70" s="212">
        <f t="shared" si="1"/>
        <v>68</v>
      </c>
      <c r="B70" s="228"/>
      <c r="C70" s="212" t="s">
        <v>265</v>
      </c>
      <c r="D70" s="212" t="s">
        <v>4126</v>
      </c>
      <c r="E70" s="212" t="s">
        <v>92</v>
      </c>
      <c r="F70" s="39"/>
      <c r="G70" s="39"/>
      <c r="H70" s="217" t="s">
        <v>3434</v>
      </c>
      <c r="I70" s="213" t="s">
        <v>3435</v>
      </c>
      <c r="J70" s="259" t="s">
        <v>92</v>
      </c>
      <c r="K70" s="215" t="s">
        <v>33</v>
      </c>
      <c r="L70" s="226"/>
      <c r="M70" s="224"/>
      <c r="N70" s="217"/>
      <c r="O70" s="210"/>
    </row>
    <row r="71">
      <c r="A71" s="212">
        <f t="shared" si="1"/>
        <v>69</v>
      </c>
      <c r="B71" s="228"/>
      <c r="C71" s="212" t="s">
        <v>265</v>
      </c>
      <c r="D71" s="212" t="s">
        <v>4126</v>
      </c>
      <c r="E71" s="212" t="s">
        <v>4148</v>
      </c>
      <c r="F71" s="212" t="s">
        <v>613</v>
      </c>
      <c r="G71" s="227"/>
      <c r="H71" s="213" t="s">
        <v>4149</v>
      </c>
      <c r="I71" s="217" t="s">
        <v>4150</v>
      </c>
      <c r="J71" s="256" t="s">
        <v>4151</v>
      </c>
      <c r="K71" s="215" t="s">
        <v>33</v>
      </c>
      <c r="L71" s="226"/>
      <c r="M71" s="224"/>
      <c r="N71" s="217"/>
      <c r="O71" s="210"/>
    </row>
    <row r="72">
      <c r="A72" s="212">
        <f t="shared" si="1"/>
        <v>70</v>
      </c>
      <c r="B72" s="228"/>
      <c r="C72" s="212" t="s">
        <v>265</v>
      </c>
      <c r="D72" s="212" t="s">
        <v>4126</v>
      </c>
      <c r="E72" s="212" t="s">
        <v>4148</v>
      </c>
      <c r="F72" s="212" t="s">
        <v>1229</v>
      </c>
      <c r="G72" s="227"/>
      <c r="H72" s="213" t="s">
        <v>1162</v>
      </c>
      <c r="I72" s="227" t="s">
        <v>4152</v>
      </c>
      <c r="J72" s="259" t="s">
        <v>92</v>
      </c>
      <c r="K72" s="215" t="s">
        <v>33</v>
      </c>
      <c r="L72" s="226"/>
      <c r="M72" s="224"/>
      <c r="N72" s="217"/>
      <c r="O72" s="210"/>
    </row>
    <row r="73">
      <c r="A73" s="212">
        <f t="shared" si="1"/>
        <v>71</v>
      </c>
      <c r="B73" s="228"/>
      <c r="C73" s="212" t="s">
        <v>265</v>
      </c>
      <c r="D73" s="212" t="s">
        <v>4126</v>
      </c>
      <c r="E73" s="212" t="s">
        <v>4148</v>
      </c>
      <c r="F73" s="212" t="s">
        <v>4153</v>
      </c>
      <c r="G73" s="227"/>
      <c r="H73" s="213" t="s">
        <v>4154</v>
      </c>
      <c r="I73" s="227" t="s">
        <v>4155</v>
      </c>
      <c r="J73" s="256" t="s">
        <v>4151</v>
      </c>
      <c r="K73" s="215" t="s">
        <v>33</v>
      </c>
      <c r="L73" s="240" t="s">
        <v>4156</v>
      </c>
      <c r="M73" s="227" t="s">
        <v>4157</v>
      </c>
      <c r="N73" s="217"/>
      <c r="O73" s="210"/>
    </row>
    <row r="74">
      <c r="A74" s="212">
        <f t="shared" si="1"/>
        <v>72</v>
      </c>
      <c r="B74" s="228"/>
      <c r="C74" s="212" t="s">
        <v>265</v>
      </c>
      <c r="D74" s="212" t="s">
        <v>4126</v>
      </c>
      <c r="E74" s="212" t="s">
        <v>4158</v>
      </c>
      <c r="F74" s="212" t="s">
        <v>613</v>
      </c>
      <c r="G74" s="227"/>
      <c r="H74" s="213" t="s">
        <v>4159</v>
      </c>
      <c r="I74" s="227" t="s">
        <v>4160</v>
      </c>
      <c r="J74" s="256" t="s">
        <v>4151</v>
      </c>
      <c r="K74" s="215" t="s">
        <v>33</v>
      </c>
      <c r="L74" s="226"/>
      <c r="M74" s="224"/>
      <c r="N74" s="217"/>
      <c r="O74" s="210"/>
    </row>
    <row r="75">
      <c r="A75" s="212">
        <f t="shared" si="1"/>
        <v>73</v>
      </c>
      <c r="B75" s="228"/>
      <c r="C75" s="212" t="s">
        <v>265</v>
      </c>
      <c r="D75" s="212" t="s">
        <v>4126</v>
      </c>
      <c r="E75" s="212" t="s">
        <v>4158</v>
      </c>
      <c r="F75" s="212" t="s">
        <v>4161</v>
      </c>
      <c r="G75" s="227"/>
      <c r="H75" s="213" t="s">
        <v>4162</v>
      </c>
      <c r="I75" s="227" t="s">
        <v>4163</v>
      </c>
      <c r="J75" s="256" t="s">
        <v>4151</v>
      </c>
      <c r="K75" s="215" t="s">
        <v>33</v>
      </c>
      <c r="L75" s="226"/>
      <c r="M75" s="224"/>
      <c r="N75" s="217"/>
      <c r="O75" s="210"/>
    </row>
    <row r="76">
      <c r="A76" s="212">
        <f t="shared" si="1"/>
        <v>74</v>
      </c>
      <c r="B76" s="228"/>
      <c r="C76" s="212" t="s">
        <v>265</v>
      </c>
      <c r="D76" s="212" t="s">
        <v>4126</v>
      </c>
      <c r="E76" s="212" t="s">
        <v>4158</v>
      </c>
      <c r="F76" s="225" t="s">
        <v>4164</v>
      </c>
      <c r="G76" s="227" t="s">
        <v>4165</v>
      </c>
      <c r="H76" s="213" t="s">
        <v>4166</v>
      </c>
      <c r="I76" s="227" t="s">
        <v>4167</v>
      </c>
      <c r="J76" s="259" t="s">
        <v>92</v>
      </c>
      <c r="K76" s="215" t="s">
        <v>33</v>
      </c>
      <c r="L76" s="226"/>
      <c r="M76" s="224"/>
      <c r="N76" s="217"/>
      <c r="O76" s="210"/>
    </row>
    <row r="77">
      <c r="A77" s="212">
        <f t="shared" si="1"/>
        <v>75</v>
      </c>
      <c r="B77" s="228"/>
      <c r="C77" s="212" t="s">
        <v>265</v>
      </c>
      <c r="D77" s="212" t="s">
        <v>4126</v>
      </c>
      <c r="E77" s="212" t="s">
        <v>4158</v>
      </c>
      <c r="F77" s="39"/>
      <c r="G77" s="227" t="s">
        <v>4168</v>
      </c>
      <c r="H77" s="213" t="s">
        <v>4166</v>
      </c>
      <c r="I77" s="227" t="s">
        <v>4169</v>
      </c>
      <c r="J77" s="259" t="s">
        <v>92</v>
      </c>
      <c r="K77" s="215" t="s">
        <v>33</v>
      </c>
      <c r="L77" s="226"/>
      <c r="M77" s="224"/>
      <c r="N77" s="217"/>
      <c r="O77" s="210"/>
    </row>
    <row r="78">
      <c r="A78" s="212">
        <f t="shared" si="1"/>
        <v>76</v>
      </c>
      <c r="B78" s="228"/>
      <c r="C78" s="212" t="s">
        <v>265</v>
      </c>
      <c r="D78" s="212" t="s">
        <v>4126</v>
      </c>
      <c r="E78" s="212" t="s">
        <v>4158</v>
      </c>
      <c r="F78" s="212" t="s">
        <v>4170</v>
      </c>
      <c r="G78" s="227"/>
      <c r="H78" s="213" t="s">
        <v>4171</v>
      </c>
      <c r="I78" s="227" t="s">
        <v>4172</v>
      </c>
      <c r="J78" s="256" t="s">
        <v>4151</v>
      </c>
      <c r="K78" s="215" t="s">
        <v>33</v>
      </c>
      <c r="L78" s="240" t="s">
        <v>4173</v>
      </c>
      <c r="M78" s="227" t="s">
        <v>4174</v>
      </c>
      <c r="N78" s="217"/>
      <c r="O78" s="210"/>
    </row>
    <row r="79">
      <c r="A79" s="212">
        <f t="shared" si="1"/>
        <v>77</v>
      </c>
      <c r="B79" s="228"/>
      <c r="C79" s="212" t="s">
        <v>265</v>
      </c>
      <c r="D79" s="212" t="s">
        <v>4126</v>
      </c>
      <c r="E79" s="212" t="s">
        <v>4175</v>
      </c>
      <c r="F79" s="212" t="s">
        <v>613</v>
      </c>
      <c r="G79" s="227"/>
      <c r="H79" s="213" t="s">
        <v>4176</v>
      </c>
      <c r="I79" s="227" t="s">
        <v>4177</v>
      </c>
      <c r="J79" s="256" t="s">
        <v>4151</v>
      </c>
      <c r="K79" s="215" t="s">
        <v>33</v>
      </c>
      <c r="L79" s="226"/>
      <c r="M79" s="224"/>
      <c r="N79" s="217"/>
      <c r="O79" s="210"/>
    </row>
    <row r="80">
      <c r="A80" s="212">
        <f t="shared" si="1"/>
        <v>78</v>
      </c>
      <c r="B80" s="228"/>
      <c r="C80" s="212" t="s">
        <v>265</v>
      </c>
      <c r="D80" s="212" t="s">
        <v>4126</v>
      </c>
      <c r="E80" s="212" t="s">
        <v>4175</v>
      </c>
      <c r="F80" s="225" t="s">
        <v>4178</v>
      </c>
      <c r="G80" s="227"/>
      <c r="H80" s="213" t="s">
        <v>4179</v>
      </c>
      <c r="I80" s="227" t="s">
        <v>4180</v>
      </c>
      <c r="J80" s="256" t="s">
        <v>4151</v>
      </c>
      <c r="K80" s="215" t="s">
        <v>33</v>
      </c>
      <c r="L80" s="240" t="s">
        <v>4156</v>
      </c>
      <c r="M80" s="227" t="s">
        <v>4181</v>
      </c>
      <c r="N80" s="217"/>
      <c r="O80" s="210"/>
    </row>
    <row r="81">
      <c r="A81" s="212">
        <f t="shared" si="1"/>
        <v>79</v>
      </c>
      <c r="B81" s="228"/>
      <c r="C81" s="212" t="s">
        <v>265</v>
      </c>
      <c r="D81" s="212" t="s">
        <v>4126</v>
      </c>
      <c r="E81" s="212" t="s">
        <v>4175</v>
      </c>
      <c r="F81" s="220"/>
      <c r="G81" s="227"/>
      <c r="H81" s="213" t="s">
        <v>4182</v>
      </c>
      <c r="I81" s="227" t="s">
        <v>4183</v>
      </c>
      <c r="J81" s="256" t="s">
        <v>4151</v>
      </c>
      <c r="K81" s="215" t="s">
        <v>33</v>
      </c>
      <c r="L81" s="226"/>
      <c r="M81" s="224"/>
      <c r="N81" s="217"/>
      <c r="O81" s="210"/>
    </row>
    <row r="82">
      <c r="A82" s="212">
        <f t="shared" si="1"/>
        <v>80</v>
      </c>
      <c r="B82" s="228"/>
      <c r="C82" s="212" t="s">
        <v>265</v>
      </c>
      <c r="D82" s="212" t="s">
        <v>4126</v>
      </c>
      <c r="E82" s="212" t="s">
        <v>4175</v>
      </c>
      <c r="F82" s="39"/>
      <c r="G82" s="227"/>
      <c r="H82" s="213" t="s">
        <v>4184</v>
      </c>
      <c r="I82" s="227" t="s">
        <v>4185</v>
      </c>
      <c r="J82" s="256" t="s">
        <v>4186</v>
      </c>
      <c r="K82" s="215" t="s">
        <v>33</v>
      </c>
      <c r="L82" s="226"/>
      <c r="M82" s="224"/>
      <c r="N82" s="217"/>
      <c r="O82" s="210"/>
    </row>
    <row r="83">
      <c r="A83" s="212">
        <f t="shared" si="1"/>
        <v>81</v>
      </c>
      <c r="B83" s="228"/>
      <c r="C83" s="212" t="s">
        <v>265</v>
      </c>
      <c r="D83" s="212" t="s">
        <v>4126</v>
      </c>
      <c r="E83" s="212" t="s">
        <v>4175</v>
      </c>
      <c r="F83" s="225" t="s">
        <v>4187</v>
      </c>
      <c r="G83" s="227"/>
      <c r="H83" s="213" t="s">
        <v>4188</v>
      </c>
      <c r="I83" s="227" t="s">
        <v>4189</v>
      </c>
      <c r="J83" s="256" t="s">
        <v>4151</v>
      </c>
      <c r="K83" s="215" t="s">
        <v>33</v>
      </c>
      <c r="L83" s="240" t="s">
        <v>4156</v>
      </c>
      <c r="M83" s="227" t="s">
        <v>4190</v>
      </c>
      <c r="N83" s="217"/>
      <c r="O83" s="210"/>
    </row>
    <row r="84">
      <c r="A84" s="212">
        <f t="shared" si="1"/>
        <v>82</v>
      </c>
      <c r="B84" s="228"/>
      <c r="C84" s="212" t="s">
        <v>265</v>
      </c>
      <c r="D84" s="212" t="s">
        <v>4126</v>
      </c>
      <c r="E84" s="212" t="s">
        <v>4175</v>
      </c>
      <c r="F84" s="39"/>
      <c r="G84" s="227"/>
      <c r="H84" s="213" t="s">
        <v>1379</v>
      </c>
      <c r="I84" s="227" t="s">
        <v>4191</v>
      </c>
      <c r="J84" s="256" t="s">
        <v>4151</v>
      </c>
      <c r="K84" s="215" t="s">
        <v>33</v>
      </c>
      <c r="L84" s="226"/>
      <c r="M84" s="224"/>
      <c r="N84" s="217"/>
      <c r="O84" s="210"/>
    </row>
    <row r="85">
      <c r="A85" s="212">
        <f t="shared" si="1"/>
        <v>83</v>
      </c>
      <c r="B85" s="228"/>
      <c r="C85" s="212" t="s">
        <v>265</v>
      </c>
      <c r="D85" s="212" t="s">
        <v>4126</v>
      </c>
      <c r="E85" s="212" t="s">
        <v>4148</v>
      </c>
      <c r="F85" s="225" t="s">
        <v>4192</v>
      </c>
      <c r="G85" s="227" t="s">
        <v>3798</v>
      </c>
      <c r="H85" s="213" t="s">
        <v>4193</v>
      </c>
      <c r="I85" s="227" t="s">
        <v>4194</v>
      </c>
      <c r="J85" s="259" t="s">
        <v>92</v>
      </c>
      <c r="K85" s="215" t="s">
        <v>33</v>
      </c>
      <c r="L85" s="240" t="s">
        <v>4156</v>
      </c>
      <c r="M85" s="227" t="s">
        <v>4195</v>
      </c>
      <c r="N85" s="217"/>
      <c r="O85" s="210"/>
    </row>
    <row r="86">
      <c r="A86" s="212">
        <f t="shared" si="1"/>
        <v>84</v>
      </c>
      <c r="B86" s="228"/>
      <c r="C86" s="212" t="s">
        <v>265</v>
      </c>
      <c r="D86" s="212" t="s">
        <v>4126</v>
      </c>
      <c r="E86" s="212" t="s">
        <v>4148</v>
      </c>
      <c r="F86" s="39"/>
      <c r="G86" s="227" t="s">
        <v>3799</v>
      </c>
      <c r="H86" s="213" t="s">
        <v>4193</v>
      </c>
      <c r="I86" s="227" t="s">
        <v>4196</v>
      </c>
      <c r="J86" s="256" t="s">
        <v>4197</v>
      </c>
      <c r="K86" s="215" t="s">
        <v>34</v>
      </c>
      <c r="L86" s="240" t="s">
        <v>4198</v>
      </c>
      <c r="M86" s="227" t="s">
        <v>4199</v>
      </c>
      <c r="N86" s="217"/>
      <c r="O86" s="210"/>
    </row>
    <row r="87">
      <c r="A87" s="212">
        <f t="shared" si="1"/>
        <v>85</v>
      </c>
      <c r="B87" s="228"/>
      <c r="C87" s="212" t="s">
        <v>265</v>
      </c>
      <c r="D87" s="212" t="s">
        <v>4126</v>
      </c>
      <c r="E87" s="212" t="s">
        <v>4148</v>
      </c>
      <c r="F87" s="225" t="s">
        <v>1898</v>
      </c>
      <c r="G87" s="227" t="s">
        <v>4200</v>
      </c>
      <c r="H87" s="213" t="s">
        <v>4149</v>
      </c>
      <c r="I87" s="227" t="s">
        <v>4201</v>
      </c>
      <c r="J87" s="259" t="s">
        <v>92</v>
      </c>
      <c r="K87" s="215" t="s">
        <v>33</v>
      </c>
      <c r="L87" s="226"/>
      <c r="M87" s="224"/>
      <c r="N87" s="217"/>
      <c r="O87" s="210"/>
    </row>
    <row r="88">
      <c r="A88" s="212">
        <f t="shared" si="1"/>
        <v>86</v>
      </c>
      <c r="B88" s="228"/>
      <c r="C88" s="212" t="s">
        <v>265</v>
      </c>
      <c r="D88" s="212" t="s">
        <v>4126</v>
      </c>
      <c r="E88" s="212" t="s">
        <v>4148</v>
      </c>
      <c r="F88" s="220"/>
      <c r="G88" s="227" t="s">
        <v>4202</v>
      </c>
      <c r="H88" s="213" t="s">
        <v>4203</v>
      </c>
      <c r="I88" s="227" t="s">
        <v>4204</v>
      </c>
      <c r="J88" s="259" t="s">
        <v>92</v>
      </c>
      <c r="K88" s="215" t="s">
        <v>33</v>
      </c>
      <c r="L88" s="240" t="s">
        <v>4156</v>
      </c>
      <c r="M88" s="227" t="s">
        <v>4190</v>
      </c>
      <c r="N88" s="217"/>
      <c r="O88" s="210"/>
    </row>
    <row r="89">
      <c r="A89" s="212">
        <f t="shared" si="1"/>
        <v>87</v>
      </c>
      <c r="B89" s="228"/>
      <c r="C89" s="212" t="s">
        <v>265</v>
      </c>
      <c r="D89" s="212" t="s">
        <v>4126</v>
      </c>
      <c r="E89" s="212" t="s">
        <v>4148</v>
      </c>
      <c r="F89" s="39"/>
      <c r="G89" s="227"/>
      <c r="H89" s="213" t="s">
        <v>4205</v>
      </c>
      <c r="I89" s="227" t="s">
        <v>4206</v>
      </c>
      <c r="J89" s="259" t="s">
        <v>92</v>
      </c>
      <c r="K89" s="215" t="s">
        <v>33</v>
      </c>
      <c r="L89" s="226"/>
      <c r="M89" s="227" t="s">
        <v>4207</v>
      </c>
      <c r="N89" s="217"/>
      <c r="O89" s="210"/>
    </row>
    <row r="90">
      <c r="A90" s="212">
        <f t="shared" si="1"/>
        <v>88</v>
      </c>
      <c r="B90" s="228"/>
      <c r="C90" s="212" t="s">
        <v>264</v>
      </c>
      <c r="D90" s="212" t="s">
        <v>92</v>
      </c>
      <c r="E90" s="212" t="s">
        <v>92</v>
      </c>
      <c r="F90" s="212" t="s">
        <v>613</v>
      </c>
      <c r="G90" s="213"/>
      <c r="H90" s="213" t="s">
        <v>4208</v>
      </c>
      <c r="I90" s="213" t="s">
        <v>4209</v>
      </c>
      <c r="J90" s="256" t="s">
        <v>4210</v>
      </c>
      <c r="K90" s="215" t="s">
        <v>33</v>
      </c>
      <c r="L90" s="224"/>
      <c r="M90" s="224"/>
      <c r="N90" s="217"/>
      <c r="O90" s="210"/>
    </row>
    <row r="91">
      <c r="A91" s="212">
        <f t="shared" si="1"/>
        <v>89</v>
      </c>
      <c r="B91" s="228"/>
      <c r="C91" s="212" t="s">
        <v>264</v>
      </c>
      <c r="D91" s="212" t="s">
        <v>3372</v>
      </c>
      <c r="E91" s="212" t="s">
        <v>92</v>
      </c>
      <c r="F91" s="212" t="s">
        <v>3373</v>
      </c>
      <c r="G91" s="217"/>
      <c r="H91" s="213" t="s">
        <v>3374</v>
      </c>
      <c r="I91" s="213" t="s">
        <v>4211</v>
      </c>
      <c r="J91" s="259" t="s">
        <v>92</v>
      </c>
      <c r="K91" s="215" t="s">
        <v>33</v>
      </c>
      <c r="L91" s="240" t="s">
        <v>4212</v>
      </c>
      <c r="M91" s="227" t="s">
        <v>4213</v>
      </c>
      <c r="N91" s="217"/>
      <c r="O91" s="210"/>
    </row>
    <row r="92">
      <c r="A92" s="212">
        <f t="shared" si="1"/>
        <v>90</v>
      </c>
      <c r="B92" s="228"/>
      <c r="C92" s="212" t="s">
        <v>264</v>
      </c>
      <c r="D92" s="212" t="s">
        <v>3372</v>
      </c>
      <c r="E92" s="212" t="s">
        <v>92</v>
      </c>
      <c r="F92" s="212" t="s">
        <v>1378</v>
      </c>
      <c r="G92" s="217"/>
      <c r="H92" s="213" t="s">
        <v>1379</v>
      </c>
      <c r="I92" s="213" t="s">
        <v>4214</v>
      </c>
      <c r="J92" s="259" t="s">
        <v>92</v>
      </c>
      <c r="K92" s="215" t="s">
        <v>33</v>
      </c>
      <c r="L92" s="226"/>
      <c r="M92" s="224"/>
      <c r="N92" s="217"/>
      <c r="O92" s="210"/>
    </row>
    <row r="93">
      <c r="A93" s="212">
        <f t="shared" si="1"/>
        <v>91</v>
      </c>
      <c r="B93" s="228"/>
      <c r="C93" s="212" t="s">
        <v>264</v>
      </c>
      <c r="D93" s="212" t="s">
        <v>1190</v>
      </c>
      <c r="E93" s="212" t="s">
        <v>92</v>
      </c>
      <c r="F93" s="225" t="s">
        <v>613</v>
      </c>
      <c r="G93" s="227"/>
      <c r="H93" s="213" t="s">
        <v>698</v>
      </c>
      <c r="I93" s="227" t="s">
        <v>4215</v>
      </c>
      <c r="J93" s="259" t="s">
        <v>92</v>
      </c>
      <c r="K93" s="215" t="s">
        <v>33</v>
      </c>
      <c r="L93" s="224"/>
      <c r="M93" s="224"/>
      <c r="N93" s="217"/>
      <c r="O93" s="210"/>
    </row>
    <row r="94">
      <c r="A94" s="212">
        <f t="shared" si="1"/>
        <v>92</v>
      </c>
      <c r="B94" s="228"/>
      <c r="C94" s="212" t="s">
        <v>264</v>
      </c>
      <c r="D94" s="212" t="s">
        <v>1190</v>
      </c>
      <c r="E94" s="212" t="s">
        <v>92</v>
      </c>
      <c r="F94" s="225" t="s">
        <v>4216</v>
      </c>
      <c r="G94" s="227"/>
      <c r="H94" s="213" t="s">
        <v>4217</v>
      </c>
      <c r="I94" s="217" t="s">
        <v>4218</v>
      </c>
      <c r="J94" s="259" t="s">
        <v>92</v>
      </c>
      <c r="K94" s="215" t="s">
        <v>33</v>
      </c>
      <c r="L94" s="224"/>
      <c r="M94" s="224"/>
      <c r="N94" s="217"/>
      <c r="O94" s="210"/>
    </row>
    <row r="95">
      <c r="A95" s="212">
        <f t="shared" si="1"/>
        <v>93</v>
      </c>
      <c r="B95" s="228"/>
      <c r="C95" s="212" t="s">
        <v>264</v>
      </c>
      <c r="D95" s="212" t="s">
        <v>1190</v>
      </c>
      <c r="E95" s="212" t="s">
        <v>92</v>
      </c>
      <c r="F95" s="220"/>
      <c r="G95" s="227"/>
      <c r="H95" s="213" t="s">
        <v>3382</v>
      </c>
      <c r="I95" s="217" t="s">
        <v>4219</v>
      </c>
      <c r="J95" s="259" t="s">
        <v>92</v>
      </c>
      <c r="K95" s="215" t="s">
        <v>33</v>
      </c>
      <c r="L95" s="224"/>
      <c r="M95" s="224"/>
      <c r="N95" s="217"/>
      <c r="O95" s="210"/>
    </row>
    <row r="96">
      <c r="A96" s="212">
        <f t="shared" si="1"/>
        <v>94</v>
      </c>
      <c r="B96" s="228"/>
      <c r="C96" s="212" t="s">
        <v>264</v>
      </c>
      <c r="D96" s="212" t="s">
        <v>1190</v>
      </c>
      <c r="E96" s="212" t="s">
        <v>92</v>
      </c>
      <c r="F96" s="220"/>
      <c r="G96" s="227"/>
      <c r="H96" s="213" t="s">
        <v>4007</v>
      </c>
      <c r="I96" s="217" t="s">
        <v>4220</v>
      </c>
      <c r="J96" s="259" t="s">
        <v>92</v>
      </c>
      <c r="K96" s="215" t="s">
        <v>33</v>
      </c>
      <c r="L96" s="224"/>
      <c r="M96" s="227" t="s">
        <v>4221</v>
      </c>
      <c r="N96" s="227"/>
      <c r="O96" s="210"/>
    </row>
    <row r="97">
      <c r="A97" s="212">
        <f t="shared" si="1"/>
        <v>95</v>
      </c>
      <c r="B97" s="228"/>
      <c r="C97" s="212" t="s">
        <v>264</v>
      </c>
      <c r="D97" s="212" t="s">
        <v>1190</v>
      </c>
      <c r="E97" s="212" t="s">
        <v>92</v>
      </c>
      <c r="F97" s="39"/>
      <c r="G97" s="227"/>
      <c r="H97" s="213" t="s">
        <v>4222</v>
      </c>
      <c r="I97" s="227" t="s">
        <v>4223</v>
      </c>
      <c r="J97" s="259" t="s">
        <v>92</v>
      </c>
      <c r="K97" s="215" t="s">
        <v>33</v>
      </c>
      <c r="L97" s="224"/>
      <c r="M97" s="224"/>
      <c r="N97" s="227"/>
      <c r="O97" s="210"/>
    </row>
    <row r="98">
      <c r="A98" s="212">
        <f t="shared" si="1"/>
        <v>96</v>
      </c>
      <c r="B98" s="228"/>
      <c r="C98" s="212" t="s">
        <v>264</v>
      </c>
      <c r="D98" s="212" t="s">
        <v>1190</v>
      </c>
      <c r="E98" s="212" t="s">
        <v>92</v>
      </c>
      <c r="F98" s="225" t="s">
        <v>4224</v>
      </c>
      <c r="G98" s="227"/>
      <c r="H98" s="213" t="s">
        <v>4225</v>
      </c>
      <c r="I98" s="217" t="s">
        <v>4226</v>
      </c>
      <c r="J98" s="259" t="s">
        <v>92</v>
      </c>
      <c r="K98" s="215" t="s">
        <v>33</v>
      </c>
      <c r="L98" s="224"/>
      <c r="M98" s="224"/>
      <c r="N98" s="227"/>
      <c r="O98" s="210"/>
    </row>
    <row r="99">
      <c r="A99" s="212">
        <f t="shared" si="1"/>
        <v>97</v>
      </c>
      <c r="B99" s="228"/>
      <c r="C99" s="212" t="s">
        <v>264</v>
      </c>
      <c r="D99" s="212" t="s">
        <v>1190</v>
      </c>
      <c r="E99" s="212" t="s">
        <v>92</v>
      </c>
      <c r="F99" s="220"/>
      <c r="G99" s="227"/>
      <c r="H99" s="213" t="s">
        <v>3382</v>
      </c>
      <c r="I99" s="217" t="s">
        <v>4227</v>
      </c>
      <c r="J99" s="259" t="s">
        <v>92</v>
      </c>
      <c r="K99" s="215" t="s">
        <v>33</v>
      </c>
      <c r="L99" s="224"/>
      <c r="M99" s="227" t="s">
        <v>4228</v>
      </c>
      <c r="N99" s="227"/>
      <c r="O99" s="210"/>
    </row>
    <row r="100">
      <c r="A100" s="212">
        <f t="shared" si="1"/>
        <v>98</v>
      </c>
      <c r="B100" s="228"/>
      <c r="C100" s="212" t="s">
        <v>264</v>
      </c>
      <c r="D100" s="212" t="s">
        <v>1190</v>
      </c>
      <c r="E100" s="212" t="s">
        <v>92</v>
      </c>
      <c r="F100" s="220"/>
      <c r="G100" s="227"/>
      <c r="H100" s="213" t="s">
        <v>4007</v>
      </c>
      <c r="I100" s="217" t="s">
        <v>4220</v>
      </c>
      <c r="J100" s="259" t="s">
        <v>92</v>
      </c>
      <c r="K100" s="215" t="s">
        <v>33</v>
      </c>
      <c r="L100" s="224"/>
      <c r="M100" s="227" t="s">
        <v>4221</v>
      </c>
      <c r="N100" s="227"/>
      <c r="O100" s="210"/>
    </row>
    <row r="101">
      <c r="A101" s="212">
        <f t="shared" si="1"/>
        <v>99</v>
      </c>
      <c r="B101" s="228"/>
      <c r="C101" s="212" t="s">
        <v>264</v>
      </c>
      <c r="D101" s="212" t="s">
        <v>1190</v>
      </c>
      <c r="E101" s="212" t="s">
        <v>92</v>
      </c>
      <c r="F101" s="39"/>
      <c r="G101" s="227"/>
      <c r="H101" s="213" t="s">
        <v>4096</v>
      </c>
      <c r="I101" s="227" t="s">
        <v>4229</v>
      </c>
      <c r="J101" s="259" t="s">
        <v>92</v>
      </c>
      <c r="K101" s="215" t="s">
        <v>33</v>
      </c>
      <c r="L101" s="224"/>
      <c r="M101" s="224"/>
      <c r="N101" s="227"/>
      <c r="O101" s="210"/>
    </row>
    <row r="102">
      <c r="A102" s="212">
        <f t="shared" si="1"/>
        <v>100</v>
      </c>
      <c r="B102" s="228"/>
      <c r="C102" s="212" t="s">
        <v>264</v>
      </c>
      <c r="D102" s="212" t="s">
        <v>1190</v>
      </c>
      <c r="E102" s="212" t="s">
        <v>92</v>
      </c>
      <c r="F102" s="212" t="s">
        <v>3594</v>
      </c>
      <c r="G102" s="227" t="s">
        <v>3387</v>
      </c>
      <c r="H102" s="213" t="s">
        <v>1479</v>
      </c>
      <c r="I102" s="227" t="s">
        <v>3388</v>
      </c>
      <c r="J102" s="259" t="s">
        <v>92</v>
      </c>
      <c r="K102" s="215" t="s">
        <v>33</v>
      </c>
      <c r="L102" s="224"/>
      <c r="M102" s="224"/>
      <c r="N102" s="227"/>
      <c r="O102" s="210"/>
    </row>
    <row r="103">
      <c r="A103" s="212">
        <f t="shared" si="1"/>
        <v>101</v>
      </c>
      <c r="B103" s="228"/>
      <c r="C103" s="212" t="s">
        <v>264</v>
      </c>
      <c r="D103" s="212" t="s">
        <v>1190</v>
      </c>
      <c r="E103" s="212" t="s">
        <v>92</v>
      </c>
      <c r="F103" s="225" t="s">
        <v>4230</v>
      </c>
      <c r="G103" s="227" t="s">
        <v>4231</v>
      </c>
      <c r="H103" s="213" t="s">
        <v>1952</v>
      </c>
      <c r="I103" s="227" t="s">
        <v>4232</v>
      </c>
      <c r="J103" s="259" t="s">
        <v>92</v>
      </c>
      <c r="K103" s="215" t="s">
        <v>33</v>
      </c>
      <c r="L103" s="224"/>
      <c r="M103" s="224"/>
      <c r="N103" s="227"/>
      <c r="O103" s="210"/>
    </row>
    <row r="104">
      <c r="A104" s="212">
        <f t="shared" si="1"/>
        <v>102</v>
      </c>
      <c r="B104" s="228"/>
      <c r="C104" s="212" t="s">
        <v>264</v>
      </c>
      <c r="D104" s="212" t="s">
        <v>1190</v>
      </c>
      <c r="E104" s="212" t="s">
        <v>92</v>
      </c>
      <c r="F104" s="39"/>
      <c r="G104" s="227" t="s">
        <v>4233</v>
      </c>
      <c r="H104" s="213" t="s">
        <v>1952</v>
      </c>
      <c r="I104" s="227" t="s">
        <v>4232</v>
      </c>
      <c r="J104" s="259" t="s">
        <v>92</v>
      </c>
      <c r="K104" s="215" t="s">
        <v>33</v>
      </c>
      <c r="L104" s="224"/>
      <c r="M104" s="224"/>
      <c r="N104" s="227"/>
      <c r="O104" s="210"/>
    </row>
    <row r="105">
      <c r="A105" s="212">
        <f t="shared" si="1"/>
        <v>103</v>
      </c>
      <c r="B105" s="228"/>
      <c r="C105" s="212" t="s">
        <v>264</v>
      </c>
      <c r="D105" s="212" t="s">
        <v>2693</v>
      </c>
      <c r="E105" s="212" t="s">
        <v>92</v>
      </c>
      <c r="F105" s="212" t="s">
        <v>613</v>
      </c>
      <c r="G105" s="227"/>
      <c r="H105" s="227" t="s">
        <v>2694</v>
      </c>
      <c r="I105" s="227" t="s">
        <v>4234</v>
      </c>
      <c r="J105" s="259" t="s">
        <v>92</v>
      </c>
      <c r="K105" s="215" t="s">
        <v>33</v>
      </c>
      <c r="L105" s="224"/>
      <c r="M105" s="224"/>
      <c r="N105" s="227"/>
      <c r="O105" s="210"/>
    </row>
    <row r="106">
      <c r="A106" s="212">
        <f t="shared" si="1"/>
        <v>104</v>
      </c>
      <c r="B106" s="228"/>
      <c r="C106" s="212" t="s">
        <v>264</v>
      </c>
      <c r="D106" s="212" t="s">
        <v>2693</v>
      </c>
      <c r="E106" s="212" t="s">
        <v>92</v>
      </c>
      <c r="F106" s="212" t="s">
        <v>4235</v>
      </c>
      <c r="G106" s="224"/>
      <c r="H106" s="227" t="s">
        <v>4236</v>
      </c>
      <c r="I106" s="227" t="s">
        <v>4237</v>
      </c>
      <c r="J106" s="259" t="s">
        <v>92</v>
      </c>
      <c r="K106" s="215" t="s">
        <v>33</v>
      </c>
      <c r="L106" s="226"/>
      <c r="M106" s="224"/>
      <c r="N106" s="227"/>
      <c r="O106" s="210"/>
    </row>
    <row r="107">
      <c r="A107" s="212">
        <f t="shared" si="1"/>
        <v>105</v>
      </c>
      <c r="B107" s="228"/>
      <c r="C107" s="212" t="s">
        <v>264</v>
      </c>
      <c r="D107" s="212" t="s">
        <v>2693</v>
      </c>
      <c r="E107" s="212" t="s">
        <v>92</v>
      </c>
      <c r="F107" s="225" t="s">
        <v>4238</v>
      </c>
      <c r="G107" s="224"/>
      <c r="H107" s="227" t="s">
        <v>4239</v>
      </c>
      <c r="I107" s="227" t="s">
        <v>4240</v>
      </c>
      <c r="J107" s="259" t="s">
        <v>92</v>
      </c>
      <c r="K107" s="215" t="s">
        <v>33</v>
      </c>
      <c r="L107" s="226"/>
      <c r="M107" s="224"/>
      <c r="N107" s="227"/>
      <c r="O107" s="210"/>
    </row>
    <row r="108">
      <c r="A108" s="212">
        <f t="shared" si="1"/>
        <v>106</v>
      </c>
      <c r="B108" s="228"/>
      <c r="C108" s="212" t="s">
        <v>264</v>
      </c>
      <c r="D108" s="212" t="s">
        <v>2693</v>
      </c>
      <c r="E108" s="212" t="s">
        <v>92</v>
      </c>
      <c r="F108" s="39"/>
      <c r="G108" s="227"/>
      <c r="H108" s="213" t="s">
        <v>4241</v>
      </c>
      <c r="I108" s="227" t="s">
        <v>4242</v>
      </c>
      <c r="J108" s="259" t="s">
        <v>92</v>
      </c>
      <c r="K108" s="215" t="s">
        <v>33</v>
      </c>
      <c r="L108" s="226"/>
      <c r="M108" s="224"/>
      <c r="N108" s="227"/>
      <c r="O108" s="210"/>
    </row>
    <row r="109">
      <c r="A109" s="212">
        <f t="shared" si="1"/>
        <v>107</v>
      </c>
      <c r="B109" s="228"/>
      <c r="C109" s="212" t="s">
        <v>264</v>
      </c>
      <c r="D109" s="212" t="s">
        <v>2693</v>
      </c>
      <c r="E109" s="212" t="s">
        <v>92</v>
      </c>
      <c r="F109" s="212" t="s">
        <v>4243</v>
      </c>
      <c r="G109" s="227"/>
      <c r="H109" s="213" t="s">
        <v>4244</v>
      </c>
      <c r="I109" s="227" t="s">
        <v>4245</v>
      </c>
      <c r="J109" s="259" t="s">
        <v>92</v>
      </c>
      <c r="K109" s="215" t="s">
        <v>33</v>
      </c>
      <c r="L109" s="226"/>
      <c r="M109" s="224"/>
      <c r="N109" s="227"/>
      <c r="O109" s="210"/>
    </row>
    <row r="110">
      <c r="A110" s="212">
        <f t="shared" si="1"/>
        <v>108</v>
      </c>
      <c r="B110" s="228"/>
      <c r="C110" s="212" t="s">
        <v>264</v>
      </c>
      <c r="D110" s="212" t="s">
        <v>4126</v>
      </c>
      <c r="E110" s="212" t="s">
        <v>92</v>
      </c>
      <c r="F110" s="212" t="s">
        <v>613</v>
      </c>
      <c r="G110" s="224"/>
      <c r="H110" s="227" t="s">
        <v>4127</v>
      </c>
      <c r="I110" s="227" t="s">
        <v>4246</v>
      </c>
      <c r="J110" s="259" t="s">
        <v>92</v>
      </c>
      <c r="K110" s="215" t="s">
        <v>33</v>
      </c>
      <c r="L110" s="224"/>
      <c r="M110" s="224"/>
      <c r="N110" s="227"/>
      <c r="O110" s="210"/>
    </row>
    <row r="111">
      <c r="A111" s="212">
        <f t="shared" si="1"/>
        <v>109</v>
      </c>
      <c r="B111" s="228"/>
      <c r="C111" s="212" t="s">
        <v>264</v>
      </c>
      <c r="D111" s="212" t="s">
        <v>4126</v>
      </c>
      <c r="E111" s="212" t="s">
        <v>92</v>
      </c>
      <c r="F111" s="225" t="s">
        <v>4247</v>
      </c>
      <c r="G111" s="224"/>
      <c r="H111" s="227" t="s">
        <v>4248</v>
      </c>
      <c r="I111" s="227" t="s">
        <v>4249</v>
      </c>
      <c r="J111" s="259" t="s">
        <v>92</v>
      </c>
      <c r="K111" s="215" t="s">
        <v>33</v>
      </c>
      <c r="L111" s="224"/>
      <c r="M111" s="224"/>
      <c r="N111" s="227"/>
      <c r="O111" s="210"/>
    </row>
    <row r="112">
      <c r="A112" s="212">
        <f t="shared" si="1"/>
        <v>110</v>
      </c>
      <c r="B112" s="228"/>
      <c r="C112" s="212" t="s">
        <v>264</v>
      </c>
      <c r="D112" s="212" t="s">
        <v>4126</v>
      </c>
      <c r="E112" s="212" t="s">
        <v>92</v>
      </c>
      <c r="F112" s="220"/>
      <c r="G112" s="224"/>
      <c r="H112" s="227" t="s">
        <v>4250</v>
      </c>
      <c r="I112" s="227" t="s">
        <v>4251</v>
      </c>
      <c r="J112" s="259" t="s">
        <v>92</v>
      </c>
      <c r="K112" s="215" t="s">
        <v>33</v>
      </c>
      <c r="L112" s="224"/>
      <c r="M112" s="224"/>
      <c r="N112" s="227"/>
      <c r="O112" s="210"/>
    </row>
    <row r="113">
      <c r="A113" s="212">
        <f t="shared" si="1"/>
        <v>111</v>
      </c>
      <c r="B113" s="228"/>
      <c r="C113" s="212" t="s">
        <v>264</v>
      </c>
      <c r="D113" s="212" t="s">
        <v>4126</v>
      </c>
      <c r="E113" s="212" t="s">
        <v>92</v>
      </c>
      <c r="F113" s="39"/>
      <c r="G113" s="224"/>
      <c r="H113" s="227" t="s">
        <v>4252</v>
      </c>
      <c r="I113" s="227" t="s">
        <v>4253</v>
      </c>
      <c r="J113" s="259" t="s">
        <v>92</v>
      </c>
      <c r="K113" s="215" t="s">
        <v>33</v>
      </c>
      <c r="L113" s="224"/>
      <c r="M113" s="224"/>
      <c r="N113" s="227"/>
      <c r="O113" s="210"/>
    </row>
    <row r="114">
      <c r="A114" s="212">
        <f t="shared" si="1"/>
        <v>112</v>
      </c>
      <c r="B114" s="228"/>
      <c r="C114" s="212" t="s">
        <v>264</v>
      </c>
      <c r="D114" s="212" t="s">
        <v>4126</v>
      </c>
      <c r="E114" s="212" t="s">
        <v>92</v>
      </c>
      <c r="F114" s="212" t="s">
        <v>448</v>
      </c>
      <c r="G114" s="227"/>
      <c r="H114" s="227" t="s">
        <v>579</v>
      </c>
      <c r="I114" s="227" t="s">
        <v>4139</v>
      </c>
      <c r="J114" s="259" t="s">
        <v>92</v>
      </c>
      <c r="K114" s="215" t="s">
        <v>33</v>
      </c>
      <c r="L114" s="224"/>
      <c r="M114" s="224"/>
      <c r="N114" s="227"/>
      <c r="O114" s="210"/>
    </row>
    <row r="115">
      <c r="A115" s="212">
        <f t="shared" si="1"/>
        <v>113</v>
      </c>
      <c r="B115" s="228"/>
      <c r="C115" s="212" t="s">
        <v>264</v>
      </c>
      <c r="D115" s="212" t="s">
        <v>4126</v>
      </c>
      <c r="E115" s="212" t="s">
        <v>92</v>
      </c>
      <c r="F115" s="225" t="s">
        <v>4254</v>
      </c>
      <c r="G115" s="227"/>
      <c r="H115" s="227" t="s">
        <v>4255</v>
      </c>
      <c r="I115" s="227" t="s">
        <v>4256</v>
      </c>
      <c r="J115" s="259" t="s">
        <v>92</v>
      </c>
      <c r="K115" s="215" t="s">
        <v>33</v>
      </c>
      <c r="L115" s="224"/>
      <c r="M115" s="224"/>
      <c r="N115" s="227"/>
      <c r="O115" s="210"/>
    </row>
    <row r="116">
      <c r="A116" s="212">
        <f t="shared" si="1"/>
        <v>114</v>
      </c>
      <c r="B116" s="228"/>
      <c r="C116" s="212" t="s">
        <v>264</v>
      </c>
      <c r="D116" s="212" t="s">
        <v>4126</v>
      </c>
      <c r="E116" s="212" t="s">
        <v>92</v>
      </c>
      <c r="F116" s="39"/>
      <c r="G116" s="227"/>
      <c r="H116" s="227" t="s">
        <v>4257</v>
      </c>
      <c r="I116" s="227" t="s">
        <v>4258</v>
      </c>
      <c r="J116" s="259" t="s">
        <v>92</v>
      </c>
      <c r="K116" s="215" t="s">
        <v>33</v>
      </c>
      <c r="L116" s="224"/>
      <c r="M116" s="224"/>
      <c r="N116" s="227"/>
      <c r="O116" s="210"/>
    </row>
    <row r="117">
      <c r="A117" s="212"/>
      <c r="B117" s="228"/>
      <c r="C117" s="212"/>
      <c r="D117" s="212"/>
      <c r="E117" s="212"/>
      <c r="F117" s="212"/>
      <c r="G117" s="227"/>
      <c r="H117" s="227"/>
      <c r="I117" s="227"/>
      <c r="J117" s="259"/>
      <c r="K117" s="215"/>
      <c r="L117" s="224"/>
      <c r="M117" s="224"/>
      <c r="N117" s="227"/>
      <c r="O117" s="210"/>
    </row>
    <row r="118">
      <c r="A118" s="212"/>
      <c r="B118" s="228"/>
      <c r="C118" s="212"/>
      <c r="D118" s="212"/>
      <c r="E118" s="212"/>
      <c r="F118" s="212"/>
      <c r="G118" s="224"/>
      <c r="H118" s="227"/>
      <c r="I118" s="227"/>
      <c r="J118" s="259"/>
      <c r="K118" s="215"/>
      <c r="L118" s="224"/>
      <c r="M118" s="224"/>
      <c r="N118" s="227"/>
      <c r="O118" s="210"/>
    </row>
    <row r="119">
      <c r="A119" s="212"/>
      <c r="B119" s="228"/>
      <c r="C119" s="212"/>
      <c r="D119" s="212"/>
      <c r="E119" s="212"/>
      <c r="F119" s="212"/>
      <c r="G119" s="227"/>
      <c r="H119" s="227"/>
      <c r="I119" s="227"/>
      <c r="J119" s="259"/>
      <c r="K119" s="215"/>
      <c r="L119" s="224"/>
      <c r="M119" s="224"/>
      <c r="N119" s="227"/>
      <c r="O119" s="210"/>
    </row>
    <row r="120">
      <c r="A120" s="212"/>
      <c r="B120" s="228"/>
      <c r="C120" s="212"/>
      <c r="D120" s="212"/>
      <c r="E120" s="212"/>
      <c r="F120" s="212"/>
      <c r="G120" s="227"/>
      <c r="H120" s="227"/>
      <c r="I120" s="227"/>
      <c r="J120" s="259"/>
      <c r="K120" s="215"/>
      <c r="L120" s="224"/>
      <c r="M120" s="224"/>
      <c r="N120" s="227"/>
      <c r="O120" s="210"/>
    </row>
    <row r="121">
      <c r="A121" s="212"/>
      <c r="B121" s="228"/>
      <c r="C121" s="212"/>
      <c r="D121" s="212"/>
      <c r="E121" s="212"/>
      <c r="F121" s="212"/>
      <c r="G121" s="273"/>
      <c r="H121" s="257"/>
      <c r="I121" s="257"/>
      <c r="J121" s="259"/>
      <c r="K121" s="215"/>
      <c r="L121" s="224"/>
      <c r="M121" s="224"/>
      <c r="N121" s="227"/>
      <c r="O121" s="210"/>
    </row>
  </sheetData>
  <mergeCells count="39">
    <mergeCell ref="K1:K2"/>
    <mergeCell ref="L1:L2"/>
    <mergeCell ref="M1:M2"/>
    <mergeCell ref="N1:N2"/>
    <mergeCell ref="A1:A2"/>
    <mergeCell ref="C1:E1"/>
    <mergeCell ref="F1:F2"/>
    <mergeCell ref="G1:G2"/>
    <mergeCell ref="H1:H2"/>
    <mergeCell ref="I1:I2"/>
    <mergeCell ref="J1:J2"/>
    <mergeCell ref="F7:F8"/>
    <mergeCell ref="F9:F10"/>
    <mergeCell ref="F12:F13"/>
    <mergeCell ref="F18:F19"/>
    <mergeCell ref="F22:F26"/>
    <mergeCell ref="F32:F33"/>
    <mergeCell ref="F34:F35"/>
    <mergeCell ref="F67:F68"/>
    <mergeCell ref="F69:F70"/>
    <mergeCell ref="G69:G70"/>
    <mergeCell ref="F36:F37"/>
    <mergeCell ref="F39:F40"/>
    <mergeCell ref="F43:F45"/>
    <mergeCell ref="F50:F51"/>
    <mergeCell ref="F53:F54"/>
    <mergeCell ref="F56:F57"/>
    <mergeCell ref="F64:F65"/>
    <mergeCell ref="F103:F104"/>
    <mergeCell ref="F107:F108"/>
    <mergeCell ref="F111:F113"/>
    <mergeCell ref="F115:F116"/>
    <mergeCell ref="F76:F77"/>
    <mergeCell ref="F80:F82"/>
    <mergeCell ref="F83:F84"/>
    <mergeCell ref="F85:F86"/>
    <mergeCell ref="F87:F89"/>
    <mergeCell ref="F94:F97"/>
    <mergeCell ref="F98:F101"/>
  </mergeCells>
  <conditionalFormatting sqref="K3:K121">
    <cfRule type="cellIs" dxfId="4" priority="1" operator="equal">
      <formula>"PASS"</formula>
    </cfRule>
  </conditionalFormatting>
  <conditionalFormatting sqref="K3:K121">
    <cfRule type="cellIs" dxfId="5" priority="2" operator="equal">
      <formula>"FAIL"</formula>
    </cfRule>
  </conditionalFormatting>
  <conditionalFormatting sqref="K3:K121">
    <cfRule type="cellIs" dxfId="6" priority="3" operator="equal">
      <formula>"N/A"</formula>
    </cfRule>
  </conditionalFormatting>
  <conditionalFormatting sqref="K3:K121">
    <cfRule type="cellIs" dxfId="7" priority="4" operator="equal">
      <formula>"N/T"</formula>
    </cfRule>
  </conditionalFormatting>
  <dataValidations>
    <dataValidation type="list" allowBlank="1" sqref="K3:K121">
      <formula1>"PASS,FAIL,N/A,N/T"</formula1>
    </dataValidation>
  </dataValidations>
  <hyperlinks>
    <hyperlink r:id="rId1" ref="J3"/>
    <hyperlink r:id="rId2" ref="J4"/>
    <hyperlink r:id="rId3" ref="L4"/>
    <hyperlink r:id="rId4" ref="J5"/>
    <hyperlink r:id="rId5" ref="J6"/>
    <hyperlink r:id="rId6" ref="J7"/>
    <hyperlink r:id="rId7" ref="J8"/>
    <hyperlink r:id="rId8" ref="J9"/>
    <hyperlink r:id="rId9" ref="J10"/>
    <hyperlink r:id="rId10" ref="L10"/>
    <hyperlink r:id="rId11" ref="J14"/>
    <hyperlink r:id="rId12" ref="J15"/>
    <hyperlink r:id="rId13" ref="J16"/>
    <hyperlink r:id="rId14" ref="L16"/>
    <hyperlink r:id="rId15" ref="J17"/>
    <hyperlink r:id="rId16" ref="J18"/>
    <hyperlink r:id="rId17" ref="J20"/>
    <hyperlink r:id="rId18" ref="L21"/>
    <hyperlink r:id="rId19" ref="J23"/>
    <hyperlink r:id="rId20" ref="J24"/>
    <hyperlink r:id="rId21" ref="J25"/>
    <hyperlink r:id="rId22" ref="J27"/>
    <hyperlink r:id="rId23" ref="J28"/>
    <hyperlink r:id="rId24" ref="J29"/>
    <hyperlink r:id="rId25" ref="J30"/>
    <hyperlink r:id="rId26" ref="J31"/>
    <hyperlink r:id="rId27" ref="J32"/>
    <hyperlink r:id="rId28" ref="J33"/>
    <hyperlink r:id="rId29" ref="J34"/>
    <hyperlink r:id="rId30" ref="L34"/>
    <hyperlink r:id="rId31" ref="J35"/>
    <hyperlink r:id="rId32" ref="J36"/>
    <hyperlink r:id="rId33" ref="J37"/>
    <hyperlink r:id="rId34" ref="L37"/>
    <hyperlink r:id="rId35" ref="J40"/>
    <hyperlink r:id="rId36" ref="J41"/>
    <hyperlink r:id="rId37" ref="L42"/>
    <hyperlink r:id="rId38" ref="J43"/>
    <hyperlink r:id="rId39" ref="J44"/>
    <hyperlink r:id="rId40" ref="J45"/>
    <hyperlink r:id="rId41" ref="L45"/>
    <hyperlink r:id="rId42" ref="J46"/>
    <hyperlink r:id="rId43" ref="J47"/>
    <hyperlink r:id="rId44" ref="J48"/>
    <hyperlink r:id="rId45" ref="J49"/>
    <hyperlink r:id="rId46" ref="J50"/>
    <hyperlink r:id="rId47" ref="J51"/>
    <hyperlink r:id="rId48" ref="J52"/>
    <hyperlink r:id="rId49" ref="J53"/>
    <hyperlink r:id="rId50" ref="J58"/>
    <hyperlink r:id="rId51" ref="J59"/>
    <hyperlink r:id="rId52" ref="J60"/>
    <hyperlink r:id="rId53" ref="J61"/>
    <hyperlink r:id="rId54" ref="J62"/>
    <hyperlink r:id="rId55" ref="L62"/>
    <hyperlink r:id="rId56" ref="J63"/>
    <hyperlink r:id="rId57" ref="L64"/>
    <hyperlink r:id="rId58" ref="J65"/>
    <hyperlink r:id="rId59" ref="J66"/>
    <hyperlink r:id="rId60" ref="J67"/>
    <hyperlink r:id="rId61" ref="J68"/>
    <hyperlink r:id="rId62" ref="J71"/>
    <hyperlink r:id="rId63" ref="J73"/>
    <hyperlink r:id="rId64" ref="L73"/>
    <hyperlink r:id="rId65" ref="J74"/>
    <hyperlink r:id="rId66" ref="J75"/>
    <hyperlink r:id="rId67" ref="J78"/>
    <hyperlink r:id="rId68" ref="L78"/>
    <hyperlink r:id="rId69" ref="J79"/>
    <hyperlink r:id="rId70" ref="J80"/>
    <hyperlink r:id="rId71" ref="L80"/>
    <hyperlink r:id="rId72" ref="J81"/>
    <hyperlink r:id="rId73" ref="J82"/>
    <hyperlink r:id="rId74" ref="J83"/>
    <hyperlink r:id="rId75" ref="L83"/>
    <hyperlink r:id="rId76" ref="J84"/>
    <hyperlink r:id="rId77" ref="L85"/>
    <hyperlink r:id="rId78" ref="J86"/>
    <hyperlink r:id="rId79" ref="L86"/>
    <hyperlink r:id="rId80" ref="L88"/>
    <hyperlink r:id="rId81" ref="J90"/>
    <hyperlink r:id="rId82" ref="L91"/>
  </hyperlinks>
  <drawing r:id="rId8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0"/>
    <col customWidth="1" min="2" max="2" width="8.75"/>
    <col customWidth="1" min="3" max="5" width="12.38"/>
    <col customWidth="1" min="6" max="6" width="12.63"/>
    <col customWidth="1" min="7" max="7" width="25.75"/>
    <col customWidth="1" min="8" max="9" width="32.13"/>
    <col customWidth="1" min="10" max="10" width="13.25"/>
    <col customWidth="1" min="11" max="11" width="8.13"/>
    <col customWidth="1" min="12" max="12" width="13.25"/>
    <col customWidth="1" min="13" max="13" width="18.88"/>
  </cols>
  <sheetData>
    <row r="1">
      <c r="A1" s="149" t="s">
        <v>67</v>
      </c>
      <c r="B1" s="152"/>
      <c r="C1" s="147" t="s">
        <v>330</v>
      </c>
      <c r="D1" s="20"/>
      <c r="E1" s="18"/>
      <c r="F1" s="148" t="s">
        <v>478</v>
      </c>
      <c r="G1" s="149" t="s">
        <v>479</v>
      </c>
      <c r="H1" s="148" t="s">
        <v>331</v>
      </c>
      <c r="I1" s="148" t="s">
        <v>480</v>
      </c>
      <c r="J1" s="209" t="s">
        <v>11</v>
      </c>
      <c r="K1" s="150" t="s">
        <v>333</v>
      </c>
      <c r="L1" s="149" t="s">
        <v>481</v>
      </c>
      <c r="M1" s="149" t="s">
        <v>73</v>
      </c>
      <c r="N1" s="149" t="s">
        <v>335</v>
      </c>
      <c r="O1" s="210"/>
    </row>
    <row r="2">
      <c r="A2" s="39"/>
      <c r="B2" s="211" t="s">
        <v>482</v>
      </c>
      <c r="C2" s="152" t="s">
        <v>75</v>
      </c>
      <c r="D2" s="153" t="s">
        <v>76</v>
      </c>
      <c r="E2" s="153" t="s">
        <v>336</v>
      </c>
      <c r="F2" s="39"/>
      <c r="G2" s="39"/>
      <c r="H2" s="39"/>
      <c r="I2" s="39"/>
      <c r="J2" s="39"/>
      <c r="K2" s="39"/>
      <c r="L2" s="39"/>
      <c r="M2" s="39"/>
      <c r="N2" s="39"/>
      <c r="O2" s="210"/>
    </row>
    <row r="3">
      <c r="A3" s="212">
        <f t="shared" ref="A3:A68" si="1">COUNTA($I$3:$I3)</f>
        <v>1</v>
      </c>
      <c r="B3" s="212" t="s">
        <v>49</v>
      </c>
      <c r="C3" s="212" t="s">
        <v>274</v>
      </c>
      <c r="D3" s="212" t="s">
        <v>92</v>
      </c>
      <c r="E3" s="212" t="s">
        <v>92</v>
      </c>
      <c r="F3" s="212" t="s">
        <v>613</v>
      </c>
      <c r="G3" s="213"/>
      <c r="H3" s="213" t="s">
        <v>4259</v>
      </c>
      <c r="I3" s="213" t="s">
        <v>4260</v>
      </c>
      <c r="J3" s="214" t="s">
        <v>4261</v>
      </c>
      <c r="K3" s="215" t="s">
        <v>33</v>
      </c>
      <c r="L3" s="216"/>
      <c r="M3" s="216"/>
      <c r="N3" s="217"/>
      <c r="O3" s="210"/>
    </row>
    <row r="4">
      <c r="A4" s="212">
        <f t="shared" si="1"/>
        <v>2</v>
      </c>
      <c r="B4" s="212"/>
      <c r="C4" s="212" t="s">
        <v>274</v>
      </c>
      <c r="D4" s="212" t="s">
        <v>3372</v>
      </c>
      <c r="E4" s="212" t="s">
        <v>92</v>
      </c>
      <c r="F4" s="212" t="s">
        <v>3373</v>
      </c>
      <c r="G4" s="217"/>
      <c r="H4" s="213" t="s">
        <v>3374</v>
      </c>
      <c r="I4" s="213" t="s">
        <v>4262</v>
      </c>
      <c r="J4" s="214" t="s">
        <v>4263</v>
      </c>
      <c r="K4" s="215" t="s">
        <v>33</v>
      </c>
      <c r="L4" s="253" t="s">
        <v>4264</v>
      </c>
      <c r="M4" s="217" t="s">
        <v>4265</v>
      </c>
      <c r="N4" s="217"/>
      <c r="O4" s="210"/>
    </row>
    <row r="5">
      <c r="A5" s="212">
        <f t="shared" si="1"/>
        <v>3</v>
      </c>
      <c r="B5" s="212"/>
      <c r="C5" s="212" t="s">
        <v>274</v>
      </c>
      <c r="D5" s="212" t="s">
        <v>3372</v>
      </c>
      <c r="E5" s="212" t="s">
        <v>92</v>
      </c>
      <c r="F5" s="212" t="s">
        <v>1378</v>
      </c>
      <c r="G5" s="217"/>
      <c r="H5" s="213" t="s">
        <v>1379</v>
      </c>
      <c r="I5" s="213" t="s">
        <v>4266</v>
      </c>
      <c r="J5" s="214" t="s">
        <v>4263</v>
      </c>
      <c r="K5" s="215" t="s">
        <v>33</v>
      </c>
      <c r="L5" s="216"/>
      <c r="M5" s="216"/>
      <c r="N5" s="217"/>
      <c r="O5" s="210"/>
    </row>
    <row r="6">
      <c r="A6" s="212">
        <f t="shared" si="1"/>
        <v>4</v>
      </c>
      <c r="B6" s="212"/>
      <c r="C6" s="212" t="s">
        <v>274</v>
      </c>
      <c r="D6" s="212" t="s">
        <v>587</v>
      </c>
      <c r="E6" s="212" t="s">
        <v>92</v>
      </c>
      <c r="F6" s="225" t="s">
        <v>613</v>
      </c>
      <c r="G6" s="224"/>
      <c r="H6" s="213" t="s">
        <v>698</v>
      </c>
      <c r="I6" s="227" t="s">
        <v>4267</v>
      </c>
      <c r="J6" s="214" t="s">
        <v>4268</v>
      </c>
      <c r="K6" s="215" t="s">
        <v>33</v>
      </c>
      <c r="L6" s="253" t="s">
        <v>4264</v>
      </c>
      <c r="M6" s="217" t="s">
        <v>4269</v>
      </c>
      <c r="N6" s="217"/>
      <c r="O6" s="210"/>
    </row>
    <row r="7">
      <c r="A7" s="212">
        <f t="shared" si="1"/>
        <v>5</v>
      </c>
      <c r="B7" s="212"/>
      <c r="C7" s="212" t="s">
        <v>274</v>
      </c>
      <c r="D7" s="212" t="s">
        <v>587</v>
      </c>
      <c r="E7" s="212" t="s">
        <v>92</v>
      </c>
      <c r="F7" s="225" t="s">
        <v>4270</v>
      </c>
      <c r="G7" s="227"/>
      <c r="H7" s="213" t="s">
        <v>4271</v>
      </c>
      <c r="I7" s="227" t="s">
        <v>4272</v>
      </c>
      <c r="J7" s="214" t="s">
        <v>4273</v>
      </c>
      <c r="K7" s="215" t="s">
        <v>33</v>
      </c>
      <c r="L7" s="253" t="s">
        <v>4264</v>
      </c>
      <c r="M7" s="217" t="s">
        <v>4274</v>
      </c>
      <c r="N7" s="217"/>
      <c r="O7" s="210"/>
    </row>
    <row r="8">
      <c r="A8" s="212">
        <f t="shared" si="1"/>
        <v>6</v>
      </c>
      <c r="B8" s="212"/>
      <c r="C8" s="212" t="s">
        <v>274</v>
      </c>
      <c r="D8" s="212" t="s">
        <v>587</v>
      </c>
      <c r="E8" s="212" t="s">
        <v>92</v>
      </c>
      <c r="F8" s="220"/>
      <c r="G8" s="227"/>
      <c r="H8" s="213" t="s">
        <v>4275</v>
      </c>
      <c r="I8" s="227" t="s">
        <v>4103</v>
      </c>
      <c r="J8" s="214" t="s">
        <v>4273</v>
      </c>
      <c r="K8" s="215" t="s">
        <v>33</v>
      </c>
      <c r="L8" s="226"/>
      <c r="M8" s="224"/>
      <c r="N8" s="217"/>
      <c r="O8" s="210"/>
    </row>
    <row r="9">
      <c r="A9" s="212">
        <f t="shared" si="1"/>
        <v>7</v>
      </c>
      <c r="B9" s="212"/>
      <c r="C9" s="212" t="s">
        <v>274</v>
      </c>
      <c r="D9" s="212" t="s">
        <v>587</v>
      </c>
      <c r="E9" s="212" t="s">
        <v>92</v>
      </c>
      <c r="F9" s="225" t="s">
        <v>4276</v>
      </c>
      <c r="G9" s="227"/>
      <c r="H9" s="213" t="s">
        <v>4277</v>
      </c>
      <c r="I9" s="227" t="s">
        <v>4278</v>
      </c>
      <c r="J9" s="214" t="s">
        <v>4279</v>
      </c>
      <c r="K9" s="215" t="s">
        <v>33</v>
      </c>
      <c r="L9" s="226"/>
      <c r="M9" s="287" t="s">
        <v>4280</v>
      </c>
      <c r="N9" s="217"/>
      <c r="O9" s="210"/>
    </row>
    <row r="10">
      <c r="A10" s="212">
        <f t="shared" si="1"/>
        <v>8</v>
      </c>
      <c r="B10" s="212"/>
      <c r="C10" s="212" t="s">
        <v>274</v>
      </c>
      <c r="D10" s="212" t="s">
        <v>587</v>
      </c>
      <c r="E10" s="212" t="s">
        <v>92</v>
      </c>
      <c r="F10" s="220"/>
      <c r="G10" s="227"/>
      <c r="H10" s="213" t="s">
        <v>4275</v>
      </c>
      <c r="I10" s="227" t="s">
        <v>4103</v>
      </c>
      <c r="J10" s="214" t="s">
        <v>4279</v>
      </c>
      <c r="K10" s="215" t="s">
        <v>33</v>
      </c>
      <c r="L10" s="226"/>
      <c r="M10" s="224"/>
      <c r="N10" s="217"/>
      <c r="O10" s="210"/>
    </row>
    <row r="11">
      <c r="A11" s="212">
        <f t="shared" si="1"/>
        <v>9</v>
      </c>
      <c r="B11" s="212"/>
      <c r="C11" s="212" t="s">
        <v>274</v>
      </c>
      <c r="D11" s="212" t="s">
        <v>587</v>
      </c>
      <c r="E11" s="212" t="s">
        <v>92</v>
      </c>
      <c r="F11" s="225" t="s">
        <v>4281</v>
      </c>
      <c r="G11" s="227" t="s">
        <v>3554</v>
      </c>
      <c r="H11" s="213" t="s">
        <v>4282</v>
      </c>
      <c r="I11" s="227" t="s">
        <v>4283</v>
      </c>
      <c r="J11" s="214" t="s">
        <v>4284</v>
      </c>
      <c r="K11" s="215" t="s">
        <v>33</v>
      </c>
      <c r="L11" s="253" t="s">
        <v>4264</v>
      </c>
      <c r="M11" s="217" t="s">
        <v>4285</v>
      </c>
      <c r="N11" s="217"/>
      <c r="O11" s="210"/>
    </row>
    <row r="12">
      <c r="A12" s="212">
        <f t="shared" si="1"/>
        <v>10</v>
      </c>
      <c r="B12" s="228"/>
      <c r="C12" s="212" t="s">
        <v>274</v>
      </c>
      <c r="D12" s="212" t="s">
        <v>587</v>
      </c>
      <c r="E12" s="212" t="s">
        <v>92</v>
      </c>
      <c r="F12" s="39"/>
      <c r="G12" s="227"/>
      <c r="H12" s="213" t="s">
        <v>4286</v>
      </c>
      <c r="I12" s="227" t="s">
        <v>4287</v>
      </c>
      <c r="J12" s="214" t="s">
        <v>4284</v>
      </c>
      <c r="K12" s="215" t="s">
        <v>33</v>
      </c>
      <c r="L12" s="253" t="s">
        <v>4264</v>
      </c>
      <c r="M12" s="217" t="s">
        <v>4288</v>
      </c>
      <c r="N12" s="217"/>
      <c r="O12" s="210"/>
    </row>
    <row r="13">
      <c r="A13" s="212">
        <f t="shared" si="1"/>
        <v>11</v>
      </c>
      <c r="B13" s="228"/>
      <c r="C13" s="212" t="s">
        <v>274</v>
      </c>
      <c r="D13" s="212" t="s">
        <v>587</v>
      </c>
      <c r="E13" s="212" t="s">
        <v>92</v>
      </c>
      <c r="F13" s="237" t="s">
        <v>1310</v>
      </c>
      <c r="G13" s="227"/>
      <c r="H13" s="213" t="s">
        <v>1863</v>
      </c>
      <c r="I13" s="227" t="s">
        <v>4289</v>
      </c>
      <c r="J13" s="242" t="s">
        <v>92</v>
      </c>
      <c r="K13" s="215" t="s">
        <v>33</v>
      </c>
      <c r="L13" s="224"/>
      <c r="M13" s="224"/>
      <c r="N13" s="217"/>
      <c r="O13" s="210"/>
    </row>
    <row r="14">
      <c r="A14" s="212">
        <f t="shared" si="1"/>
        <v>12</v>
      </c>
      <c r="B14" s="228"/>
      <c r="C14" s="212" t="s">
        <v>274</v>
      </c>
      <c r="D14" s="212" t="s">
        <v>3455</v>
      </c>
      <c r="E14" s="212" t="s">
        <v>92</v>
      </c>
      <c r="F14" s="212" t="s">
        <v>613</v>
      </c>
      <c r="G14" s="224"/>
      <c r="H14" s="227" t="s">
        <v>3456</v>
      </c>
      <c r="I14" s="227" t="s">
        <v>4290</v>
      </c>
      <c r="J14" s="214" t="s">
        <v>4291</v>
      </c>
      <c r="K14" s="215" t="s">
        <v>33</v>
      </c>
      <c r="L14" s="224"/>
      <c r="M14" s="224"/>
      <c r="N14" s="217"/>
      <c r="O14" s="210"/>
    </row>
    <row r="15">
      <c r="A15" s="212">
        <f t="shared" si="1"/>
        <v>13</v>
      </c>
      <c r="B15" s="228"/>
      <c r="C15" s="212" t="s">
        <v>274</v>
      </c>
      <c r="D15" s="212" t="s">
        <v>3455</v>
      </c>
      <c r="E15" s="212" t="s">
        <v>92</v>
      </c>
      <c r="F15" s="212" t="s">
        <v>4292</v>
      </c>
      <c r="G15" s="227"/>
      <c r="H15" s="227" t="s">
        <v>4293</v>
      </c>
      <c r="I15" s="227" t="s">
        <v>4294</v>
      </c>
      <c r="J15" s="214" t="s">
        <v>4295</v>
      </c>
      <c r="K15" s="215" t="s">
        <v>33</v>
      </c>
      <c r="L15" s="240" t="s">
        <v>4296</v>
      </c>
      <c r="M15" s="227" t="s">
        <v>4297</v>
      </c>
      <c r="N15" s="217"/>
      <c r="O15" s="210"/>
    </row>
    <row r="16">
      <c r="A16" s="212">
        <f t="shared" si="1"/>
        <v>14</v>
      </c>
      <c r="B16" s="228"/>
      <c r="C16" s="212" t="s">
        <v>274</v>
      </c>
      <c r="D16" s="212" t="s">
        <v>3455</v>
      </c>
      <c r="E16" s="212" t="s">
        <v>92</v>
      </c>
      <c r="F16" s="212" t="s">
        <v>4298</v>
      </c>
      <c r="G16" s="224"/>
      <c r="H16" s="227" t="s">
        <v>4299</v>
      </c>
      <c r="I16" s="227" t="s">
        <v>4300</v>
      </c>
      <c r="J16" s="214" t="s">
        <v>4301</v>
      </c>
      <c r="K16" s="215" t="s">
        <v>33</v>
      </c>
      <c r="L16" s="240" t="s">
        <v>4296</v>
      </c>
      <c r="M16" s="227" t="s">
        <v>4297</v>
      </c>
      <c r="N16" s="217"/>
      <c r="O16" s="210"/>
    </row>
    <row r="17">
      <c r="A17" s="212">
        <f t="shared" si="1"/>
        <v>15</v>
      </c>
      <c r="B17" s="228"/>
      <c r="C17" s="212" t="s">
        <v>274</v>
      </c>
      <c r="D17" s="212" t="s">
        <v>3455</v>
      </c>
      <c r="E17" s="212" t="s">
        <v>92</v>
      </c>
      <c r="F17" s="212" t="s">
        <v>4302</v>
      </c>
      <c r="G17" s="224"/>
      <c r="H17" s="227" t="s">
        <v>4303</v>
      </c>
      <c r="I17" s="227" t="s">
        <v>4304</v>
      </c>
      <c r="J17" s="214" t="s">
        <v>4305</v>
      </c>
      <c r="K17" s="215" t="s">
        <v>33</v>
      </c>
      <c r="L17" s="240" t="s">
        <v>4296</v>
      </c>
      <c r="M17" s="227" t="s">
        <v>4297</v>
      </c>
      <c r="N17" s="217"/>
      <c r="O17" s="210"/>
    </row>
    <row r="18">
      <c r="A18" s="212">
        <f t="shared" si="1"/>
        <v>16</v>
      </c>
      <c r="B18" s="228"/>
      <c r="C18" s="212" t="s">
        <v>274</v>
      </c>
      <c r="D18" s="212" t="s">
        <v>3455</v>
      </c>
      <c r="E18" s="212" t="s">
        <v>92</v>
      </c>
      <c r="F18" s="212" t="s">
        <v>4306</v>
      </c>
      <c r="G18" s="227" t="s">
        <v>4307</v>
      </c>
      <c r="H18" s="227" t="s">
        <v>4308</v>
      </c>
      <c r="I18" s="227" t="s">
        <v>4309</v>
      </c>
      <c r="J18" s="214" t="s">
        <v>4310</v>
      </c>
      <c r="K18" s="215" t="s">
        <v>33</v>
      </c>
      <c r="L18" s="226"/>
      <c r="M18" s="227"/>
      <c r="N18" s="217"/>
      <c r="O18" s="210"/>
    </row>
    <row r="19">
      <c r="A19" s="212">
        <f t="shared" si="1"/>
        <v>17</v>
      </c>
      <c r="B19" s="228"/>
      <c r="C19" s="212" t="s">
        <v>274</v>
      </c>
      <c r="D19" s="212" t="s">
        <v>4311</v>
      </c>
      <c r="E19" s="212" t="s">
        <v>92</v>
      </c>
      <c r="F19" s="212" t="s">
        <v>613</v>
      </c>
      <c r="G19" s="227"/>
      <c r="H19" s="227" t="s">
        <v>4312</v>
      </c>
      <c r="I19" s="227" t="s">
        <v>4313</v>
      </c>
      <c r="J19" s="214" t="s">
        <v>4314</v>
      </c>
      <c r="K19" s="215" t="s">
        <v>33</v>
      </c>
      <c r="L19" s="224"/>
      <c r="M19" s="224"/>
      <c r="N19" s="217"/>
      <c r="O19" s="210"/>
    </row>
    <row r="20">
      <c r="A20" s="212">
        <f t="shared" si="1"/>
        <v>18</v>
      </c>
      <c r="B20" s="228"/>
      <c r="C20" s="212" t="s">
        <v>274</v>
      </c>
      <c r="D20" s="212" t="s">
        <v>4311</v>
      </c>
      <c r="E20" s="212" t="s">
        <v>92</v>
      </c>
      <c r="F20" s="225" t="s">
        <v>4040</v>
      </c>
      <c r="G20" s="227" t="s">
        <v>3459</v>
      </c>
      <c r="H20" s="227" t="s">
        <v>2531</v>
      </c>
      <c r="I20" s="227" t="s">
        <v>4315</v>
      </c>
      <c r="J20" s="267" t="s">
        <v>92</v>
      </c>
      <c r="K20" s="215" t="s">
        <v>33</v>
      </c>
      <c r="L20" s="253" t="s">
        <v>4264</v>
      </c>
      <c r="M20" s="217" t="s">
        <v>2880</v>
      </c>
      <c r="N20" s="217"/>
      <c r="O20" s="210"/>
    </row>
    <row r="21">
      <c r="A21" s="212">
        <f t="shared" si="1"/>
        <v>19</v>
      </c>
      <c r="B21" s="228"/>
      <c r="C21" s="212" t="s">
        <v>274</v>
      </c>
      <c r="D21" s="212" t="s">
        <v>4311</v>
      </c>
      <c r="E21" s="212" t="s">
        <v>92</v>
      </c>
      <c r="F21" s="39"/>
      <c r="G21" s="224"/>
      <c r="H21" s="227" t="s">
        <v>2531</v>
      </c>
      <c r="I21" s="227" t="s">
        <v>4316</v>
      </c>
      <c r="J21" s="214" t="s">
        <v>4314</v>
      </c>
      <c r="K21" s="215" t="s">
        <v>33</v>
      </c>
      <c r="L21" s="226"/>
      <c r="M21" s="224"/>
      <c r="N21" s="217"/>
      <c r="O21" s="210"/>
    </row>
    <row r="22">
      <c r="A22" s="212">
        <f t="shared" si="1"/>
        <v>20</v>
      </c>
      <c r="B22" s="228"/>
      <c r="C22" s="212" t="s">
        <v>274</v>
      </c>
      <c r="D22" s="212" t="s">
        <v>4311</v>
      </c>
      <c r="E22" s="212" t="s">
        <v>92</v>
      </c>
      <c r="F22" s="225" t="s">
        <v>1713</v>
      </c>
      <c r="G22" s="224"/>
      <c r="H22" s="227" t="s">
        <v>4317</v>
      </c>
      <c r="I22" s="227" t="s">
        <v>4318</v>
      </c>
      <c r="J22" s="267" t="s">
        <v>92</v>
      </c>
      <c r="K22" s="215" t="s">
        <v>33</v>
      </c>
      <c r="L22" s="226"/>
      <c r="M22" s="227"/>
      <c r="N22" s="217"/>
      <c r="O22" s="210"/>
    </row>
    <row r="23">
      <c r="A23" s="212">
        <f t="shared" si="1"/>
        <v>21</v>
      </c>
      <c r="B23" s="228"/>
      <c r="C23" s="212" t="s">
        <v>274</v>
      </c>
      <c r="D23" s="212" t="s">
        <v>4311</v>
      </c>
      <c r="E23" s="212" t="s">
        <v>92</v>
      </c>
      <c r="F23" s="220"/>
      <c r="G23" s="224"/>
      <c r="H23" s="227" t="s">
        <v>1162</v>
      </c>
      <c r="I23" s="227" t="s">
        <v>4319</v>
      </c>
      <c r="J23" s="267" t="s">
        <v>92</v>
      </c>
      <c r="K23" s="215" t="s">
        <v>33</v>
      </c>
      <c r="L23" s="253" t="s">
        <v>4264</v>
      </c>
      <c r="M23" s="217" t="s">
        <v>4269</v>
      </c>
      <c r="N23" s="217"/>
      <c r="O23" s="210"/>
    </row>
    <row r="24">
      <c r="A24" s="212">
        <f t="shared" si="1"/>
        <v>22</v>
      </c>
      <c r="B24" s="228"/>
      <c r="C24" s="212" t="s">
        <v>274</v>
      </c>
      <c r="D24" s="212" t="s">
        <v>4311</v>
      </c>
      <c r="E24" s="212" t="s">
        <v>92</v>
      </c>
      <c r="F24" s="39"/>
      <c r="G24" s="224"/>
      <c r="H24" s="227" t="s">
        <v>1715</v>
      </c>
      <c r="I24" s="227" t="s">
        <v>4320</v>
      </c>
      <c r="J24" s="267" t="s">
        <v>92</v>
      </c>
      <c r="K24" s="215" t="s">
        <v>33</v>
      </c>
      <c r="L24" s="224"/>
      <c r="M24" s="224"/>
      <c r="N24" s="217"/>
      <c r="O24" s="210"/>
    </row>
    <row r="25">
      <c r="A25" s="212">
        <f t="shared" si="1"/>
        <v>23</v>
      </c>
      <c r="B25" s="228"/>
      <c r="C25" s="212" t="s">
        <v>274</v>
      </c>
      <c r="D25" s="212" t="s">
        <v>4311</v>
      </c>
      <c r="E25" s="212" t="s">
        <v>92</v>
      </c>
      <c r="F25" s="212" t="s">
        <v>4321</v>
      </c>
      <c r="G25" s="227" t="s">
        <v>4322</v>
      </c>
      <c r="H25" s="227" t="s">
        <v>4323</v>
      </c>
      <c r="I25" s="227" t="s">
        <v>4324</v>
      </c>
      <c r="J25" s="267" t="s">
        <v>92</v>
      </c>
      <c r="K25" s="215" t="s">
        <v>34</v>
      </c>
      <c r="L25" s="240" t="s">
        <v>4325</v>
      </c>
      <c r="M25" s="224"/>
      <c r="N25" s="217"/>
      <c r="O25" s="210"/>
    </row>
    <row r="26">
      <c r="A26" s="212">
        <f t="shared" si="1"/>
        <v>24</v>
      </c>
      <c r="B26" s="228"/>
      <c r="C26" s="212" t="s">
        <v>274</v>
      </c>
      <c r="D26" s="212" t="s">
        <v>4311</v>
      </c>
      <c r="E26" s="212" t="s">
        <v>92</v>
      </c>
      <c r="F26" s="225" t="s">
        <v>3015</v>
      </c>
      <c r="G26" s="254" t="s">
        <v>3432</v>
      </c>
      <c r="H26" s="219" t="s">
        <v>3017</v>
      </c>
      <c r="I26" s="217" t="s">
        <v>4147</v>
      </c>
      <c r="J26" s="242"/>
      <c r="K26" s="215" t="s">
        <v>33</v>
      </c>
      <c r="L26" s="224"/>
      <c r="M26" s="224"/>
      <c r="N26" s="217"/>
      <c r="O26" s="210"/>
    </row>
    <row r="27">
      <c r="A27" s="212">
        <f t="shared" si="1"/>
        <v>25</v>
      </c>
      <c r="B27" s="228"/>
      <c r="C27" s="212" t="s">
        <v>274</v>
      </c>
      <c r="D27" s="212" t="s">
        <v>4311</v>
      </c>
      <c r="E27" s="212" t="s">
        <v>92</v>
      </c>
      <c r="F27" s="39"/>
      <c r="G27" s="39"/>
      <c r="H27" s="217" t="s">
        <v>3434</v>
      </c>
      <c r="I27" s="213" t="s">
        <v>3435</v>
      </c>
      <c r="J27" s="242"/>
      <c r="K27" s="215" t="s">
        <v>33</v>
      </c>
      <c r="L27" s="224"/>
      <c r="M27" s="224"/>
      <c r="N27" s="217"/>
      <c r="O27" s="210"/>
    </row>
    <row r="28">
      <c r="A28" s="212">
        <f t="shared" si="1"/>
        <v>26</v>
      </c>
      <c r="B28" s="228"/>
      <c r="C28" s="212" t="s">
        <v>274</v>
      </c>
      <c r="D28" s="212" t="s">
        <v>4311</v>
      </c>
      <c r="E28" s="212" t="s">
        <v>92</v>
      </c>
      <c r="F28" s="225" t="s">
        <v>4326</v>
      </c>
      <c r="G28" s="227" t="s">
        <v>4327</v>
      </c>
      <c r="H28" s="227" t="s">
        <v>4328</v>
      </c>
      <c r="I28" s="227" t="s">
        <v>4329</v>
      </c>
      <c r="J28" s="267" t="s">
        <v>92</v>
      </c>
      <c r="K28" s="215" t="s">
        <v>33</v>
      </c>
      <c r="L28" s="224"/>
      <c r="M28" s="224"/>
      <c r="N28" s="217"/>
      <c r="O28" s="210"/>
    </row>
    <row r="29">
      <c r="A29" s="212">
        <f t="shared" si="1"/>
        <v>27</v>
      </c>
      <c r="B29" s="228"/>
      <c r="C29" s="212" t="s">
        <v>274</v>
      </c>
      <c r="D29" s="212" t="s">
        <v>4311</v>
      </c>
      <c r="E29" s="212" t="s">
        <v>92</v>
      </c>
      <c r="F29" s="39"/>
      <c r="G29" s="227" t="s">
        <v>4330</v>
      </c>
      <c r="H29" s="227" t="s">
        <v>4328</v>
      </c>
      <c r="I29" s="227" t="s">
        <v>4331</v>
      </c>
      <c r="J29" s="214" t="s">
        <v>4332</v>
      </c>
      <c r="K29" s="215" t="s">
        <v>33</v>
      </c>
      <c r="L29" s="224"/>
      <c r="M29" s="224"/>
      <c r="N29" s="217"/>
      <c r="O29" s="210"/>
    </row>
    <row r="30">
      <c r="A30" s="212">
        <f t="shared" si="1"/>
        <v>28</v>
      </c>
      <c r="B30" s="228"/>
      <c r="C30" s="212" t="s">
        <v>274</v>
      </c>
      <c r="D30" s="212" t="s">
        <v>4311</v>
      </c>
      <c r="E30" s="212" t="s">
        <v>4333</v>
      </c>
      <c r="F30" s="212" t="s">
        <v>613</v>
      </c>
      <c r="G30" s="227"/>
      <c r="H30" s="227" t="s">
        <v>4334</v>
      </c>
      <c r="I30" s="227" t="s">
        <v>4335</v>
      </c>
      <c r="J30" s="214" t="s">
        <v>4332</v>
      </c>
      <c r="K30" s="215" t="s">
        <v>33</v>
      </c>
      <c r="L30" s="224"/>
      <c r="M30" s="217" t="s">
        <v>4269</v>
      </c>
      <c r="N30" s="217"/>
      <c r="O30" s="210"/>
    </row>
    <row r="31">
      <c r="A31" s="212">
        <f t="shared" si="1"/>
        <v>29</v>
      </c>
      <c r="B31" s="228"/>
      <c r="C31" s="212" t="s">
        <v>274</v>
      </c>
      <c r="D31" s="212" t="s">
        <v>4311</v>
      </c>
      <c r="E31" s="212" t="s">
        <v>4333</v>
      </c>
      <c r="F31" s="225" t="s">
        <v>4336</v>
      </c>
      <c r="G31" s="227" t="s">
        <v>4337</v>
      </c>
      <c r="H31" s="227" t="s">
        <v>4338</v>
      </c>
      <c r="I31" s="227" t="s">
        <v>4339</v>
      </c>
      <c r="J31" s="267" t="s">
        <v>92</v>
      </c>
      <c r="K31" s="215" t="s">
        <v>33</v>
      </c>
      <c r="L31" s="224"/>
      <c r="M31" s="224"/>
      <c r="N31" s="217"/>
      <c r="O31" s="210"/>
    </row>
    <row r="32">
      <c r="A32" s="212">
        <f t="shared" si="1"/>
        <v>30</v>
      </c>
      <c r="B32" s="228"/>
      <c r="C32" s="212" t="s">
        <v>274</v>
      </c>
      <c r="D32" s="212" t="s">
        <v>4311</v>
      </c>
      <c r="E32" s="212" t="s">
        <v>4333</v>
      </c>
      <c r="F32" s="220"/>
      <c r="G32" s="227" t="s">
        <v>4340</v>
      </c>
      <c r="H32" s="227" t="s">
        <v>4338</v>
      </c>
      <c r="I32" s="227" t="s">
        <v>4341</v>
      </c>
      <c r="J32" s="267" t="s">
        <v>92</v>
      </c>
      <c r="K32" s="215" t="s">
        <v>33</v>
      </c>
      <c r="L32" s="224"/>
      <c r="M32" s="224"/>
      <c r="N32" s="217"/>
      <c r="O32" s="210"/>
    </row>
    <row r="33">
      <c r="A33" s="212">
        <f t="shared" si="1"/>
        <v>31</v>
      </c>
      <c r="B33" s="228"/>
      <c r="C33" s="212" t="s">
        <v>274</v>
      </c>
      <c r="D33" s="212" t="s">
        <v>4311</v>
      </c>
      <c r="E33" s="212" t="s">
        <v>4333</v>
      </c>
      <c r="F33" s="39"/>
      <c r="G33" s="227"/>
      <c r="H33" s="227" t="s">
        <v>4342</v>
      </c>
      <c r="I33" s="227" t="s">
        <v>4343</v>
      </c>
      <c r="J33" s="267" t="s">
        <v>92</v>
      </c>
      <c r="K33" s="215" t="s">
        <v>33</v>
      </c>
      <c r="L33" s="224"/>
      <c r="M33" s="224"/>
      <c r="N33" s="217"/>
      <c r="O33" s="210"/>
    </row>
    <row r="34">
      <c r="A34" s="212">
        <f t="shared" si="1"/>
        <v>32</v>
      </c>
      <c r="B34" s="228"/>
      <c r="C34" s="212" t="s">
        <v>274</v>
      </c>
      <c r="D34" s="212" t="s">
        <v>4311</v>
      </c>
      <c r="E34" s="212" t="s">
        <v>4333</v>
      </c>
      <c r="F34" s="225" t="s">
        <v>4344</v>
      </c>
      <c r="G34" s="227"/>
      <c r="H34" s="227" t="s">
        <v>4345</v>
      </c>
      <c r="I34" s="227" t="s">
        <v>4346</v>
      </c>
      <c r="J34" s="267" t="s">
        <v>92</v>
      </c>
      <c r="K34" s="215" t="s">
        <v>33</v>
      </c>
      <c r="L34" s="224"/>
      <c r="M34" s="224"/>
      <c r="N34" s="217"/>
      <c r="O34" s="210"/>
    </row>
    <row r="35">
      <c r="A35" s="212">
        <f t="shared" si="1"/>
        <v>33</v>
      </c>
      <c r="B35" s="228"/>
      <c r="C35" s="212" t="s">
        <v>274</v>
      </c>
      <c r="D35" s="212" t="s">
        <v>4311</v>
      </c>
      <c r="E35" s="212" t="s">
        <v>4333</v>
      </c>
      <c r="F35" s="220"/>
      <c r="G35" s="254" t="s">
        <v>4347</v>
      </c>
      <c r="H35" s="227" t="s">
        <v>4348</v>
      </c>
      <c r="I35" s="227" t="s">
        <v>4349</v>
      </c>
      <c r="J35" s="267" t="s">
        <v>92</v>
      </c>
      <c r="K35" s="215" t="s">
        <v>33</v>
      </c>
      <c r="L35" s="224"/>
      <c r="M35" s="224"/>
      <c r="N35" s="217"/>
      <c r="O35" s="210"/>
    </row>
    <row r="36">
      <c r="A36" s="212">
        <f t="shared" si="1"/>
        <v>34</v>
      </c>
      <c r="B36" s="228"/>
      <c r="C36" s="212" t="s">
        <v>274</v>
      </c>
      <c r="D36" s="212" t="s">
        <v>4311</v>
      </c>
      <c r="E36" s="212" t="s">
        <v>4333</v>
      </c>
      <c r="F36" s="39"/>
      <c r="G36" s="39"/>
      <c r="H36" s="227" t="s">
        <v>4350</v>
      </c>
      <c r="I36" s="227" t="s">
        <v>4351</v>
      </c>
      <c r="J36" s="267" t="s">
        <v>92</v>
      </c>
      <c r="K36" s="215" t="s">
        <v>33</v>
      </c>
      <c r="L36" s="224"/>
      <c r="M36" s="224"/>
      <c r="N36" s="217"/>
      <c r="O36" s="210"/>
    </row>
    <row r="37">
      <c r="A37" s="212">
        <f t="shared" si="1"/>
        <v>35</v>
      </c>
      <c r="B37" s="228"/>
      <c r="C37" s="212" t="s">
        <v>274</v>
      </c>
      <c r="D37" s="212" t="s">
        <v>4311</v>
      </c>
      <c r="E37" s="212" t="s">
        <v>4333</v>
      </c>
      <c r="F37" s="212" t="s">
        <v>4352</v>
      </c>
      <c r="G37" s="227"/>
      <c r="H37" s="227" t="s">
        <v>1162</v>
      </c>
      <c r="I37" s="227" t="s">
        <v>4353</v>
      </c>
      <c r="J37" s="267" t="s">
        <v>92</v>
      </c>
      <c r="K37" s="215" t="s">
        <v>33</v>
      </c>
      <c r="L37" s="224"/>
      <c r="M37" s="224"/>
      <c r="N37" s="217"/>
      <c r="O37" s="210"/>
    </row>
    <row r="38">
      <c r="A38" s="212">
        <f t="shared" si="1"/>
        <v>36</v>
      </c>
      <c r="B38" s="228"/>
      <c r="C38" s="212" t="s">
        <v>274</v>
      </c>
      <c r="D38" s="212" t="s">
        <v>4311</v>
      </c>
      <c r="E38" s="212" t="s">
        <v>4333</v>
      </c>
      <c r="F38" s="212" t="s">
        <v>3597</v>
      </c>
      <c r="G38" s="227" t="s">
        <v>4354</v>
      </c>
      <c r="H38" s="227" t="s">
        <v>2031</v>
      </c>
      <c r="I38" s="227" t="s">
        <v>4355</v>
      </c>
      <c r="J38" s="267" t="s">
        <v>92</v>
      </c>
      <c r="K38" s="215" t="s">
        <v>33</v>
      </c>
      <c r="L38" s="224"/>
      <c r="M38" s="224"/>
      <c r="N38" s="217"/>
      <c r="O38" s="210"/>
    </row>
    <row r="39">
      <c r="A39" s="212">
        <f t="shared" si="1"/>
        <v>37</v>
      </c>
      <c r="B39" s="261"/>
      <c r="C39" s="212" t="s">
        <v>275</v>
      </c>
      <c r="D39" s="212" t="s">
        <v>92</v>
      </c>
      <c r="E39" s="212" t="s">
        <v>92</v>
      </c>
      <c r="F39" s="212" t="s">
        <v>613</v>
      </c>
      <c r="G39" s="216"/>
      <c r="H39" s="213" t="s">
        <v>4356</v>
      </c>
      <c r="I39" s="217" t="s">
        <v>4357</v>
      </c>
      <c r="J39" s="267" t="s">
        <v>92</v>
      </c>
      <c r="K39" s="215" t="s">
        <v>33</v>
      </c>
      <c r="L39" s="224"/>
      <c r="M39" s="224"/>
      <c r="N39" s="217"/>
      <c r="O39" s="210"/>
    </row>
    <row r="40">
      <c r="A40" s="212">
        <f t="shared" si="1"/>
        <v>38</v>
      </c>
      <c r="B40" s="261"/>
      <c r="C40" s="212" t="s">
        <v>275</v>
      </c>
      <c r="D40" s="212" t="s">
        <v>3372</v>
      </c>
      <c r="E40" s="212" t="s">
        <v>92</v>
      </c>
      <c r="F40" s="212" t="s">
        <v>3373</v>
      </c>
      <c r="G40" s="217"/>
      <c r="H40" s="213" t="s">
        <v>3374</v>
      </c>
      <c r="I40" s="217" t="s">
        <v>4358</v>
      </c>
      <c r="J40" s="267" t="s">
        <v>92</v>
      </c>
      <c r="K40" s="215" t="s">
        <v>33</v>
      </c>
      <c r="L40" s="224"/>
      <c r="M40" s="224"/>
      <c r="N40" s="217"/>
      <c r="O40" s="210"/>
    </row>
    <row r="41">
      <c r="A41" s="212">
        <f t="shared" si="1"/>
        <v>39</v>
      </c>
      <c r="B41" s="261"/>
      <c r="C41" s="212" t="s">
        <v>275</v>
      </c>
      <c r="D41" s="212" t="s">
        <v>3372</v>
      </c>
      <c r="E41" s="212" t="s">
        <v>92</v>
      </c>
      <c r="F41" s="212" t="s">
        <v>1378</v>
      </c>
      <c r="G41" s="224"/>
      <c r="H41" s="213" t="s">
        <v>1379</v>
      </c>
      <c r="I41" s="217" t="s">
        <v>4359</v>
      </c>
      <c r="J41" s="267" t="s">
        <v>92</v>
      </c>
      <c r="K41" s="215" t="s">
        <v>33</v>
      </c>
      <c r="L41" s="224"/>
      <c r="M41" s="224"/>
      <c r="N41" s="217"/>
      <c r="O41" s="210"/>
    </row>
    <row r="42">
      <c r="A42" s="212">
        <f t="shared" si="1"/>
        <v>40</v>
      </c>
      <c r="B42" s="261"/>
      <c r="C42" s="212" t="s">
        <v>275</v>
      </c>
      <c r="D42" s="212" t="s">
        <v>3719</v>
      </c>
      <c r="E42" s="212" t="s">
        <v>92</v>
      </c>
      <c r="F42" s="212" t="s">
        <v>613</v>
      </c>
      <c r="G42" s="227"/>
      <c r="H42" s="213" t="s">
        <v>3720</v>
      </c>
      <c r="I42" s="227" t="s">
        <v>4360</v>
      </c>
      <c r="J42" s="267" t="s">
        <v>92</v>
      </c>
      <c r="K42" s="215" t="s">
        <v>33</v>
      </c>
      <c r="L42" s="226"/>
      <c r="M42" s="224"/>
      <c r="N42" s="217"/>
      <c r="O42" s="210"/>
    </row>
    <row r="43">
      <c r="A43" s="212">
        <f t="shared" si="1"/>
        <v>41</v>
      </c>
      <c r="B43" s="261"/>
      <c r="C43" s="212" t="s">
        <v>275</v>
      </c>
      <c r="D43" s="212" t="s">
        <v>3719</v>
      </c>
      <c r="E43" s="212" t="s">
        <v>92</v>
      </c>
      <c r="F43" s="212" t="s">
        <v>4361</v>
      </c>
      <c r="G43" s="227"/>
      <c r="H43" s="213" t="s">
        <v>4362</v>
      </c>
      <c r="I43" s="227" t="s">
        <v>4363</v>
      </c>
      <c r="J43" s="267" t="s">
        <v>92</v>
      </c>
      <c r="K43" s="215" t="s">
        <v>33</v>
      </c>
      <c r="L43" s="226"/>
      <c r="M43" s="224"/>
      <c r="N43" s="217"/>
      <c r="O43" s="210"/>
    </row>
    <row r="44">
      <c r="A44" s="212">
        <f t="shared" si="1"/>
        <v>42</v>
      </c>
      <c r="B44" s="261"/>
      <c r="C44" s="212" t="s">
        <v>275</v>
      </c>
      <c r="D44" s="212" t="s">
        <v>3719</v>
      </c>
      <c r="E44" s="212" t="s">
        <v>4364</v>
      </c>
      <c r="F44" s="225" t="s">
        <v>613</v>
      </c>
      <c r="G44" s="227"/>
      <c r="H44" s="213" t="s">
        <v>4365</v>
      </c>
      <c r="I44" s="227" t="s">
        <v>4366</v>
      </c>
      <c r="J44" s="267" t="s">
        <v>92</v>
      </c>
      <c r="K44" s="215" t="s">
        <v>33</v>
      </c>
      <c r="L44" s="226"/>
      <c r="M44" s="224"/>
      <c r="N44" s="217"/>
      <c r="O44" s="210"/>
    </row>
    <row r="45">
      <c r="A45" s="212">
        <f t="shared" si="1"/>
        <v>43</v>
      </c>
      <c r="B45" s="261"/>
      <c r="C45" s="212" t="s">
        <v>275</v>
      </c>
      <c r="D45" s="212" t="s">
        <v>3719</v>
      </c>
      <c r="E45" s="212" t="s">
        <v>4364</v>
      </c>
      <c r="F45" s="225" t="s">
        <v>4367</v>
      </c>
      <c r="G45" s="227" t="s">
        <v>3554</v>
      </c>
      <c r="H45" s="213" t="s">
        <v>4368</v>
      </c>
      <c r="I45" s="227" t="s">
        <v>4369</v>
      </c>
      <c r="J45" s="267" t="s">
        <v>92</v>
      </c>
      <c r="K45" s="215" t="s">
        <v>33</v>
      </c>
      <c r="L45" s="224"/>
      <c r="M45" s="224"/>
      <c r="N45" s="217"/>
      <c r="O45" s="210"/>
    </row>
    <row r="46">
      <c r="A46" s="212">
        <f t="shared" si="1"/>
        <v>44</v>
      </c>
      <c r="B46" s="261"/>
      <c r="C46" s="212" t="s">
        <v>275</v>
      </c>
      <c r="D46" s="212" t="s">
        <v>3719</v>
      </c>
      <c r="E46" s="212" t="s">
        <v>4364</v>
      </c>
      <c r="F46" s="39"/>
      <c r="G46" s="227"/>
      <c r="H46" s="213" t="s">
        <v>4370</v>
      </c>
      <c r="I46" s="227" t="s">
        <v>4371</v>
      </c>
      <c r="J46" s="267" t="s">
        <v>92</v>
      </c>
      <c r="K46" s="215" t="s">
        <v>33</v>
      </c>
      <c r="L46" s="224"/>
      <c r="M46" s="224"/>
      <c r="N46" s="217"/>
      <c r="O46" s="210"/>
    </row>
    <row r="47">
      <c r="A47" s="212">
        <f t="shared" si="1"/>
        <v>45</v>
      </c>
      <c r="B47" s="261"/>
      <c r="C47" s="212" t="s">
        <v>275</v>
      </c>
      <c r="D47" s="212" t="s">
        <v>3719</v>
      </c>
      <c r="E47" s="212" t="s">
        <v>4364</v>
      </c>
      <c r="F47" s="212" t="s">
        <v>3594</v>
      </c>
      <c r="G47" s="224"/>
      <c r="H47" s="227" t="s">
        <v>1162</v>
      </c>
      <c r="I47" s="227" t="s">
        <v>4372</v>
      </c>
      <c r="J47" s="267" t="s">
        <v>92</v>
      </c>
      <c r="K47" s="215" t="s">
        <v>33</v>
      </c>
      <c r="L47" s="224"/>
      <c r="M47" s="224"/>
      <c r="N47" s="217"/>
      <c r="O47" s="210"/>
    </row>
    <row r="48">
      <c r="A48" s="212">
        <f t="shared" si="1"/>
        <v>46</v>
      </c>
      <c r="B48" s="261"/>
      <c r="C48" s="212" t="s">
        <v>275</v>
      </c>
      <c r="D48" s="212" t="s">
        <v>3719</v>
      </c>
      <c r="E48" s="212" t="s">
        <v>4364</v>
      </c>
      <c r="F48" s="212" t="s">
        <v>3728</v>
      </c>
      <c r="G48" s="227"/>
      <c r="H48" s="227" t="s">
        <v>2038</v>
      </c>
      <c r="I48" s="227" t="s">
        <v>4373</v>
      </c>
      <c r="J48" s="267" t="s">
        <v>92</v>
      </c>
      <c r="K48" s="215" t="s">
        <v>33</v>
      </c>
      <c r="L48" s="226"/>
      <c r="M48" s="224"/>
      <c r="N48" s="217"/>
      <c r="O48" s="210"/>
    </row>
    <row r="49">
      <c r="A49" s="212">
        <f t="shared" si="1"/>
        <v>47</v>
      </c>
      <c r="B49" s="261"/>
      <c r="C49" s="212" t="s">
        <v>275</v>
      </c>
      <c r="D49" s="212" t="s">
        <v>3719</v>
      </c>
      <c r="E49" s="212" t="s">
        <v>92</v>
      </c>
      <c r="F49" s="225" t="s">
        <v>4374</v>
      </c>
      <c r="G49" s="227" t="s">
        <v>4375</v>
      </c>
      <c r="H49" s="213" t="s">
        <v>4376</v>
      </c>
      <c r="I49" s="227" t="s">
        <v>4377</v>
      </c>
      <c r="J49" s="267" t="s">
        <v>92</v>
      </c>
      <c r="K49" s="215" t="s">
        <v>33</v>
      </c>
      <c r="L49" s="226"/>
      <c r="M49" s="227"/>
      <c r="N49" s="217"/>
      <c r="O49" s="210"/>
    </row>
    <row r="50">
      <c r="A50" s="212">
        <f t="shared" si="1"/>
        <v>48</v>
      </c>
      <c r="B50" s="261"/>
      <c r="C50" s="212" t="s">
        <v>275</v>
      </c>
      <c r="D50" s="212" t="s">
        <v>3719</v>
      </c>
      <c r="E50" s="212" t="s">
        <v>92</v>
      </c>
      <c r="F50" s="220"/>
      <c r="G50" s="254" t="s">
        <v>4378</v>
      </c>
      <c r="H50" s="213" t="s">
        <v>4376</v>
      </c>
      <c r="I50" s="227" t="s">
        <v>4379</v>
      </c>
      <c r="J50" s="267" t="s">
        <v>92</v>
      </c>
      <c r="K50" s="215" t="s">
        <v>33</v>
      </c>
      <c r="L50" s="224"/>
      <c r="M50" s="227"/>
      <c r="N50" s="217"/>
      <c r="O50" s="210"/>
    </row>
    <row r="51">
      <c r="A51" s="212">
        <f t="shared" si="1"/>
        <v>49</v>
      </c>
      <c r="B51" s="228"/>
      <c r="C51" s="212" t="s">
        <v>275</v>
      </c>
      <c r="D51" s="212" t="s">
        <v>3719</v>
      </c>
      <c r="E51" s="212" t="s">
        <v>92</v>
      </c>
      <c r="F51" s="39"/>
      <c r="G51" s="39"/>
      <c r="H51" s="227" t="s">
        <v>4380</v>
      </c>
      <c r="I51" s="227" t="s">
        <v>4381</v>
      </c>
      <c r="J51" s="267" t="s">
        <v>92</v>
      </c>
      <c r="K51" s="215" t="s">
        <v>33</v>
      </c>
      <c r="L51" s="224"/>
      <c r="M51" s="224"/>
      <c r="N51" s="217"/>
      <c r="O51" s="210"/>
    </row>
    <row r="52">
      <c r="A52" s="212">
        <f t="shared" si="1"/>
        <v>50</v>
      </c>
      <c r="B52" s="228"/>
      <c r="C52" s="212" t="s">
        <v>275</v>
      </c>
      <c r="D52" s="212" t="s">
        <v>4382</v>
      </c>
      <c r="E52" s="212" t="s">
        <v>92</v>
      </c>
      <c r="F52" s="212" t="s">
        <v>613</v>
      </c>
      <c r="G52" s="217"/>
      <c r="H52" s="213" t="s">
        <v>4383</v>
      </c>
      <c r="I52" s="213" t="s">
        <v>4384</v>
      </c>
      <c r="J52" s="267" t="s">
        <v>92</v>
      </c>
      <c r="K52" s="215" t="s">
        <v>33</v>
      </c>
      <c r="L52" s="224"/>
      <c r="M52" s="224"/>
      <c r="N52" s="217"/>
      <c r="O52" s="210"/>
    </row>
    <row r="53">
      <c r="A53" s="212">
        <f t="shared" si="1"/>
        <v>51</v>
      </c>
      <c r="B53" s="228"/>
      <c r="C53" s="212" t="s">
        <v>275</v>
      </c>
      <c r="D53" s="212" t="s">
        <v>4382</v>
      </c>
      <c r="E53" s="212" t="s">
        <v>92</v>
      </c>
      <c r="F53" s="212" t="s">
        <v>4385</v>
      </c>
      <c r="G53" s="216"/>
      <c r="H53" s="213" t="s">
        <v>4386</v>
      </c>
      <c r="I53" s="217" t="s">
        <v>4387</v>
      </c>
      <c r="J53" s="267" t="s">
        <v>92</v>
      </c>
      <c r="K53" s="215" t="s">
        <v>33</v>
      </c>
      <c r="L53" s="224"/>
      <c r="M53" s="224"/>
      <c r="N53" s="217"/>
      <c r="O53" s="210"/>
    </row>
    <row r="54">
      <c r="A54" s="212">
        <f t="shared" si="1"/>
        <v>52</v>
      </c>
      <c r="B54" s="228"/>
      <c r="C54" s="212" t="s">
        <v>275</v>
      </c>
      <c r="D54" s="212" t="s">
        <v>4382</v>
      </c>
      <c r="E54" s="212" t="s">
        <v>92</v>
      </c>
      <c r="F54" s="225" t="s">
        <v>1898</v>
      </c>
      <c r="G54" s="217"/>
      <c r="H54" s="213" t="s">
        <v>4388</v>
      </c>
      <c r="I54" s="217" t="s">
        <v>4389</v>
      </c>
      <c r="J54" s="267" t="s">
        <v>92</v>
      </c>
      <c r="K54" s="215" t="s">
        <v>33</v>
      </c>
      <c r="L54" s="224"/>
      <c r="M54" s="224"/>
      <c r="N54" s="217"/>
      <c r="O54" s="210"/>
    </row>
    <row r="55">
      <c r="A55" s="212">
        <f t="shared" si="1"/>
        <v>53</v>
      </c>
      <c r="B55" s="228"/>
      <c r="C55" s="212" t="s">
        <v>275</v>
      </c>
      <c r="D55" s="212" t="s">
        <v>4382</v>
      </c>
      <c r="E55" s="212" t="s">
        <v>4390</v>
      </c>
      <c r="F55" s="220"/>
      <c r="G55" s="224"/>
      <c r="H55" s="213" t="s">
        <v>4391</v>
      </c>
      <c r="I55" s="227" t="s">
        <v>4392</v>
      </c>
      <c r="J55" s="267" t="s">
        <v>92</v>
      </c>
      <c r="K55" s="215" t="s">
        <v>33</v>
      </c>
      <c r="L55" s="224"/>
      <c r="M55" s="224"/>
      <c r="N55" s="217"/>
      <c r="O55" s="210"/>
    </row>
    <row r="56">
      <c r="A56" s="212">
        <f t="shared" si="1"/>
        <v>54</v>
      </c>
      <c r="B56" s="228"/>
      <c r="C56" s="212" t="s">
        <v>275</v>
      </c>
      <c r="D56" s="212" t="s">
        <v>4382</v>
      </c>
      <c r="E56" s="212" t="s">
        <v>4390</v>
      </c>
      <c r="F56" s="39"/>
      <c r="G56" s="227"/>
      <c r="H56" s="213" t="s">
        <v>4393</v>
      </c>
      <c r="I56" s="227" t="s">
        <v>4394</v>
      </c>
      <c r="J56" s="267" t="s">
        <v>92</v>
      </c>
      <c r="K56" s="215" t="s">
        <v>33</v>
      </c>
      <c r="L56" s="226"/>
      <c r="M56" s="227" t="s">
        <v>4395</v>
      </c>
      <c r="N56" s="217"/>
      <c r="O56" s="210"/>
    </row>
    <row r="57">
      <c r="A57" s="212">
        <f t="shared" si="1"/>
        <v>55</v>
      </c>
      <c r="B57" s="228"/>
      <c r="C57" s="212" t="s">
        <v>275</v>
      </c>
      <c r="D57" s="212" t="s">
        <v>4382</v>
      </c>
      <c r="E57" s="212" t="s">
        <v>92</v>
      </c>
      <c r="F57" s="225" t="s">
        <v>1694</v>
      </c>
      <c r="G57" s="227"/>
      <c r="H57" s="213" t="s">
        <v>4396</v>
      </c>
      <c r="I57" s="227" t="s">
        <v>4397</v>
      </c>
      <c r="J57" s="267" t="s">
        <v>92</v>
      </c>
      <c r="K57" s="215" t="s">
        <v>33</v>
      </c>
      <c r="L57" s="226"/>
      <c r="M57" s="224"/>
      <c r="N57" s="217"/>
      <c r="O57" s="210"/>
    </row>
    <row r="58">
      <c r="A58" s="212">
        <f t="shared" si="1"/>
        <v>56</v>
      </c>
      <c r="B58" s="228"/>
      <c r="C58" s="212" t="s">
        <v>275</v>
      </c>
      <c r="D58" s="212" t="s">
        <v>4382</v>
      </c>
      <c r="E58" s="212" t="s">
        <v>4398</v>
      </c>
      <c r="F58" s="220"/>
      <c r="G58" s="227"/>
      <c r="H58" s="213" t="s">
        <v>4399</v>
      </c>
      <c r="I58" s="227" t="s">
        <v>4400</v>
      </c>
      <c r="J58" s="267" t="s">
        <v>92</v>
      </c>
      <c r="K58" s="215" t="s">
        <v>33</v>
      </c>
      <c r="L58" s="226"/>
      <c r="M58" s="224"/>
      <c r="N58" s="217"/>
      <c r="O58" s="210"/>
    </row>
    <row r="59">
      <c r="A59" s="212">
        <f t="shared" si="1"/>
        <v>57</v>
      </c>
      <c r="B59" s="228"/>
      <c r="C59" s="212" t="s">
        <v>275</v>
      </c>
      <c r="D59" s="212" t="s">
        <v>4382</v>
      </c>
      <c r="E59" s="212" t="s">
        <v>4398</v>
      </c>
      <c r="F59" s="39"/>
      <c r="G59" s="227"/>
      <c r="H59" s="213" t="s">
        <v>4401</v>
      </c>
      <c r="I59" s="227" t="s">
        <v>4402</v>
      </c>
      <c r="J59" s="267" t="s">
        <v>92</v>
      </c>
      <c r="K59" s="215" t="s">
        <v>33</v>
      </c>
      <c r="L59" s="224"/>
      <c r="M59" s="224"/>
      <c r="N59" s="217"/>
      <c r="O59" s="210"/>
    </row>
    <row r="60">
      <c r="A60" s="212">
        <f t="shared" si="1"/>
        <v>58</v>
      </c>
      <c r="B60" s="228"/>
      <c r="C60" s="212" t="s">
        <v>275</v>
      </c>
      <c r="D60" s="212" t="s">
        <v>4403</v>
      </c>
      <c r="E60" s="212" t="s">
        <v>92</v>
      </c>
      <c r="F60" s="225" t="s">
        <v>613</v>
      </c>
      <c r="G60" s="227" t="s">
        <v>4404</v>
      </c>
      <c r="H60" s="227" t="s">
        <v>4405</v>
      </c>
      <c r="I60" s="227" t="s">
        <v>4406</v>
      </c>
      <c r="J60" s="267" t="s">
        <v>92</v>
      </c>
      <c r="K60" s="215" t="s">
        <v>33</v>
      </c>
      <c r="L60" s="224"/>
      <c r="M60" s="224"/>
      <c r="N60" s="217"/>
      <c r="O60" s="210"/>
    </row>
    <row r="61">
      <c r="A61" s="212">
        <f t="shared" si="1"/>
        <v>59</v>
      </c>
      <c r="B61" s="228"/>
      <c r="C61" s="212" t="s">
        <v>275</v>
      </c>
      <c r="D61" s="212" t="s">
        <v>4403</v>
      </c>
      <c r="E61" s="212" t="s">
        <v>92</v>
      </c>
      <c r="F61" s="39"/>
      <c r="G61" s="227" t="s">
        <v>4407</v>
      </c>
      <c r="H61" s="227" t="s">
        <v>4405</v>
      </c>
      <c r="I61" s="213" t="s">
        <v>4408</v>
      </c>
      <c r="J61" s="267" t="s">
        <v>92</v>
      </c>
      <c r="K61" s="215" t="s">
        <v>33</v>
      </c>
      <c r="L61" s="224"/>
      <c r="M61" s="224"/>
      <c r="N61" s="217"/>
      <c r="O61" s="210"/>
    </row>
    <row r="62">
      <c r="A62" s="212">
        <f t="shared" si="1"/>
        <v>60</v>
      </c>
      <c r="B62" s="228"/>
      <c r="C62" s="212" t="s">
        <v>275</v>
      </c>
      <c r="D62" s="212" t="s">
        <v>4403</v>
      </c>
      <c r="E62" s="212" t="s">
        <v>92</v>
      </c>
      <c r="F62" s="212" t="s">
        <v>4409</v>
      </c>
      <c r="G62" s="227"/>
      <c r="H62" s="227" t="s">
        <v>4410</v>
      </c>
      <c r="I62" s="227" t="s">
        <v>4411</v>
      </c>
      <c r="J62" s="267" t="s">
        <v>92</v>
      </c>
      <c r="K62" s="215" t="s">
        <v>33</v>
      </c>
      <c r="L62" s="224"/>
      <c r="M62" s="224"/>
      <c r="N62" s="217"/>
      <c r="O62" s="210"/>
    </row>
    <row r="63">
      <c r="A63" s="212">
        <f t="shared" si="1"/>
        <v>61</v>
      </c>
      <c r="B63" s="228"/>
      <c r="C63" s="212" t="s">
        <v>275</v>
      </c>
      <c r="D63" s="212" t="s">
        <v>4403</v>
      </c>
      <c r="E63" s="212" t="s">
        <v>92</v>
      </c>
      <c r="F63" s="225" t="s">
        <v>4412</v>
      </c>
      <c r="G63" s="227" t="s">
        <v>4413</v>
      </c>
      <c r="H63" s="227" t="s">
        <v>4414</v>
      </c>
      <c r="I63" s="227" t="s">
        <v>4415</v>
      </c>
      <c r="J63" s="267" t="s">
        <v>92</v>
      </c>
      <c r="K63" s="215" t="s">
        <v>33</v>
      </c>
      <c r="L63" s="226"/>
      <c r="M63" s="227" t="s">
        <v>4416</v>
      </c>
      <c r="N63" s="217"/>
      <c r="O63" s="210"/>
    </row>
    <row r="64">
      <c r="A64" s="212">
        <f t="shared" si="1"/>
        <v>62</v>
      </c>
      <c r="B64" s="228"/>
      <c r="C64" s="212" t="s">
        <v>275</v>
      </c>
      <c r="D64" s="212" t="s">
        <v>4403</v>
      </c>
      <c r="E64" s="212" t="s">
        <v>92</v>
      </c>
      <c r="F64" s="39"/>
      <c r="G64" s="227" t="s">
        <v>4417</v>
      </c>
      <c r="H64" s="227" t="s">
        <v>4418</v>
      </c>
      <c r="I64" s="227" t="s">
        <v>4419</v>
      </c>
      <c r="J64" s="267" t="s">
        <v>92</v>
      </c>
      <c r="K64" s="215" t="s">
        <v>33</v>
      </c>
      <c r="L64" s="224"/>
      <c r="M64" s="227"/>
      <c r="N64" s="217"/>
      <c r="O64" s="210"/>
    </row>
    <row r="65">
      <c r="A65" s="212">
        <f t="shared" si="1"/>
        <v>63</v>
      </c>
      <c r="B65" s="228"/>
      <c r="C65" s="212" t="s">
        <v>275</v>
      </c>
      <c r="D65" s="212" t="s">
        <v>4403</v>
      </c>
      <c r="E65" s="212" t="s">
        <v>92</v>
      </c>
      <c r="F65" s="225" t="s">
        <v>4420</v>
      </c>
      <c r="G65" s="227" t="s">
        <v>4404</v>
      </c>
      <c r="H65" s="213" t="s">
        <v>4421</v>
      </c>
      <c r="I65" s="227" t="s">
        <v>4422</v>
      </c>
      <c r="J65" s="267" t="s">
        <v>92</v>
      </c>
      <c r="K65" s="215" t="s">
        <v>33</v>
      </c>
      <c r="L65" s="224"/>
      <c r="M65" s="227"/>
      <c r="N65" s="217"/>
      <c r="O65" s="210"/>
    </row>
    <row r="66">
      <c r="A66" s="212">
        <f t="shared" si="1"/>
        <v>64</v>
      </c>
      <c r="B66" s="228"/>
      <c r="C66" s="212" t="s">
        <v>275</v>
      </c>
      <c r="D66" s="212" t="s">
        <v>4403</v>
      </c>
      <c r="E66" s="212" t="s">
        <v>92</v>
      </c>
      <c r="F66" s="220"/>
      <c r="G66" s="254" t="s">
        <v>4423</v>
      </c>
      <c r="H66" s="213" t="s">
        <v>4421</v>
      </c>
      <c r="I66" s="227" t="s">
        <v>4424</v>
      </c>
      <c r="J66" s="267" t="s">
        <v>92</v>
      </c>
      <c r="K66" s="215" t="s">
        <v>33</v>
      </c>
      <c r="L66" s="224"/>
      <c r="M66" s="224"/>
      <c r="N66" s="217"/>
      <c r="O66" s="210"/>
    </row>
    <row r="67">
      <c r="A67" s="212">
        <f t="shared" si="1"/>
        <v>65</v>
      </c>
      <c r="B67" s="228"/>
      <c r="C67" s="212" t="s">
        <v>275</v>
      </c>
      <c r="D67" s="212" t="s">
        <v>4403</v>
      </c>
      <c r="E67" s="212" t="s">
        <v>4425</v>
      </c>
      <c r="F67" s="220"/>
      <c r="G67" s="220"/>
      <c r="H67" s="213" t="s">
        <v>4426</v>
      </c>
      <c r="I67" s="227" t="s">
        <v>4427</v>
      </c>
      <c r="J67" s="267" t="s">
        <v>92</v>
      </c>
      <c r="K67" s="215" t="s">
        <v>33</v>
      </c>
      <c r="L67" s="224"/>
      <c r="M67" s="224"/>
      <c r="N67" s="217"/>
      <c r="O67" s="210"/>
    </row>
    <row r="68">
      <c r="A68" s="212">
        <f t="shared" si="1"/>
        <v>66</v>
      </c>
      <c r="B68" s="228"/>
      <c r="C68" s="212" t="s">
        <v>275</v>
      </c>
      <c r="D68" s="212" t="s">
        <v>4403</v>
      </c>
      <c r="E68" s="212" t="s">
        <v>4425</v>
      </c>
      <c r="F68" s="39"/>
      <c r="G68" s="39"/>
      <c r="H68" s="213" t="s">
        <v>4428</v>
      </c>
      <c r="I68" s="217" t="s">
        <v>4429</v>
      </c>
      <c r="J68" s="267" t="s">
        <v>92</v>
      </c>
      <c r="K68" s="215" t="s">
        <v>33</v>
      </c>
      <c r="L68" s="224"/>
      <c r="M68" s="224"/>
      <c r="N68" s="217"/>
      <c r="O68" s="210"/>
    </row>
    <row r="69">
      <c r="A69" s="212"/>
      <c r="B69" s="228"/>
      <c r="C69" s="212"/>
      <c r="D69" s="212"/>
      <c r="E69" s="212"/>
      <c r="F69" s="212"/>
      <c r="G69" s="217"/>
      <c r="H69" s="213"/>
      <c r="I69" s="217"/>
      <c r="J69" s="259"/>
      <c r="K69" s="215"/>
      <c r="L69" s="224"/>
      <c r="M69" s="224"/>
      <c r="N69" s="217"/>
      <c r="O69" s="210"/>
    </row>
    <row r="70">
      <c r="A70" s="212"/>
      <c r="B70" s="228"/>
      <c r="C70" s="212"/>
      <c r="D70" s="212"/>
      <c r="E70" s="212"/>
      <c r="F70" s="212"/>
      <c r="G70" s="224"/>
      <c r="H70" s="213"/>
      <c r="I70" s="227"/>
      <c r="J70" s="259"/>
      <c r="K70" s="215"/>
      <c r="L70" s="224"/>
      <c r="M70" s="224"/>
      <c r="N70" s="217"/>
      <c r="O70" s="210"/>
    </row>
  </sheetData>
  <mergeCells count="31">
    <mergeCell ref="K1:K2"/>
    <mergeCell ref="L1:L2"/>
    <mergeCell ref="M1:M2"/>
    <mergeCell ref="N1:N2"/>
    <mergeCell ref="A1:A2"/>
    <mergeCell ref="C1:E1"/>
    <mergeCell ref="F1:F2"/>
    <mergeCell ref="G1:G2"/>
    <mergeCell ref="H1:H2"/>
    <mergeCell ref="I1:I2"/>
    <mergeCell ref="J1:J2"/>
    <mergeCell ref="F7:F8"/>
    <mergeCell ref="F9:F10"/>
    <mergeCell ref="F11:F12"/>
    <mergeCell ref="F20:F21"/>
    <mergeCell ref="F22:F24"/>
    <mergeCell ref="F26:F27"/>
    <mergeCell ref="G26:G27"/>
    <mergeCell ref="F54:F56"/>
    <mergeCell ref="F57:F59"/>
    <mergeCell ref="F60:F61"/>
    <mergeCell ref="F63:F64"/>
    <mergeCell ref="F65:F68"/>
    <mergeCell ref="G66:G68"/>
    <mergeCell ref="F28:F29"/>
    <mergeCell ref="F31:F33"/>
    <mergeCell ref="F34:F36"/>
    <mergeCell ref="G35:G36"/>
    <mergeCell ref="F45:F46"/>
    <mergeCell ref="F49:F51"/>
    <mergeCell ref="G50:G51"/>
  </mergeCells>
  <conditionalFormatting sqref="K3:K70">
    <cfRule type="cellIs" dxfId="4" priority="1" operator="equal">
      <formula>"PASS"</formula>
    </cfRule>
  </conditionalFormatting>
  <conditionalFormatting sqref="K3:K70">
    <cfRule type="cellIs" dxfId="5" priority="2" operator="equal">
      <formula>"FAIL"</formula>
    </cfRule>
  </conditionalFormatting>
  <conditionalFormatting sqref="K3:K70">
    <cfRule type="cellIs" dxfId="6" priority="3" operator="equal">
      <formula>"N/A"</formula>
    </cfRule>
  </conditionalFormatting>
  <conditionalFormatting sqref="K3:K70">
    <cfRule type="cellIs" dxfId="7" priority="4" operator="equal">
      <formula>"N/T"</formula>
    </cfRule>
  </conditionalFormatting>
  <dataValidations>
    <dataValidation type="list" allowBlank="1" sqref="K3:K70">
      <formula1>"PASS,FAIL,N/A,N/T"</formula1>
    </dataValidation>
  </dataValidations>
  <hyperlinks>
    <hyperlink r:id="rId1" ref="J3"/>
    <hyperlink r:id="rId2" ref="J4"/>
    <hyperlink r:id="rId3" ref="L4"/>
    <hyperlink r:id="rId4" ref="J5"/>
    <hyperlink r:id="rId5" ref="J6"/>
    <hyperlink r:id="rId6" ref="L6"/>
    <hyperlink r:id="rId7" ref="J7"/>
    <hyperlink r:id="rId8" ref="L7"/>
    <hyperlink r:id="rId9" ref="J8"/>
    <hyperlink r:id="rId10" ref="J9"/>
    <hyperlink r:id="rId11" ref="J10"/>
    <hyperlink r:id="rId12" ref="J11"/>
    <hyperlink r:id="rId13" ref="L11"/>
    <hyperlink r:id="rId14" ref="J12"/>
    <hyperlink r:id="rId15" ref="L12"/>
    <hyperlink r:id="rId16" ref="J14"/>
    <hyperlink r:id="rId17" ref="J15"/>
    <hyperlink r:id="rId18" ref="L15"/>
    <hyperlink r:id="rId19" ref="J16"/>
    <hyperlink r:id="rId20" ref="L16"/>
    <hyperlink r:id="rId21" ref="J17"/>
    <hyperlink r:id="rId22" ref="L17"/>
    <hyperlink r:id="rId23" ref="J18"/>
    <hyperlink r:id="rId24" ref="J19"/>
    <hyperlink r:id="rId25" ref="L20"/>
    <hyperlink r:id="rId26" ref="J21"/>
    <hyperlink r:id="rId27" ref="L23"/>
    <hyperlink r:id="rId28" ref="L25"/>
    <hyperlink r:id="rId29" ref="J29"/>
    <hyperlink r:id="rId30" ref="J30"/>
  </hyperlinks>
  <drawing r:id="rId3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2.13"/>
    <col customWidth="1" min="8" max="8" width="33.0"/>
    <col customWidth="1" min="9" max="9" width="19.5"/>
  </cols>
  <sheetData>
    <row r="1" ht="15.75" customHeight="1">
      <c r="A1" s="67" t="s">
        <v>67</v>
      </c>
      <c r="B1" s="70" t="s">
        <v>4430</v>
      </c>
      <c r="C1" s="288" t="s">
        <v>4431</v>
      </c>
      <c r="D1" s="288" t="s">
        <v>4431</v>
      </c>
      <c r="E1" s="288" t="s">
        <v>4431</v>
      </c>
      <c r="F1" s="288" t="s">
        <v>4431</v>
      </c>
      <c r="G1" s="288" t="s">
        <v>4431</v>
      </c>
      <c r="H1" s="151"/>
      <c r="I1" s="72"/>
      <c r="J1" s="72"/>
      <c r="K1" s="72"/>
      <c r="L1" s="72"/>
      <c r="M1" s="72"/>
      <c r="N1" s="72"/>
      <c r="O1" s="72"/>
      <c r="P1" s="72"/>
      <c r="Q1" s="72"/>
      <c r="R1" s="72"/>
    </row>
    <row r="2" ht="15.75" customHeight="1">
      <c r="A2" s="39"/>
      <c r="B2" s="289"/>
      <c r="C2" s="288" t="s">
        <v>4432</v>
      </c>
      <c r="D2" s="290" t="s">
        <v>4433</v>
      </c>
      <c r="E2" s="290" t="s">
        <v>4434</v>
      </c>
      <c r="F2" s="288" t="s">
        <v>4435</v>
      </c>
      <c r="G2" s="288" t="s">
        <v>4436</v>
      </c>
      <c r="H2" s="288" t="s">
        <v>4437</v>
      </c>
      <c r="I2" s="288" t="s">
        <v>73</v>
      </c>
      <c r="J2" s="72"/>
      <c r="K2" s="72"/>
      <c r="L2" s="72"/>
      <c r="M2" s="72"/>
      <c r="N2" s="72"/>
      <c r="O2" s="72"/>
      <c r="P2" s="72"/>
      <c r="Q2" s="72"/>
      <c r="R2" s="72"/>
    </row>
    <row r="3">
      <c r="A3" s="79">
        <f t="shared" ref="A3:A155" si="1">COUNTA($B$3:$B3)</f>
        <v>1</v>
      </c>
      <c r="B3" s="291" t="s">
        <v>1219</v>
      </c>
      <c r="C3" s="292" t="s">
        <v>4438</v>
      </c>
      <c r="D3" s="292" t="s">
        <v>4438</v>
      </c>
      <c r="E3" s="292" t="s">
        <v>4438</v>
      </c>
      <c r="F3" s="292" t="s">
        <v>4438</v>
      </c>
      <c r="G3" s="292" t="s">
        <v>4438</v>
      </c>
      <c r="H3" s="293" t="s">
        <v>4439</v>
      </c>
      <c r="I3" s="72"/>
      <c r="J3" s="72"/>
      <c r="K3" s="72"/>
      <c r="L3" s="72"/>
      <c r="M3" s="72"/>
      <c r="N3" s="72"/>
      <c r="O3" s="72"/>
      <c r="P3" s="72"/>
      <c r="Q3" s="72"/>
      <c r="R3" s="72"/>
    </row>
    <row r="4">
      <c r="A4" s="79">
        <f t="shared" si="1"/>
        <v>2</v>
      </c>
      <c r="B4" s="294" t="s">
        <v>4440</v>
      </c>
      <c r="C4" s="295" t="s">
        <v>4441</v>
      </c>
      <c r="D4" s="295" t="s">
        <v>4441</v>
      </c>
      <c r="E4" s="296" t="s">
        <v>4442</v>
      </c>
      <c r="F4" s="296" t="s">
        <v>4442</v>
      </c>
      <c r="G4" s="295" t="s">
        <v>4441</v>
      </c>
      <c r="H4" s="297" t="s">
        <v>4439</v>
      </c>
      <c r="I4" s="72"/>
      <c r="J4" s="72"/>
      <c r="K4" s="72"/>
      <c r="L4" s="72"/>
      <c r="M4" s="72"/>
      <c r="N4" s="72"/>
      <c r="O4" s="72"/>
      <c r="P4" s="72"/>
      <c r="Q4" s="72"/>
      <c r="R4" s="72"/>
    </row>
    <row r="5">
      <c r="A5" s="79">
        <f t="shared" si="1"/>
        <v>3</v>
      </c>
      <c r="B5" s="291" t="s">
        <v>275</v>
      </c>
      <c r="C5" s="298" t="s">
        <v>4438</v>
      </c>
      <c r="D5" s="298" t="s">
        <v>4438</v>
      </c>
      <c r="E5" s="298" t="s">
        <v>4438</v>
      </c>
      <c r="F5" s="298" t="s">
        <v>4438</v>
      </c>
      <c r="G5" s="298" t="s">
        <v>4438</v>
      </c>
      <c r="H5" s="299" t="s">
        <v>4443</v>
      </c>
      <c r="I5" s="72"/>
      <c r="J5" s="72"/>
      <c r="K5" s="72"/>
      <c r="L5" s="72"/>
      <c r="M5" s="72"/>
      <c r="N5" s="72"/>
      <c r="O5" s="72"/>
      <c r="P5" s="72"/>
      <c r="Q5" s="72"/>
      <c r="R5" s="72"/>
    </row>
    <row r="6">
      <c r="A6" s="79">
        <f t="shared" si="1"/>
        <v>4</v>
      </c>
      <c r="B6" s="294" t="s">
        <v>4444</v>
      </c>
      <c r="C6" s="295" t="s">
        <v>4441</v>
      </c>
      <c r="D6" s="295" t="s">
        <v>4441</v>
      </c>
      <c r="E6" s="296" t="s">
        <v>4442</v>
      </c>
      <c r="F6" s="296" t="s">
        <v>4442</v>
      </c>
      <c r="G6" s="296" t="s">
        <v>4442</v>
      </c>
      <c r="H6" s="300" t="s">
        <v>4445</v>
      </c>
      <c r="I6" s="72"/>
      <c r="J6" s="72"/>
      <c r="K6" s="72"/>
      <c r="L6" s="72"/>
      <c r="M6" s="72"/>
      <c r="N6" s="72"/>
      <c r="O6" s="72"/>
      <c r="P6" s="72"/>
      <c r="Q6" s="72"/>
      <c r="R6" s="72"/>
    </row>
    <row r="7">
      <c r="A7" s="79">
        <f t="shared" si="1"/>
        <v>5</v>
      </c>
      <c r="B7" s="294" t="s">
        <v>4446</v>
      </c>
      <c r="C7" s="295" t="s">
        <v>4441</v>
      </c>
      <c r="D7" s="295" t="s">
        <v>4441</v>
      </c>
      <c r="E7" s="296" t="s">
        <v>4442</v>
      </c>
      <c r="F7" s="296" t="s">
        <v>4442</v>
      </c>
      <c r="G7" s="296" t="s">
        <v>4442</v>
      </c>
      <c r="H7" s="300" t="s">
        <v>4447</v>
      </c>
      <c r="I7" s="72"/>
      <c r="J7" s="72"/>
      <c r="K7" s="72"/>
      <c r="L7" s="72"/>
      <c r="M7" s="72"/>
      <c r="N7" s="72"/>
      <c r="O7" s="72"/>
      <c r="P7" s="72"/>
      <c r="Q7" s="72"/>
      <c r="R7" s="72"/>
    </row>
    <row r="8">
      <c r="A8" s="79">
        <f t="shared" si="1"/>
        <v>6</v>
      </c>
      <c r="B8" s="291" t="s">
        <v>280</v>
      </c>
      <c r="C8" s="298" t="s">
        <v>4438</v>
      </c>
      <c r="D8" s="298" t="s">
        <v>4438</v>
      </c>
      <c r="E8" s="298" t="s">
        <v>4438</v>
      </c>
      <c r="F8" s="298" t="s">
        <v>4438</v>
      </c>
      <c r="G8" s="298" t="s">
        <v>4438</v>
      </c>
      <c r="H8" s="301" t="s">
        <v>4448</v>
      </c>
      <c r="I8" s="72"/>
      <c r="J8" s="72"/>
      <c r="K8" s="72"/>
      <c r="L8" s="72"/>
      <c r="M8" s="72"/>
      <c r="N8" s="72"/>
      <c r="O8" s="72"/>
      <c r="P8" s="72"/>
      <c r="Q8" s="72"/>
      <c r="R8" s="72"/>
    </row>
    <row r="9">
      <c r="A9" s="79">
        <f t="shared" si="1"/>
        <v>7</v>
      </c>
      <c r="B9" s="294" t="s">
        <v>4449</v>
      </c>
      <c r="C9" s="295" t="s">
        <v>4441</v>
      </c>
      <c r="D9" s="295" t="s">
        <v>4441</v>
      </c>
      <c r="E9" s="296" t="s">
        <v>4442</v>
      </c>
      <c r="F9" s="296" t="s">
        <v>4442</v>
      </c>
      <c r="G9" s="295" t="s">
        <v>4441</v>
      </c>
      <c r="H9" s="302" t="s">
        <v>4450</v>
      </c>
      <c r="I9" s="72"/>
      <c r="J9" s="72"/>
      <c r="K9" s="72"/>
      <c r="L9" s="72"/>
      <c r="M9" s="72"/>
      <c r="N9" s="72"/>
      <c r="O9" s="72"/>
      <c r="P9" s="72"/>
      <c r="Q9" s="72"/>
      <c r="R9" s="72"/>
    </row>
    <row r="10">
      <c r="A10" s="79">
        <f t="shared" si="1"/>
        <v>8</v>
      </c>
      <c r="B10" s="294" t="s">
        <v>4451</v>
      </c>
      <c r="C10" s="295" t="s">
        <v>4441</v>
      </c>
      <c r="D10" s="295" t="s">
        <v>4441</v>
      </c>
      <c r="E10" s="296" t="s">
        <v>4442</v>
      </c>
      <c r="F10" s="296" t="s">
        <v>4442</v>
      </c>
      <c r="G10" s="295" t="s">
        <v>4441</v>
      </c>
      <c r="H10" s="302" t="s">
        <v>4450</v>
      </c>
      <c r="I10" s="72"/>
      <c r="J10" s="72"/>
      <c r="K10" s="72"/>
      <c r="L10" s="72"/>
      <c r="M10" s="72"/>
      <c r="N10" s="72"/>
      <c r="O10" s="72"/>
      <c r="P10" s="72"/>
      <c r="Q10" s="72"/>
      <c r="R10" s="72"/>
    </row>
    <row r="11">
      <c r="A11" s="79">
        <f t="shared" si="1"/>
        <v>9</v>
      </c>
      <c r="B11" s="294" t="s">
        <v>4452</v>
      </c>
      <c r="C11" s="295" t="s">
        <v>4441</v>
      </c>
      <c r="D11" s="295" t="s">
        <v>4441</v>
      </c>
      <c r="E11" s="296" t="s">
        <v>4442</v>
      </c>
      <c r="F11" s="296" t="s">
        <v>4442</v>
      </c>
      <c r="G11" s="295" t="s">
        <v>4441</v>
      </c>
      <c r="H11" s="302" t="s">
        <v>4450</v>
      </c>
      <c r="I11" s="72"/>
      <c r="J11" s="72"/>
      <c r="K11" s="72"/>
      <c r="L11" s="72"/>
      <c r="M11" s="72"/>
      <c r="N11" s="72"/>
      <c r="O11" s="72"/>
      <c r="P11" s="72"/>
      <c r="Q11" s="72"/>
      <c r="R11" s="72"/>
    </row>
    <row r="12">
      <c r="A12" s="79">
        <f t="shared" si="1"/>
        <v>10</v>
      </c>
      <c r="B12" s="291" t="s">
        <v>207</v>
      </c>
      <c r="C12" s="298" t="s">
        <v>4438</v>
      </c>
      <c r="D12" s="298" t="s">
        <v>4438</v>
      </c>
      <c r="E12" s="298" t="s">
        <v>4438</v>
      </c>
      <c r="F12" s="298" t="s">
        <v>4438</v>
      </c>
      <c r="G12" s="298" t="s">
        <v>4438</v>
      </c>
      <c r="H12" s="293" t="s">
        <v>4453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</row>
    <row r="13">
      <c r="A13" s="79">
        <f t="shared" si="1"/>
        <v>11</v>
      </c>
      <c r="B13" s="294" t="s">
        <v>4454</v>
      </c>
      <c r="C13" s="295" t="s">
        <v>4441</v>
      </c>
      <c r="D13" s="295" t="s">
        <v>4441</v>
      </c>
      <c r="E13" s="296" t="s">
        <v>4442</v>
      </c>
      <c r="F13" s="296" t="s">
        <v>4442</v>
      </c>
      <c r="G13" s="295" t="s">
        <v>4441</v>
      </c>
      <c r="H13" s="300" t="s">
        <v>4455</v>
      </c>
      <c r="I13" s="72"/>
      <c r="J13" s="72"/>
      <c r="K13" s="72"/>
      <c r="L13" s="72"/>
      <c r="M13" s="72"/>
      <c r="N13" s="72"/>
      <c r="O13" s="72"/>
      <c r="P13" s="72"/>
      <c r="Q13" s="72"/>
      <c r="R13" s="72"/>
    </row>
    <row r="14">
      <c r="A14" s="79">
        <f t="shared" si="1"/>
        <v>12</v>
      </c>
      <c r="B14" s="294" t="s">
        <v>4456</v>
      </c>
      <c r="C14" s="295" t="s">
        <v>4441</v>
      </c>
      <c r="D14" s="295" t="s">
        <v>4441</v>
      </c>
      <c r="E14" s="296" t="s">
        <v>4442</v>
      </c>
      <c r="F14" s="296" t="s">
        <v>4442</v>
      </c>
      <c r="G14" s="295" t="s">
        <v>4441</v>
      </c>
      <c r="H14" s="303" t="s">
        <v>1694</v>
      </c>
      <c r="I14" s="72"/>
      <c r="J14" s="72"/>
      <c r="K14" s="72"/>
      <c r="L14" s="72"/>
      <c r="M14" s="72"/>
      <c r="N14" s="72"/>
      <c r="O14" s="72"/>
      <c r="P14" s="72"/>
      <c r="Q14" s="72"/>
      <c r="R14" s="72"/>
    </row>
    <row r="15">
      <c r="A15" s="79">
        <f t="shared" si="1"/>
        <v>13</v>
      </c>
      <c r="B15" s="294" t="s">
        <v>4457</v>
      </c>
      <c r="C15" s="295" t="s">
        <v>4441</v>
      </c>
      <c r="D15" s="295" t="s">
        <v>4441</v>
      </c>
      <c r="E15" s="296" t="s">
        <v>4442</v>
      </c>
      <c r="F15" s="296" t="s">
        <v>4442</v>
      </c>
      <c r="G15" s="295" t="s">
        <v>4441</v>
      </c>
      <c r="H15" s="300" t="s">
        <v>4458</v>
      </c>
      <c r="I15" s="72"/>
      <c r="J15" s="72"/>
      <c r="K15" s="72"/>
      <c r="L15" s="77"/>
      <c r="M15" s="72"/>
      <c r="N15" s="72"/>
      <c r="O15" s="72"/>
      <c r="P15" s="72"/>
      <c r="Q15" s="72"/>
      <c r="R15" s="72"/>
    </row>
    <row r="16">
      <c r="A16" s="79">
        <f t="shared" si="1"/>
        <v>14</v>
      </c>
      <c r="B16" s="294" t="s">
        <v>4459</v>
      </c>
      <c r="C16" s="295" t="s">
        <v>4441</v>
      </c>
      <c r="D16" s="295" t="s">
        <v>4441</v>
      </c>
      <c r="E16" s="296" t="s">
        <v>4442</v>
      </c>
      <c r="F16" s="296" t="s">
        <v>4442</v>
      </c>
      <c r="G16" s="295" t="s">
        <v>4441</v>
      </c>
      <c r="H16" s="300" t="s">
        <v>4460</v>
      </c>
      <c r="I16" s="72"/>
      <c r="J16" s="72"/>
      <c r="K16" s="72"/>
      <c r="L16" s="72"/>
      <c r="M16" s="72"/>
      <c r="N16" s="72"/>
      <c r="O16" s="72"/>
      <c r="P16" s="72"/>
      <c r="Q16" s="72"/>
      <c r="R16" s="72"/>
    </row>
    <row r="17">
      <c r="A17" s="79">
        <f t="shared" si="1"/>
        <v>15</v>
      </c>
      <c r="B17" s="294" t="s">
        <v>4461</v>
      </c>
      <c r="C17" s="295" t="s">
        <v>4441</v>
      </c>
      <c r="D17" s="295" t="s">
        <v>4441</v>
      </c>
      <c r="E17" s="296" t="s">
        <v>4442</v>
      </c>
      <c r="F17" s="296" t="s">
        <v>4442</v>
      </c>
      <c r="G17" s="295" t="s">
        <v>4441</v>
      </c>
      <c r="H17" s="304" t="s">
        <v>4462</v>
      </c>
      <c r="I17" s="72"/>
      <c r="J17" s="72"/>
      <c r="K17" s="72"/>
      <c r="L17" s="72"/>
      <c r="M17" s="72"/>
      <c r="N17" s="72"/>
      <c r="O17" s="72"/>
      <c r="P17" s="72"/>
      <c r="Q17" s="72"/>
      <c r="R17" s="72"/>
    </row>
    <row r="18">
      <c r="A18" s="79">
        <f t="shared" si="1"/>
        <v>16</v>
      </c>
      <c r="B18" s="294" t="s">
        <v>4463</v>
      </c>
      <c r="C18" s="295" t="s">
        <v>4441</v>
      </c>
      <c r="D18" s="295" t="s">
        <v>4441</v>
      </c>
      <c r="E18" s="296" t="s">
        <v>4442</v>
      </c>
      <c r="F18" s="296" t="s">
        <v>4442</v>
      </c>
      <c r="G18" s="295" t="s">
        <v>4441</v>
      </c>
      <c r="H18" s="300" t="s">
        <v>4464</v>
      </c>
      <c r="I18" s="305" t="s">
        <v>4465</v>
      </c>
      <c r="J18" s="77" t="s">
        <v>4466</v>
      </c>
      <c r="K18" s="72"/>
      <c r="L18" s="72"/>
      <c r="M18" s="72"/>
      <c r="N18" s="72"/>
      <c r="O18" s="72"/>
      <c r="P18" s="72"/>
      <c r="Q18" s="72"/>
      <c r="R18" s="72"/>
    </row>
    <row r="19">
      <c r="A19" s="79">
        <f t="shared" si="1"/>
        <v>17</v>
      </c>
      <c r="B19" s="294" t="s">
        <v>4467</v>
      </c>
      <c r="C19" s="295" t="s">
        <v>4441</v>
      </c>
      <c r="D19" s="295" t="s">
        <v>4441</v>
      </c>
      <c r="E19" s="296" t="s">
        <v>4442</v>
      </c>
      <c r="F19" s="296" t="s">
        <v>4442</v>
      </c>
      <c r="G19" s="295" t="s">
        <v>4441</v>
      </c>
      <c r="H19" s="300" t="s">
        <v>4468</v>
      </c>
      <c r="I19" s="72"/>
      <c r="J19" s="72"/>
      <c r="K19" s="72"/>
      <c r="L19" s="72"/>
      <c r="M19" s="72"/>
      <c r="N19" s="72"/>
      <c r="O19" s="72"/>
      <c r="P19" s="72"/>
      <c r="Q19" s="72"/>
      <c r="R19" s="72"/>
    </row>
    <row r="20">
      <c r="A20" s="79">
        <f t="shared" si="1"/>
        <v>18</v>
      </c>
      <c r="B20" s="294" t="s">
        <v>4469</v>
      </c>
      <c r="C20" s="295" t="s">
        <v>4441</v>
      </c>
      <c r="D20" s="295" t="s">
        <v>4441</v>
      </c>
      <c r="E20" s="296" t="s">
        <v>4442</v>
      </c>
      <c r="F20" s="296" t="s">
        <v>4442</v>
      </c>
      <c r="G20" s="296" t="s">
        <v>4442</v>
      </c>
      <c r="H20" s="303" t="s">
        <v>1694</v>
      </c>
      <c r="I20" s="72"/>
      <c r="J20" s="72"/>
      <c r="K20" s="72"/>
      <c r="L20" s="72"/>
      <c r="M20" s="72"/>
      <c r="N20" s="72"/>
      <c r="O20" s="72"/>
      <c r="P20" s="72"/>
      <c r="Q20" s="72"/>
      <c r="R20" s="72"/>
    </row>
    <row r="21">
      <c r="A21" s="79">
        <f t="shared" si="1"/>
        <v>19</v>
      </c>
      <c r="B21" s="291" t="s">
        <v>45</v>
      </c>
      <c r="C21" s="298" t="s">
        <v>4438</v>
      </c>
      <c r="D21" s="298" t="s">
        <v>4438</v>
      </c>
      <c r="E21" s="298" t="s">
        <v>4438</v>
      </c>
      <c r="F21" s="298" t="s">
        <v>4438</v>
      </c>
      <c r="G21" s="298" t="s">
        <v>4438</v>
      </c>
      <c r="H21" s="293" t="s">
        <v>4439</v>
      </c>
      <c r="I21" s="72"/>
      <c r="J21" s="72"/>
      <c r="K21" s="72"/>
      <c r="L21" s="72"/>
      <c r="M21" s="72"/>
      <c r="N21" s="72"/>
      <c r="O21" s="72"/>
      <c r="P21" s="72"/>
      <c r="Q21" s="72"/>
      <c r="R21" s="72"/>
    </row>
    <row r="22">
      <c r="A22" s="79">
        <f t="shared" si="1"/>
        <v>20</v>
      </c>
      <c r="B22" s="294" t="s">
        <v>4470</v>
      </c>
      <c r="C22" s="295" t="s">
        <v>4441</v>
      </c>
      <c r="D22" s="295" t="s">
        <v>4441</v>
      </c>
      <c r="E22" s="296" t="s">
        <v>4442</v>
      </c>
      <c r="F22" s="296" t="s">
        <v>4442</v>
      </c>
      <c r="G22" s="296" t="s">
        <v>4442</v>
      </c>
      <c r="H22" s="297" t="s">
        <v>4439</v>
      </c>
      <c r="I22" s="72"/>
      <c r="J22" s="72"/>
      <c r="K22" s="72"/>
      <c r="L22" s="72"/>
      <c r="M22" s="72"/>
      <c r="N22" s="72"/>
      <c r="O22" s="72"/>
      <c r="P22" s="72"/>
      <c r="Q22" s="72"/>
      <c r="R22" s="72"/>
    </row>
    <row r="23">
      <c r="A23" s="79">
        <f t="shared" si="1"/>
        <v>21</v>
      </c>
      <c r="B23" s="294" t="s">
        <v>4471</v>
      </c>
      <c r="C23" s="295" t="s">
        <v>4441</v>
      </c>
      <c r="D23" s="295" t="s">
        <v>4441</v>
      </c>
      <c r="E23" s="296" t="s">
        <v>4442</v>
      </c>
      <c r="F23" s="296" t="s">
        <v>4442</v>
      </c>
      <c r="G23" s="296" t="s">
        <v>4442</v>
      </c>
      <c r="H23" s="297" t="s">
        <v>4439</v>
      </c>
      <c r="I23" s="72"/>
      <c r="J23" s="72"/>
      <c r="K23" s="72"/>
      <c r="L23" s="72"/>
      <c r="M23" s="72"/>
      <c r="N23" s="72"/>
      <c r="O23" s="72"/>
      <c r="P23" s="72"/>
      <c r="Q23" s="72"/>
      <c r="R23" s="72"/>
    </row>
    <row r="24">
      <c r="A24" s="79">
        <f t="shared" si="1"/>
        <v>22</v>
      </c>
      <c r="B24" s="294" t="s">
        <v>4472</v>
      </c>
      <c r="C24" s="295" t="s">
        <v>4441</v>
      </c>
      <c r="D24" s="295" t="s">
        <v>4441</v>
      </c>
      <c r="E24" s="296" t="s">
        <v>4442</v>
      </c>
      <c r="F24" s="296" t="s">
        <v>4442</v>
      </c>
      <c r="G24" s="296" t="s">
        <v>4442</v>
      </c>
      <c r="H24" s="297" t="s">
        <v>4439</v>
      </c>
      <c r="I24" s="72"/>
      <c r="J24" s="72"/>
      <c r="K24" s="72"/>
      <c r="L24" s="72"/>
      <c r="M24" s="72"/>
      <c r="N24" s="72"/>
      <c r="O24" s="72"/>
      <c r="P24" s="72"/>
      <c r="Q24" s="72"/>
      <c r="R24" s="72"/>
    </row>
    <row r="25">
      <c r="A25" s="79">
        <f t="shared" si="1"/>
        <v>23</v>
      </c>
      <c r="B25" s="294" t="s">
        <v>4473</v>
      </c>
      <c r="C25" s="295" t="s">
        <v>4441</v>
      </c>
      <c r="D25" s="295" t="s">
        <v>4441</v>
      </c>
      <c r="E25" s="296" t="s">
        <v>4442</v>
      </c>
      <c r="F25" s="296" t="s">
        <v>4442</v>
      </c>
      <c r="G25" s="296" t="s">
        <v>4442</v>
      </c>
      <c r="H25" s="297" t="s">
        <v>4439</v>
      </c>
      <c r="I25" s="72"/>
      <c r="J25" s="72"/>
      <c r="K25" s="72"/>
      <c r="L25" s="72"/>
      <c r="M25" s="72"/>
      <c r="N25" s="72"/>
      <c r="O25" s="72"/>
      <c r="P25" s="72"/>
      <c r="Q25" s="72"/>
      <c r="R25" s="72"/>
    </row>
    <row r="26">
      <c r="A26" s="79">
        <f t="shared" si="1"/>
        <v>24</v>
      </c>
      <c r="B26" s="291" t="s">
        <v>4474</v>
      </c>
      <c r="C26" s="298" t="s">
        <v>4438</v>
      </c>
      <c r="D26" s="298" t="s">
        <v>4438</v>
      </c>
      <c r="E26" s="298" t="s">
        <v>4438</v>
      </c>
      <c r="F26" s="298" t="s">
        <v>4438</v>
      </c>
      <c r="G26" s="298" t="s">
        <v>4438</v>
      </c>
      <c r="H26" s="299" t="s">
        <v>4475</v>
      </c>
      <c r="I26" s="72"/>
      <c r="J26" s="72"/>
      <c r="K26" s="72"/>
      <c r="L26" s="72"/>
      <c r="M26" s="72"/>
      <c r="N26" s="72"/>
      <c r="O26" s="72"/>
      <c r="P26" s="72"/>
      <c r="Q26" s="72"/>
      <c r="R26" s="72"/>
    </row>
    <row r="27">
      <c r="A27" s="79">
        <f t="shared" si="1"/>
        <v>25</v>
      </c>
      <c r="B27" s="306" t="s">
        <v>4476</v>
      </c>
      <c r="C27" s="296" t="s">
        <v>4442</v>
      </c>
      <c r="D27" s="296" t="s">
        <v>4442</v>
      </c>
      <c r="E27" s="296" t="s">
        <v>4442</v>
      </c>
      <c r="F27" s="296" t="s">
        <v>4442</v>
      </c>
      <c r="G27" s="296" t="s">
        <v>4442</v>
      </c>
      <c r="H27" s="307" t="s">
        <v>4477</v>
      </c>
      <c r="I27" s="72"/>
      <c r="J27" s="72"/>
      <c r="K27" s="72"/>
      <c r="L27" s="72"/>
      <c r="M27" s="72"/>
      <c r="N27" s="72"/>
      <c r="O27" s="72"/>
      <c r="P27" s="72"/>
      <c r="Q27" s="72"/>
      <c r="R27" s="72"/>
    </row>
    <row r="28">
      <c r="A28" s="79">
        <f t="shared" si="1"/>
        <v>26</v>
      </c>
      <c r="B28" s="306" t="s">
        <v>4478</v>
      </c>
      <c r="C28" s="296" t="s">
        <v>4442</v>
      </c>
      <c r="D28" s="296" t="s">
        <v>4442</v>
      </c>
      <c r="E28" s="296" t="s">
        <v>4442</v>
      </c>
      <c r="F28" s="296" t="s">
        <v>4442</v>
      </c>
      <c r="G28" s="296" t="s">
        <v>4442</v>
      </c>
      <c r="H28" s="307" t="s">
        <v>4479</v>
      </c>
      <c r="I28" s="72"/>
      <c r="J28" s="72"/>
      <c r="K28" s="72"/>
      <c r="L28" s="72"/>
      <c r="M28" s="72"/>
      <c r="N28" s="72"/>
      <c r="O28" s="72"/>
      <c r="P28" s="72"/>
      <c r="Q28" s="72"/>
      <c r="R28" s="72"/>
    </row>
    <row r="29">
      <c r="A29" s="79">
        <f t="shared" si="1"/>
        <v>27</v>
      </c>
      <c r="B29" s="306" t="s">
        <v>4480</v>
      </c>
      <c r="C29" s="296" t="s">
        <v>4442</v>
      </c>
      <c r="D29" s="296" t="s">
        <v>4442</v>
      </c>
      <c r="E29" s="296" t="s">
        <v>4442</v>
      </c>
      <c r="F29" s="296" t="s">
        <v>4442</v>
      </c>
      <c r="G29" s="296" t="s">
        <v>4442</v>
      </c>
      <c r="H29" s="307" t="s">
        <v>4481</v>
      </c>
      <c r="I29" s="72"/>
      <c r="J29" s="72"/>
      <c r="K29" s="72"/>
      <c r="L29" s="72"/>
      <c r="M29" s="72"/>
      <c r="N29" s="72"/>
      <c r="O29" s="72"/>
      <c r="P29" s="72"/>
      <c r="Q29" s="72"/>
      <c r="R29" s="72"/>
    </row>
    <row r="30">
      <c r="A30" s="79">
        <f t="shared" si="1"/>
        <v>28</v>
      </c>
      <c r="B30" s="294" t="s">
        <v>4482</v>
      </c>
      <c r="C30" s="295" t="s">
        <v>4441</v>
      </c>
      <c r="D30" s="295" t="s">
        <v>4441</v>
      </c>
      <c r="E30" s="296" t="s">
        <v>4442</v>
      </c>
      <c r="F30" s="296" t="s">
        <v>4442</v>
      </c>
      <c r="G30" s="295" t="s">
        <v>4441</v>
      </c>
      <c r="H30" s="308" t="s">
        <v>4483</v>
      </c>
      <c r="I30" s="72"/>
      <c r="J30" s="72"/>
      <c r="K30" s="72"/>
      <c r="L30" s="72"/>
      <c r="M30" s="72"/>
      <c r="N30" s="72"/>
      <c r="O30" s="72"/>
      <c r="P30" s="72"/>
      <c r="Q30" s="72"/>
      <c r="R30" s="72"/>
    </row>
    <row r="31">
      <c r="A31" s="79">
        <f t="shared" si="1"/>
        <v>29</v>
      </c>
      <c r="B31" s="294" t="s">
        <v>4484</v>
      </c>
      <c r="C31" s="295" t="s">
        <v>4441</v>
      </c>
      <c r="D31" s="295" t="s">
        <v>4441</v>
      </c>
      <c r="E31" s="296" t="s">
        <v>4442</v>
      </c>
      <c r="F31" s="296" t="s">
        <v>4442</v>
      </c>
      <c r="G31" s="295" t="s">
        <v>4441</v>
      </c>
      <c r="H31" s="309" t="s">
        <v>1694</v>
      </c>
      <c r="I31" s="72"/>
      <c r="J31" s="72"/>
      <c r="K31" s="72"/>
      <c r="L31" s="72"/>
      <c r="M31" s="72"/>
      <c r="N31" s="72"/>
      <c r="O31" s="72"/>
      <c r="P31" s="72"/>
      <c r="Q31" s="72"/>
      <c r="R31" s="72"/>
    </row>
    <row r="32">
      <c r="A32" s="79">
        <f t="shared" si="1"/>
        <v>30</v>
      </c>
      <c r="B32" s="294" t="s">
        <v>4485</v>
      </c>
      <c r="C32" s="295" t="s">
        <v>4441</v>
      </c>
      <c r="D32" s="295" t="s">
        <v>4441</v>
      </c>
      <c r="E32" s="296" t="s">
        <v>4442</v>
      </c>
      <c r="F32" s="296" t="s">
        <v>4442</v>
      </c>
      <c r="G32" s="295" t="s">
        <v>4441</v>
      </c>
      <c r="H32" s="308" t="s">
        <v>4486</v>
      </c>
      <c r="I32" s="72"/>
      <c r="J32" s="72"/>
      <c r="K32" s="72"/>
      <c r="L32" s="72"/>
      <c r="M32" s="72"/>
      <c r="N32" s="72"/>
      <c r="O32" s="72"/>
      <c r="P32" s="72"/>
      <c r="Q32" s="72"/>
      <c r="R32" s="72"/>
    </row>
    <row r="33">
      <c r="A33" s="79">
        <f t="shared" si="1"/>
        <v>31</v>
      </c>
      <c r="B33" s="294" t="s">
        <v>4487</v>
      </c>
      <c r="C33" s="295" t="s">
        <v>4441</v>
      </c>
      <c r="D33" s="295" t="s">
        <v>4441</v>
      </c>
      <c r="E33" s="296" t="s">
        <v>4442</v>
      </c>
      <c r="F33" s="296" t="s">
        <v>4442</v>
      </c>
      <c r="G33" s="295" t="s">
        <v>4441</v>
      </c>
      <c r="H33" s="309" t="s">
        <v>1694</v>
      </c>
      <c r="I33" s="72"/>
      <c r="J33" s="72"/>
      <c r="K33" s="72"/>
      <c r="L33" s="72"/>
      <c r="M33" s="72"/>
      <c r="N33" s="72"/>
      <c r="O33" s="72"/>
      <c r="P33" s="72"/>
      <c r="Q33" s="72"/>
      <c r="R33" s="72"/>
    </row>
    <row r="34">
      <c r="A34" s="79">
        <f t="shared" si="1"/>
        <v>32</v>
      </c>
      <c r="B34" s="294" t="s">
        <v>4488</v>
      </c>
      <c r="C34" s="295" t="s">
        <v>4441</v>
      </c>
      <c r="D34" s="295" t="s">
        <v>4441</v>
      </c>
      <c r="E34" s="296" t="s">
        <v>4442</v>
      </c>
      <c r="F34" s="296" t="s">
        <v>4442</v>
      </c>
      <c r="G34" s="295" t="s">
        <v>4441</v>
      </c>
      <c r="H34" s="308" t="s">
        <v>4489</v>
      </c>
      <c r="I34" s="72"/>
      <c r="J34" s="72"/>
      <c r="K34" s="72"/>
      <c r="L34" s="72"/>
      <c r="M34" s="72"/>
      <c r="N34" s="72"/>
      <c r="O34" s="72"/>
      <c r="Q34" s="72"/>
      <c r="R34" s="72"/>
    </row>
    <row r="35">
      <c r="A35" s="79">
        <f t="shared" si="1"/>
        <v>33</v>
      </c>
      <c r="B35" s="294" t="s">
        <v>4490</v>
      </c>
      <c r="C35" s="295" t="s">
        <v>4441</v>
      </c>
      <c r="D35" s="295" t="s">
        <v>4441</v>
      </c>
      <c r="E35" s="296" t="s">
        <v>4442</v>
      </c>
      <c r="F35" s="296" t="s">
        <v>4442</v>
      </c>
      <c r="G35" s="295" t="s">
        <v>4441</v>
      </c>
      <c r="H35" s="309" t="s">
        <v>1694</v>
      </c>
      <c r="I35" s="72"/>
      <c r="J35" s="72"/>
      <c r="K35" s="72"/>
      <c r="L35" s="72"/>
      <c r="M35" s="72"/>
      <c r="N35" s="72"/>
      <c r="O35" s="72"/>
      <c r="P35" s="72"/>
      <c r="Q35" s="72"/>
      <c r="R35" s="72"/>
    </row>
    <row r="36">
      <c r="A36" s="79">
        <f t="shared" si="1"/>
        <v>34</v>
      </c>
      <c r="B36" s="294" t="s">
        <v>4491</v>
      </c>
      <c r="C36" s="295" t="s">
        <v>4441</v>
      </c>
      <c r="D36" s="295" t="s">
        <v>4441</v>
      </c>
      <c r="E36" s="296" t="s">
        <v>4442</v>
      </c>
      <c r="F36" s="296" t="s">
        <v>4442</v>
      </c>
      <c r="G36" s="295" t="s">
        <v>4441</v>
      </c>
      <c r="H36" s="309" t="s">
        <v>1694</v>
      </c>
      <c r="I36" s="72"/>
      <c r="J36" s="72"/>
      <c r="K36" s="72"/>
      <c r="L36" s="72"/>
      <c r="M36" s="72"/>
      <c r="N36" s="72"/>
      <c r="O36" s="72"/>
      <c r="P36" s="72"/>
      <c r="Q36" s="72"/>
      <c r="R36" s="72"/>
    </row>
    <row r="37">
      <c r="A37" s="79">
        <f t="shared" si="1"/>
        <v>35</v>
      </c>
      <c r="B37" s="294" t="s">
        <v>4492</v>
      </c>
      <c r="C37" s="295" t="s">
        <v>4441</v>
      </c>
      <c r="D37" s="295" t="s">
        <v>4441</v>
      </c>
      <c r="E37" s="296" t="s">
        <v>4442</v>
      </c>
      <c r="F37" s="296" t="s">
        <v>4442</v>
      </c>
      <c r="G37" s="295" t="s">
        <v>4441</v>
      </c>
      <c r="H37" s="309" t="s">
        <v>1694</v>
      </c>
      <c r="I37" s="72"/>
      <c r="J37" s="72"/>
      <c r="K37" s="72"/>
      <c r="L37" s="72"/>
      <c r="M37" s="72"/>
      <c r="N37" s="72"/>
      <c r="O37" s="72"/>
      <c r="P37" s="72"/>
      <c r="Q37" s="72"/>
      <c r="R37" s="72"/>
    </row>
    <row r="38">
      <c r="A38" s="79">
        <f t="shared" si="1"/>
        <v>36</v>
      </c>
      <c r="B38" s="294" t="s">
        <v>4493</v>
      </c>
      <c r="C38" s="295" t="s">
        <v>4441</v>
      </c>
      <c r="D38" s="295" t="s">
        <v>4441</v>
      </c>
      <c r="E38" s="296" t="s">
        <v>4442</v>
      </c>
      <c r="F38" s="296" t="s">
        <v>4442</v>
      </c>
      <c r="G38" s="295" t="s">
        <v>4441</v>
      </c>
      <c r="H38" s="309" t="s">
        <v>1694</v>
      </c>
      <c r="I38" s="72"/>
      <c r="J38" s="72"/>
      <c r="K38" s="72"/>
      <c r="L38" s="72"/>
      <c r="M38" s="72"/>
      <c r="N38" s="72"/>
      <c r="O38" s="72"/>
      <c r="P38" s="72"/>
      <c r="Q38" s="72"/>
      <c r="R38" s="72"/>
    </row>
    <row r="39">
      <c r="A39" s="79">
        <f t="shared" si="1"/>
        <v>37</v>
      </c>
      <c r="B39" s="294" t="s">
        <v>4494</v>
      </c>
      <c r="C39" s="295" t="s">
        <v>4441</v>
      </c>
      <c r="D39" s="295" t="s">
        <v>4441</v>
      </c>
      <c r="E39" s="296" t="s">
        <v>4442</v>
      </c>
      <c r="F39" s="296" t="s">
        <v>4442</v>
      </c>
      <c r="G39" s="296" t="s">
        <v>4442</v>
      </c>
      <c r="H39" s="309" t="s">
        <v>1694</v>
      </c>
      <c r="I39" s="72"/>
      <c r="J39" s="72"/>
      <c r="K39" s="72"/>
      <c r="L39" s="72"/>
      <c r="M39" s="72"/>
      <c r="N39" s="72"/>
      <c r="O39" s="72"/>
      <c r="P39" s="72"/>
      <c r="Q39" s="72"/>
      <c r="R39" s="72"/>
    </row>
    <row r="40">
      <c r="A40" s="79">
        <f t="shared" si="1"/>
        <v>38</v>
      </c>
      <c r="B40" s="294" t="s">
        <v>4495</v>
      </c>
      <c r="C40" s="295" t="s">
        <v>4441</v>
      </c>
      <c r="D40" s="295" t="s">
        <v>4441</v>
      </c>
      <c r="E40" s="296" t="s">
        <v>4442</v>
      </c>
      <c r="F40" s="296" t="s">
        <v>4442</v>
      </c>
      <c r="G40" s="295" t="s">
        <v>4441</v>
      </c>
      <c r="H40" s="310" t="s">
        <v>4496</v>
      </c>
      <c r="I40" s="72"/>
      <c r="J40" s="72"/>
      <c r="K40" s="72"/>
      <c r="L40" s="72"/>
      <c r="M40" s="72"/>
      <c r="N40" s="72"/>
      <c r="O40" s="72"/>
      <c r="P40" s="72"/>
      <c r="Q40" s="72"/>
      <c r="R40" s="72"/>
    </row>
    <row r="41">
      <c r="A41" s="79">
        <f t="shared" si="1"/>
        <v>39</v>
      </c>
      <c r="B41" s="294" t="s">
        <v>4497</v>
      </c>
      <c r="C41" s="295" t="s">
        <v>4441</v>
      </c>
      <c r="D41" s="295" t="s">
        <v>4441</v>
      </c>
      <c r="E41" s="296" t="s">
        <v>4442</v>
      </c>
      <c r="F41" s="296" t="s">
        <v>4442</v>
      </c>
      <c r="G41" s="296" t="s">
        <v>4442</v>
      </c>
      <c r="H41" s="310" t="s">
        <v>4496</v>
      </c>
      <c r="I41" s="72"/>
      <c r="J41" s="72"/>
      <c r="K41" s="72"/>
      <c r="L41" s="72"/>
      <c r="M41" s="72"/>
      <c r="N41" s="72"/>
      <c r="O41" s="72"/>
      <c r="P41" s="72"/>
      <c r="Q41" s="72"/>
      <c r="R41" s="72"/>
    </row>
    <row r="42">
      <c r="A42" s="79">
        <f t="shared" si="1"/>
        <v>40</v>
      </c>
      <c r="B42" s="294" t="s">
        <v>4498</v>
      </c>
      <c r="C42" s="295" t="s">
        <v>4441</v>
      </c>
      <c r="D42" s="295" t="s">
        <v>4441</v>
      </c>
      <c r="E42" s="296" t="s">
        <v>4442</v>
      </c>
      <c r="F42" s="296" t="s">
        <v>4442</v>
      </c>
      <c r="G42" s="296" t="s">
        <v>4442</v>
      </c>
      <c r="H42" s="302" t="s">
        <v>1694</v>
      </c>
      <c r="I42" s="72"/>
      <c r="J42" s="72"/>
      <c r="K42" s="72"/>
      <c r="L42" s="72"/>
      <c r="M42" s="72"/>
      <c r="N42" s="72"/>
      <c r="O42" s="72"/>
      <c r="P42" s="72"/>
      <c r="Q42" s="72"/>
      <c r="R42" s="72"/>
    </row>
    <row r="43">
      <c r="A43" s="79">
        <f t="shared" si="1"/>
        <v>41</v>
      </c>
      <c r="B43" s="291" t="s">
        <v>4499</v>
      </c>
      <c r="C43" s="311"/>
      <c r="D43" s="311"/>
      <c r="E43" s="311"/>
      <c r="F43" s="311"/>
      <c r="G43" s="311"/>
      <c r="H43" s="301" t="s">
        <v>4500</v>
      </c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>
      <c r="A44" s="79">
        <f t="shared" si="1"/>
        <v>42</v>
      </c>
      <c r="B44" s="294" t="s">
        <v>4501</v>
      </c>
      <c r="C44" s="295" t="s">
        <v>4441</v>
      </c>
      <c r="D44" s="296" t="s">
        <v>4442</v>
      </c>
      <c r="E44" s="295" t="s">
        <v>4441</v>
      </c>
      <c r="F44" s="296" t="s">
        <v>4442</v>
      </c>
      <c r="G44" s="296" t="s">
        <v>4442</v>
      </c>
      <c r="H44" s="302" t="s">
        <v>4502</v>
      </c>
      <c r="I44" s="72"/>
      <c r="J44" s="72"/>
      <c r="K44" s="72"/>
      <c r="L44" s="72"/>
      <c r="M44" s="72"/>
      <c r="N44" s="72"/>
      <c r="O44" s="72"/>
      <c r="P44" s="72"/>
      <c r="Q44" s="72"/>
      <c r="R44" s="72"/>
    </row>
    <row r="45">
      <c r="A45" s="79">
        <f t="shared" si="1"/>
        <v>43</v>
      </c>
      <c r="B45" s="294" t="s">
        <v>4503</v>
      </c>
      <c r="C45" s="295" t="s">
        <v>4441</v>
      </c>
      <c r="D45" s="296" t="s">
        <v>4442</v>
      </c>
      <c r="E45" s="295" t="s">
        <v>4441</v>
      </c>
      <c r="F45" s="296" t="s">
        <v>4442</v>
      </c>
      <c r="G45" s="296" t="s">
        <v>4442</v>
      </c>
      <c r="H45" s="302" t="s">
        <v>4502</v>
      </c>
      <c r="I45" s="72"/>
      <c r="J45" s="72"/>
      <c r="K45" s="72"/>
      <c r="L45" s="72"/>
      <c r="M45" s="72"/>
      <c r="N45" s="72"/>
      <c r="O45" s="72"/>
      <c r="P45" s="72"/>
      <c r="Q45" s="72"/>
      <c r="R45" s="72"/>
    </row>
    <row r="46">
      <c r="A46" s="79">
        <f t="shared" si="1"/>
        <v>44</v>
      </c>
      <c r="B46" s="294" t="s">
        <v>4504</v>
      </c>
      <c r="C46" s="295" t="s">
        <v>4441</v>
      </c>
      <c r="D46" s="296" t="s">
        <v>4442</v>
      </c>
      <c r="E46" s="295" t="s">
        <v>4441</v>
      </c>
      <c r="F46" s="296" t="s">
        <v>4442</v>
      </c>
      <c r="G46" s="296" t="s">
        <v>4442</v>
      </c>
      <c r="H46" s="302" t="s">
        <v>4502</v>
      </c>
      <c r="I46" s="72"/>
      <c r="J46" s="72"/>
      <c r="K46" s="72"/>
      <c r="L46" s="72"/>
      <c r="M46" s="72"/>
      <c r="N46" s="72"/>
      <c r="O46" s="72"/>
      <c r="P46" s="72"/>
      <c r="Q46" s="72"/>
      <c r="R46" s="72"/>
    </row>
    <row r="47">
      <c r="A47" s="79">
        <f t="shared" si="1"/>
        <v>45</v>
      </c>
      <c r="B47" s="294" t="s">
        <v>4505</v>
      </c>
      <c r="C47" s="295" t="s">
        <v>4441</v>
      </c>
      <c r="D47" s="296" t="s">
        <v>4442</v>
      </c>
      <c r="E47" s="295" t="s">
        <v>4441</v>
      </c>
      <c r="F47" s="296" t="s">
        <v>4442</v>
      </c>
      <c r="G47" s="312" t="s">
        <v>4506</v>
      </c>
      <c r="H47" s="302" t="s">
        <v>4502</v>
      </c>
      <c r="I47" s="72"/>
      <c r="J47" s="72"/>
      <c r="K47" s="72"/>
      <c r="L47" s="72"/>
      <c r="M47" s="72"/>
      <c r="N47" s="72"/>
      <c r="O47" s="72"/>
      <c r="P47" s="72"/>
      <c r="Q47" s="72"/>
      <c r="R47" s="72"/>
    </row>
    <row r="48">
      <c r="A48" s="79">
        <f t="shared" si="1"/>
        <v>46</v>
      </c>
      <c r="B48" s="294" t="s">
        <v>4507</v>
      </c>
      <c r="C48" s="295" t="s">
        <v>4441</v>
      </c>
      <c r="D48" s="296" t="s">
        <v>4442</v>
      </c>
      <c r="E48" s="295" t="s">
        <v>4441</v>
      </c>
      <c r="F48" s="296" t="s">
        <v>4442</v>
      </c>
      <c r="G48" s="296" t="s">
        <v>4442</v>
      </c>
      <c r="H48" s="302" t="s">
        <v>4502</v>
      </c>
      <c r="I48" s="72"/>
      <c r="J48" s="72"/>
      <c r="K48" s="72"/>
      <c r="L48" s="72"/>
      <c r="M48" s="72"/>
      <c r="N48" s="72"/>
      <c r="O48" s="72"/>
      <c r="P48" s="72"/>
      <c r="Q48" s="72"/>
      <c r="R48" s="72"/>
    </row>
    <row r="49">
      <c r="A49" s="79">
        <f t="shared" si="1"/>
        <v>47</v>
      </c>
      <c r="B49" s="294" t="s">
        <v>4508</v>
      </c>
      <c r="C49" s="295" t="s">
        <v>4441</v>
      </c>
      <c r="D49" s="296" t="s">
        <v>4442</v>
      </c>
      <c r="E49" s="295" t="s">
        <v>4441</v>
      </c>
      <c r="F49" s="296" t="s">
        <v>4442</v>
      </c>
      <c r="G49" s="296" t="s">
        <v>4442</v>
      </c>
      <c r="H49" s="302" t="s">
        <v>4502</v>
      </c>
      <c r="I49" s="72"/>
      <c r="J49" s="72"/>
      <c r="K49" s="72"/>
      <c r="L49" s="72"/>
      <c r="M49" s="72"/>
      <c r="N49" s="72"/>
      <c r="O49" s="72"/>
      <c r="P49" s="72"/>
      <c r="Q49" s="72"/>
      <c r="R49" s="72"/>
    </row>
    <row r="50">
      <c r="A50" s="79">
        <f t="shared" si="1"/>
        <v>48</v>
      </c>
      <c r="B50" s="291" t="s">
        <v>4509</v>
      </c>
      <c r="C50" s="311"/>
      <c r="D50" s="311"/>
      <c r="E50" s="311"/>
      <c r="F50" s="311"/>
      <c r="G50" s="311"/>
      <c r="H50" s="293" t="s">
        <v>4510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</row>
    <row r="51">
      <c r="A51" s="79">
        <f t="shared" si="1"/>
        <v>49</v>
      </c>
      <c r="B51" s="306" t="s">
        <v>4511</v>
      </c>
      <c r="C51" s="313"/>
      <c r="D51" s="296"/>
      <c r="E51" s="295"/>
      <c r="F51" s="296"/>
      <c r="G51" s="295"/>
      <c r="H51" s="297" t="s">
        <v>4512</v>
      </c>
      <c r="I51" s="72"/>
      <c r="J51" s="72"/>
      <c r="K51" s="72"/>
      <c r="L51" s="72"/>
      <c r="M51" s="72"/>
      <c r="N51" s="72"/>
      <c r="O51" s="72"/>
      <c r="P51" s="72"/>
      <c r="Q51" s="72"/>
      <c r="R51" s="72"/>
    </row>
    <row r="52">
      <c r="A52" s="79">
        <f t="shared" si="1"/>
        <v>50</v>
      </c>
      <c r="B52" s="306" t="s">
        <v>4513</v>
      </c>
      <c r="C52" s="313"/>
      <c r="D52" s="296"/>
      <c r="E52" s="295"/>
      <c r="F52" s="296"/>
      <c r="G52" s="295"/>
      <c r="H52" s="297" t="s">
        <v>4512</v>
      </c>
      <c r="I52" s="72"/>
      <c r="J52" s="72"/>
      <c r="K52" s="72"/>
      <c r="L52" s="72"/>
      <c r="M52" s="72"/>
      <c r="N52" s="72"/>
      <c r="O52" s="72"/>
      <c r="P52" s="72"/>
      <c r="Q52" s="72"/>
      <c r="R52" s="72"/>
    </row>
    <row r="53">
      <c r="A53" s="79">
        <f t="shared" si="1"/>
        <v>51</v>
      </c>
      <c r="B53" s="306" t="s">
        <v>4514</v>
      </c>
      <c r="C53" s="313"/>
      <c r="D53" s="296"/>
      <c r="E53" s="295"/>
      <c r="F53" s="296"/>
      <c r="G53" s="295"/>
      <c r="H53" s="297" t="s">
        <v>4512</v>
      </c>
      <c r="I53" s="72"/>
      <c r="J53" s="72"/>
      <c r="K53" s="72"/>
      <c r="L53" s="72"/>
      <c r="M53" s="72"/>
      <c r="N53" s="72"/>
      <c r="O53" s="72"/>
      <c r="P53" s="72"/>
      <c r="Q53" s="72"/>
      <c r="R53" s="72"/>
    </row>
    <row r="54">
      <c r="A54" s="79">
        <f t="shared" si="1"/>
        <v>52</v>
      </c>
      <c r="B54" s="294" t="s">
        <v>4515</v>
      </c>
      <c r="C54" s="295" t="s">
        <v>4441</v>
      </c>
      <c r="D54" s="296" t="s">
        <v>4442</v>
      </c>
      <c r="E54" s="295" t="s">
        <v>4441</v>
      </c>
      <c r="F54" s="296" t="s">
        <v>4442</v>
      </c>
      <c r="G54" s="295" t="s">
        <v>4441</v>
      </c>
      <c r="H54" s="302" t="s">
        <v>1694</v>
      </c>
      <c r="I54" s="72"/>
      <c r="J54" s="72"/>
      <c r="K54" s="72"/>
      <c r="L54" s="72"/>
      <c r="M54" s="72"/>
      <c r="N54" s="72"/>
      <c r="O54" s="72"/>
      <c r="P54" s="72"/>
      <c r="Q54" s="72"/>
      <c r="R54" s="72"/>
    </row>
    <row r="55">
      <c r="A55" s="79">
        <f t="shared" si="1"/>
        <v>53</v>
      </c>
      <c r="B55" s="294" t="s">
        <v>4516</v>
      </c>
      <c r="C55" s="295" t="s">
        <v>4441</v>
      </c>
      <c r="D55" s="296" t="s">
        <v>4442</v>
      </c>
      <c r="E55" s="295" t="s">
        <v>4441</v>
      </c>
      <c r="F55" s="296" t="s">
        <v>4442</v>
      </c>
      <c r="G55" s="295" t="s">
        <v>4441</v>
      </c>
      <c r="H55" s="302" t="s">
        <v>1694</v>
      </c>
      <c r="I55" s="72"/>
      <c r="J55" s="72"/>
      <c r="K55" s="72"/>
      <c r="L55" s="72"/>
      <c r="M55" s="72"/>
      <c r="N55" s="72"/>
      <c r="O55" s="72"/>
      <c r="P55" s="72"/>
      <c r="Q55" s="72"/>
      <c r="R55" s="72"/>
    </row>
    <row r="56">
      <c r="A56" s="79">
        <f t="shared" si="1"/>
        <v>54</v>
      </c>
      <c r="B56" s="294" t="s">
        <v>4517</v>
      </c>
      <c r="C56" s="295" t="s">
        <v>4441</v>
      </c>
      <c r="D56" s="296" t="s">
        <v>4442</v>
      </c>
      <c r="E56" s="295" t="s">
        <v>4441</v>
      </c>
      <c r="F56" s="296" t="s">
        <v>4442</v>
      </c>
      <c r="G56" s="295" t="s">
        <v>4441</v>
      </c>
      <c r="H56" s="302" t="s">
        <v>1694</v>
      </c>
      <c r="I56" s="72"/>
      <c r="J56" s="72"/>
      <c r="K56" s="72"/>
      <c r="L56" s="72"/>
      <c r="M56" s="72"/>
      <c r="N56" s="72"/>
      <c r="O56" s="72"/>
      <c r="P56" s="72"/>
      <c r="Q56" s="72"/>
      <c r="R56" s="72"/>
    </row>
    <row r="57">
      <c r="A57" s="79">
        <f t="shared" si="1"/>
        <v>55</v>
      </c>
      <c r="B57" s="294" t="s">
        <v>4518</v>
      </c>
      <c r="C57" s="295" t="s">
        <v>4441</v>
      </c>
      <c r="D57" s="296" t="s">
        <v>4442</v>
      </c>
      <c r="E57" s="295" t="s">
        <v>4441</v>
      </c>
      <c r="F57" s="296" t="s">
        <v>4442</v>
      </c>
      <c r="G57" s="295" t="s">
        <v>4441</v>
      </c>
      <c r="H57" s="302" t="s">
        <v>1694</v>
      </c>
      <c r="I57" s="72"/>
      <c r="J57" s="72"/>
      <c r="K57" s="72"/>
      <c r="L57" s="72"/>
      <c r="M57" s="72"/>
      <c r="N57" s="72"/>
      <c r="O57" s="72"/>
      <c r="P57" s="72"/>
      <c r="Q57" s="72"/>
      <c r="R57" s="72"/>
    </row>
    <row r="58">
      <c r="A58" s="79">
        <f t="shared" si="1"/>
        <v>56</v>
      </c>
      <c r="B58" s="294" t="s">
        <v>4519</v>
      </c>
      <c r="C58" s="295" t="s">
        <v>4441</v>
      </c>
      <c r="D58" s="296" t="s">
        <v>4442</v>
      </c>
      <c r="E58" s="295" t="s">
        <v>4441</v>
      </c>
      <c r="F58" s="296" t="s">
        <v>4442</v>
      </c>
      <c r="G58" s="295" t="s">
        <v>4441</v>
      </c>
      <c r="H58" s="297" t="s">
        <v>4439</v>
      </c>
      <c r="I58" s="72"/>
      <c r="J58" s="72"/>
      <c r="K58" s="72"/>
      <c r="L58" s="72"/>
      <c r="M58" s="72"/>
      <c r="N58" s="72"/>
      <c r="O58" s="72"/>
      <c r="P58" s="72"/>
      <c r="Q58" s="72"/>
      <c r="R58" s="72"/>
    </row>
    <row r="59">
      <c r="A59" s="79">
        <f t="shared" si="1"/>
        <v>57</v>
      </c>
      <c r="B59" s="294" t="s">
        <v>4520</v>
      </c>
      <c r="C59" s="295" t="s">
        <v>4441</v>
      </c>
      <c r="D59" s="296" t="s">
        <v>4442</v>
      </c>
      <c r="E59" s="295" t="s">
        <v>4441</v>
      </c>
      <c r="F59" s="296" t="s">
        <v>4442</v>
      </c>
      <c r="G59" s="295" t="s">
        <v>4441</v>
      </c>
      <c r="H59" s="302" t="s">
        <v>1694</v>
      </c>
      <c r="I59" s="72"/>
      <c r="J59" s="72"/>
      <c r="K59" s="72"/>
      <c r="L59" s="72"/>
      <c r="M59" s="72"/>
      <c r="N59" s="72"/>
      <c r="O59" s="72"/>
      <c r="P59" s="72"/>
      <c r="Q59" s="72"/>
      <c r="R59" s="72"/>
    </row>
    <row r="60">
      <c r="A60" s="79">
        <f t="shared" si="1"/>
        <v>58</v>
      </c>
      <c r="B60" s="294" t="s">
        <v>4521</v>
      </c>
      <c r="C60" s="295" t="s">
        <v>4441</v>
      </c>
      <c r="D60" s="296" t="s">
        <v>4442</v>
      </c>
      <c r="E60" s="295" t="s">
        <v>4441</v>
      </c>
      <c r="F60" s="296" t="s">
        <v>4442</v>
      </c>
      <c r="G60" s="295" t="s">
        <v>4441</v>
      </c>
      <c r="H60" s="302" t="s">
        <v>1694</v>
      </c>
      <c r="I60" s="72"/>
      <c r="J60" s="72"/>
      <c r="K60" s="72"/>
      <c r="L60" s="72"/>
      <c r="M60" s="72"/>
      <c r="N60" s="72"/>
      <c r="O60" s="72"/>
      <c r="P60" s="72"/>
      <c r="Q60" s="72"/>
      <c r="R60" s="72"/>
    </row>
    <row r="61">
      <c r="A61" s="79">
        <f t="shared" si="1"/>
        <v>59</v>
      </c>
      <c r="B61" s="294" t="s">
        <v>4522</v>
      </c>
      <c r="C61" s="295" t="s">
        <v>4441</v>
      </c>
      <c r="D61" s="296" t="s">
        <v>4442</v>
      </c>
      <c r="E61" s="295" t="s">
        <v>4441</v>
      </c>
      <c r="F61" s="296" t="s">
        <v>4442</v>
      </c>
      <c r="G61" s="295" t="s">
        <v>4441</v>
      </c>
      <c r="H61" s="302" t="s">
        <v>1694</v>
      </c>
      <c r="I61" s="72"/>
      <c r="J61" s="72"/>
      <c r="K61" s="72"/>
      <c r="L61" s="72"/>
      <c r="M61" s="72"/>
      <c r="N61" s="72"/>
      <c r="O61" s="72"/>
      <c r="P61" s="72"/>
      <c r="Q61" s="72"/>
      <c r="R61" s="72"/>
    </row>
    <row r="62">
      <c r="A62" s="79">
        <f t="shared" si="1"/>
        <v>60</v>
      </c>
      <c r="B62" s="294" t="s">
        <v>4523</v>
      </c>
      <c r="C62" s="295" t="s">
        <v>4441</v>
      </c>
      <c r="D62" s="296" t="s">
        <v>4442</v>
      </c>
      <c r="E62" s="295" t="s">
        <v>4441</v>
      </c>
      <c r="F62" s="296" t="s">
        <v>4442</v>
      </c>
      <c r="G62" s="296" t="s">
        <v>4442</v>
      </c>
      <c r="H62" s="302" t="s">
        <v>1694</v>
      </c>
      <c r="I62" s="72"/>
      <c r="J62" s="72"/>
      <c r="K62" s="72"/>
      <c r="L62" s="72"/>
      <c r="M62" s="72"/>
      <c r="N62" s="72"/>
      <c r="O62" s="72"/>
      <c r="P62" s="72"/>
      <c r="Q62" s="72"/>
      <c r="R62" s="72"/>
    </row>
    <row r="63">
      <c r="A63" s="79">
        <f t="shared" si="1"/>
        <v>61</v>
      </c>
      <c r="B63" s="294" t="s">
        <v>4524</v>
      </c>
      <c r="C63" s="295" t="s">
        <v>4441</v>
      </c>
      <c r="D63" s="296" t="s">
        <v>4442</v>
      </c>
      <c r="E63" s="295" t="s">
        <v>4441</v>
      </c>
      <c r="F63" s="296" t="s">
        <v>4442</v>
      </c>
      <c r="G63" s="295" t="s">
        <v>4441</v>
      </c>
      <c r="H63" s="303" t="s">
        <v>4525</v>
      </c>
      <c r="I63" s="72"/>
      <c r="J63" s="72"/>
      <c r="K63" s="72"/>
      <c r="L63" s="72"/>
      <c r="M63" s="72"/>
      <c r="N63" s="72"/>
      <c r="O63" s="72"/>
      <c r="P63" s="72"/>
      <c r="Q63" s="72"/>
      <c r="R63" s="72"/>
    </row>
    <row r="64">
      <c r="A64" s="79">
        <f t="shared" si="1"/>
        <v>62</v>
      </c>
      <c r="B64" s="294" t="s">
        <v>4526</v>
      </c>
      <c r="C64" s="295" t="s">
        <v>4441</v>
      </c>
      <c r="D64" s="296" t="s">
        <v>4442</v>
      </c>
      <c r="E64" s="295" t="s">
        <v>4441</v>
      </c>
      <c r="F64" s="296" t="s">
        <v>4442</v>
      </c>
      <c r="G64" s="296" t="s">
        <v>4442</v>
      </c>
      <c r="H64" s="309" t="s">
        <v>4527</v>
      </c>
      <c r="I64" s="72"/>
      <c r="J64" s="72"/>
      <c r="K64" s="72"/>
      <c r="L64" s="72"/>
      <c r="M64" s="72"/>
      <c r="N64" s="72"/>
      <c r="O64" s="72"/>
      <c r="P64" s="72"/>
      <c r="Q64" s="72"/>
      <c r="R64" s="72"/>
    </row>
    <row r="65">
      <c r="A65" s="79">
        <f t="shared" si="1"/>
        <v>63</v>
      </c>
      <c r="B65" s="294" t="s">
        <v>4528</v>
      </c>
      <c r="C65" s="295" t="s">
        <v>4441</v>
      </c>
      <c r="D65" s="296" t="s">
        <v>4442</v>
      </c>
      <c r="E65" s="295" t="s">
        <v>4441</v>
      </c>
      <c r="F65" s="296" t="s">
        <v>4442</v>
      </c>
      <c r="G65" s="295" t="s">
        <v>4441</v>
      </c>
      <c r="H65" s="302" t="s">
        <v>1694</v>
      </c>
      <c r="I65" s="72"/>
      <c r="J65" s="72"/>
      <c r="K65" s="72"/>
      <c r="L65" s="72"/>
      <c r="M65" s="72"/>
      <c r="N65" s="72"/>
      <c r="O65" s="72"/>
      <c r="P65" s="72"/>
      <c r="Q65" s="72"/>
      <c r="R65" s="72"/>
    </row>
    <row r="66">
      <c r="A66" s="79">
        <f t="shared" si="1"/>
        <v>64</v>
      </c>
      <c r="B66" s="294" t="s">
        <v>4529</v>
      </c>
      <c r="C66" s="295" t="s">
        <v>4441</v>
      </c>
      <c r="D66" s="296" t="s">
        <v>4442</v>
      </c>
      <c r="E66" s="295" t="s">
        <v>4441</v>
      </c>
      <c r="F66" s="296" t="s">
        <v>4442</v>
      </c>
      <c r="G66" s="295" t="s">
        <v>4441</v>
      </c>
      <c r="H66" s="302" t="s">
        <v>1694</v>
      </c>
      <c r="I66" s="72"/>
      <c r="J66" s="72"/>
      <c r="K66" s="72"/>
      <c r="L66" s="72"/>
      <c r="M66" s="72"/>
      <c r="N66" s="72"/>
      <c r="O66" s="72"/>
      <c r="P66" s="72"/>
      <c r="Q66" s="72"/>
      <c r="R66" s="72"/>
    </row>
    <row r="67">
      <c r="A67" s="79">
        <f t="shared" si="1"/>
        <v>65</v>
      </c>
      <c r="B67" s="294" t="s">
        <v>4514</v>
      </c>
      <c r="C67" s="295" t="s">
        <v>4441</v>
      </c>
      <c r="D67" s="296" t="s">
        <v>4442</v>
      </c>
      <c r="E67" s="295" t="s">
        <v>4441</v>
      </c>
      <c r="F67" s="296" t="s">
        <v>4442</v>
      </c>
      <c r="G67" s="296" t="s">
        <v>4442</v>
      </c>
      <c r="H67" s="302" t="s">
        <v>4530</v>
      </c>
      <c r="I67" s="72"/>
      <c r="J67" s="72"/>
      <c r="K67" s="72"/>
      <c r="L67" s="72"/>
      <c r="M67" s="72"/>
      <c r="N67" s="72"/>
      <c r="O67" s="72"/>
      <c r="P67" s="72"/>
      <c r="Q67" s="72"/>
      <c r="R67" s="72"/>
    </row>
    <row r="68">
      <c r="A68" s="79">
        <f t="shared" si="1"/>
        <v>66</v>
      </c>
      <c r="B68" s="294" t="s">
        <v>4531</v>
      </c>
      <c r="C68" s="295" t="s">
        <v>4441</v>
      </c>
      <c r="D68" s="296" t="s">
        <v>4442</v>
      </c>
      <c r="E68" s="295" t="s">
        <v>4441</v>
      </c>
      <c r="F68" s="296" t="s">
        <v>4442</v>
      </c>
      <c r="G68" s="296" t="s">
        <v>4442</v>
      </c>
      <c r="H68" s="302" t="s">
        <v>1694</v>
      </c>
      <c r="I68" s="72"/>
      <c r="J68" s="72"/>
      <c r="K68" s="72"/>
      <c r="L68" s="72"/>
      <c r="M68" s="72"/>
      <c r="N68" s="72"/>
      <c r="O68" s="72"/>
      <c r="P68" s="72"/>
      <c r="Q68" s="72"/>
      <c r="R68" s="72"/>
    </row>
    <row r="69">
      <c r="A69" s="79">
        <f t="shared" si="1"/>
        <v>67</v>
      </c>
      <c r="B69" s="291" t="s">
        <v>4532</v>
      </c>
      <c r="C69" s="311"/>
      <c r="D69" s="311"/>
      <c r="E69" s="311"/>
      <c r="F69" s="311"/>
      <c r="G69" s="311"/>
      <c r="H69" s="301" t="s">
        <v>4500</v>
      </c>
      <c r="I69" s="72"/>
      <c r="J69" s="72"/>
      <c r="K69" s="72"/>
      <c r="L69" s="72"/>
      <c r="M69" s="72"/>
      <c r="N69" s="72"/>
      <c r="O69" s="72"/>
      <c r="P69" s="72"/>
      <c r="Q69" s="72"/>
      <c r="R69" s="72"/>
    </row>
    <row r="70">
      <c r="A70" s="79">
        <f t="shared" si="1"/>
        <v>68</v>
      </c>
      <c r="B70" s="294" t="s">
        <v>4533</v>
      </c>
      <c r="C70" s="295" t="s">
        <v>4441</v>
      </c>
      <c r="D70" s="296" t="s">
        <v>4442</v>
      </c>
      <c r="E70" s="295" t="s">
        <v>4441</v>
      </c>
      <c r="F70" s="296" t="s">
        <v>4442</v>
      </c>
      <c r="G70" s="296" t="s">
        <v>4442</v>
      </c>
      <c r="H70" s="302" t="s">
        <v>4502</v>
      </c>
      <c r="I70" s="72"/>
      <c r="J70" s="72"/>
      <c r="K70" s="72"/>
      <c r="L70" s="72"/>
      <c r="M70" s="72"/>
      <c r="N70" s="72"/>
      <c r="O70" s="72"/>
      <c r="P70" s="72"/>
      <c r="Q70" s="72"/>
      <c r="R70" s="72"/>
    </row>
    <row r="71">
      <c r="A71" s="79">
        <f t="shared" si="1"/>
        <v>69</v>
      </c>
      <c r="B71" s="291" t="s">
        <v>4534</v>
      </c>
      <c r="C71" s="311"/>
      <c r="D71" s="311"/>
      <c r="E71" s="311"/>
      <c r="F71" s="311"/>
      <c r="G71" s="311"/>
      <c r="H71" s="299" t="s">
        <v>4535</v>
      </c>
      <c r="I71" s="72"/>
      <c r="J71" s="72"/>
      <c r="K71" s="72"/>
      <c r="L71" s="72"/>
      <c r="M71" s="72"/>
      <c r="N71" s="72"/>
      <c r="O71" s="72"/>
      <c r="P71" s="72"/>
      <c r="Q71" s="72"/>
      <c r="R71" s="72"/>
    </row>
    <row r="72">
      <c r="A72" s="79">
        <f t="shared" si="1"/>
        <v>70</v>
      </c>
      <c r="B72" s="294" t="s">
        <v>4536</v>
      </c>
      <c r="C72" s="295" t="s">
        <v>4441</v>
      </c>
      <c r="D72" s="296" t="s">
        <v>4442</v>
      </c>
      <c r="E72" s="295" t="s">
        <v>4441</v>
      </c>
      <c r="F72" s="296" t="s">
        <v>4442</v>
      </c>
      <c r="G72" s="295" t="s">
        <v>4441</v>
      </c>
      <c r="H72" s="297" t="s">
        <v>4537</v>
      </c>
      <c r="I72" s="72"/>
      <c r="J72" s="72"/>
      <c r="K72" s="72"/>
      <c r="L72" s="72"/>
      <c r="M72" s="72"/>
      <c r="N72" s="72"/>
      <c r="O72" s="72"/>
      <c r="P72" s="72"/>
      <c r="Q72" s="72"/>
      <c r="R72" s="72"/>
    </row>
    <row r="73">
      <c r="A73" s="79">
        <f t="shared" si="1"/>
        <v>71</v>
      </c>
      <c r="B73" s="294" t="s">
        <v>4538</v>
      </c>
      <c r="C73" s="295" t="s">
        <v>4441</v>
      </c>
      <c r="D73" s="296" t="s">
        <v>4442</v>
      </c>
      <c r="E73" s="295" t="s">
        <v>4441</v>
      </c>
      <c r="F73" s="296" t="s">
        <v>4442</v>
      </c>
      <c r="G73" s="295" t="s">
        <v>4441</v>
      </c>
      <c r="H73" s="297" t="s">
        <v>4439</v>
      </c>
      <c r="I73" s="72"/>
      <c r="J73" s="72"/>
      <c r="K73" s="72"/>
      <c r="L73" s="72"/>
      <c r="M73" s="72"/>
      <c r="N73" s="72"/>
      <c r="O73" s="72"/>
      <c r="P73" s="72"/>
      <c r="Q73" s="72"/>
      <c r="R73" s="72"/>
    </row>
    <row r="74">
      <c r="A74" s="79">
        <f t="shared" si="1"/>
        <v>72</v>
      </c>
      <c r="B74" s="294" t="s">
        <v>4539</v>
      </c>
      <c r="C74" s="295" t="s">
        <v>4441</v>
      </c>
      <c r="D74" s="296" t="s">
        <v>4442</v>
      </c>
      <c r="E74" s="295" t="s">
        <v>4441</v>
      </c>
      <c r="F74" s="296" t="s">
        <v>4442</v>
      </c>
      <c r="G74" s="295" t="s">
        <v>4441</v>
      </c>
      <c r="H74" s="297" t="s">
        <v>4439</v>
      </c>
      <c r="I74" s="72"/>
      <c r="J74" s="72"/>
      <c r="K74" s="72"/>
      <c r="L74" s="72"/>
      <c r="M74" s="72"/>
      <c r="N74" s="72"/>
      <c r="O74" s="72"/>
      <c r="P74" s="72"/>
      <c r="Q74" s="72"/>
      <c r="R74" s="72"/>
    </row>
    <row r="75">
      <c r="A75" s="79">
        <f t="shared" si="1"/>
        <v>73</v>
      </c>
      <c r="B75" s="314" t="s">
        <v>4540</v>
      </c>
      <c r="C75" s="296" t="s">
        <v>4442</v>
      </c>
      <c r="D75" s="296" t="s">
        <v>4442</v>
      </c>
      <c r="E75" s="296" t="s">
        <v>4442</v>
      </c>
      <c r="F75" s="296" t="s">
        <v>4442</v>
      </c>
      <c r="G75" s="296" t="s">
        <v>4442</v>
      </c>
      <c r="H75" s="315" t="s">
        <v>4537</v>
      </c>
      <c r="I75" s="72"/>
      <c r="J75" s="72"/>
      <c r="K75" s="72"/>
      <c r="L75" s="72"/>
      <c r="M75" s="72"/>
      <c r="N75" s="72"/>
      <c r="O75" s="72"/>
      <c r="P75" s="72"/>
      <c r="Q75" s="72"/>
      <c r="R75" s="72"/>
    </row>
    <row r="76">
      <c r="A76" s="79">
        <f t="shared" si="1"/>
        <v>74</v>
      </c>
      <c r="B76" s="306" t="s">
        <v>4541</v>
      </c>
      <c r="C76" s="296" t="s">
        <v>4442</v>
      </c>
      <c r="D76" s="296" t="s">
        <v>4442</v>
      </c>
      <c r="E76" s="296" t="s">
        <v>4442</v>
      </c>
      <c r="F76" s="296" t="s">
        <v>4442</v>
      </c>
      <c r="G76" s="296" t="s">
        <v>4442</v>
      </c>
      <c r="H76" s="307" t="s">
        <v>4542</v>
      </c>
      <c r="I76" s="72"/>
      <c r="J76" s="72"/>
      <c r="K76" s="72"/>
      <c r="L76" s="72"/>
      <c r="M76" s="72"/>
      <c r="N76" s="72"/>
      <c r="O76" s="72"/>
      <c r="P76" s="72"/>
      <c r="Q76" s="72"/>
      <c r="R76" s="72"/>
    </row>
    <row r="77">
      <c r="A77" s="79">
        <f t="shared" si="1"/>
        <v>75</v>
      </c>
      <c r="B77" s="306" t="s">
        <v>4543</v>
      </c>
      <c r="C77" s="296" t="s">
        <v>4442</v>
      </c>
      <c r="D77" s="296" t="s">
        <v>4442</v>
      </c>
      <c r="E77" s="296" t="s">
        <v>4442</v>
      </c>
      <c r="F77" s="296" t="s">
        <v>4442</v>
      </c>
      <c r="G77" s="296" t="s">
        <v>4442</v>
      </c>
      <c r="H77" s="307" t="s">
        <v>4542</v>
      </c>
      <c r="I77" s="72"/>
      <c r="J77" s="72"/>
      <c r="K77" s="72"/>
      <c r="L77" s="72"/>
      <c r="M77" s="72"/>
      <c r="N77" s="72"/>
      <c r="O77" s="72"/>
      <c r="P77" s="72"/>
      <c r="Q77" s="72"/>
      <c r="R77" s="72"/>
    </row>
    <row r="78">
      <c r="A78" s="79">
        <f t="shared" si="1"/>
        <v>76</v>
      </c>
      <c r="B78" s="291" t="s">
        <v>4544</v>
      </c>
      <c r="C78" s="311"/>
      <c r="D78" s="311"/>
      <c r="E78" s="311"/>
      <c r="F78" s="311"/>
      <c r="G78" s="311"/>
      <c r="H78" s="301" t="s">
        <v>4500</v>
      </c>
      <c r="I78" s="72"/>
      <c r="J78" s="72"/>
      <c r="K78" s="72"/>
      <c r="L78" s="72"/>
      <c r="M78" s="72"/>
      <c r="N78" s="72"/>
      <c r="O78" s="72"/>
      <c r="P78" s="72"/>
      <c r="Q78" s="72"/>
      <c r="R78" s="72"/>
    </row>
    <row r="79">
      <c r="A79" s="79">
        <f t="shared" si="1"/>
        <v>77</v>
      </c>
      <c r="B79" s="294" t="s">
        <v>4545</v>
      </c>
      <c r="C79" s="295" t="s">
        <v>4441</v>
      </c>
      <c r="D79" s="296" t="s">
        <v>4442</v>
      </c>
      <c r="E79" s="295" t="s">
        <v>4441</v>
      </c>
      <c r="F79" s="296" t="s">
        <v>4442</v>
      </c>
      <c r="G79" s="296" t="s">
        <v>4442</v>
      </c>
      <c r="H79" s="302" t="s">
        <v>4502</v>
      </c>
      <c r="I79" s="72"/>
      <c r="J79" s="72"/>
      <c r="K79" s="72"/>
      <c r="L79" s="72"/>
      <c r="M79" s="72"/>
      <c r="N79" s="72"/>
      <c r="O79" s="72"/>
      <c r="P79" s="72"/>
      <c r="Q79" s="72"/>
      <c r="R79" s="72"/>
    </row>
    <row r="80">
      <c r="A80" s="79">
        <f t="shared" si="1"/>
        <v>78</v>
      </c>
      <c r="B80" s="294" t="s">
        <v>4546</v>
      </c>
      <c r="C80" s="295" t="s">
        <v>4441</v>
      </c>
      <c r="D80" s="296" t="s">
        <v>4442</v>
      </c>
      <c r="E80" s="295" t="s">
        <v>4441</v>
      </c>
      <c r="F80" s="296" t="s">
        <v>4442</v>
      </c>
      <c r="G80" s="296" t="s">
        <v>4442</v>
      </c>
      <c r="H80" s="302" t="s">
        <v>4502</v>
      </c>
      <c r="I80" s="72"/>
      <c r="J80" s="72"/>
      <c r="K80" s="72"/>
      <c r="L80" s="72"/>
      <c r="M80" s="72"/>
      <c r="N80" s="72"/>
      <c r="O80" s="72"/>
      <c r="P80" s="72"/>
      <c r="Q80" s="72"/>
      <c r="R80" s="72"/>
    </row>
    <row r="81">
      <c r="A81" s="79">
        <f t="shared" si="1"/>
        <v>79</v>
      </c>
      <c r="B81" s="294" t="s">
        <v>4547</v>
      </c>
      <c r="C81" s="295" t="s">
        <v>4441</v>
      </c>
      <c r="D81" s="296" t="s">
        <v>4442</v>
      </c>
      <c r="E81" s="295" t="s">
        <v>4441</v>
      </c>
      <c r="F81" s="296" t="s">
        <v>4442</v>
      </c>
      <c r="G81" s="296" t="s">
        <v>4442</v>
      </c>
      <c r="H81" s="302" t="s">
        <v>4502</v>
      </c>
      <c r="I81" s="72"/>
      <c r="J81" s="72"/>
      <c r="K81" s="72"/>
      <c r="L81" s="72"/>
      <c r="M81" s="72"/>
      <c r="N81" s="72"/>
      <c r="O81" s="72"/>
      <c r="P81" s="72"/>
      <c r="Q81" s="72"/>
      <c r="R81" s="72"/>
    </row>
    <row r="82">
      <c r="A82" s="79">
        <f t="shared" si="1"/>
        <v>80</v>
      </c>
      <c r="B82" s="291" t="s">
        <v>39</v>
      </c>
      <c r="C82" s="311"/>
      <c r="D82" s="311"/>
      <c r="E82" s="311"/>
      <c r="F82" s="311"/>
      <c r="G82" s="311"/>
      <c r="H82" s="293" t="s">
        <v>4439</v>
      </c>
      <c r="I82" s="72"/>
      <c r="J82" s="72"/>
      <c r="K82" s="72"/>
      <c r="L82" s="72"/>
      <c r="M82" s="72"/>
      <c r="N82" s="72"/>
      <c r="O82" s="72"/>
      <c r="P82" s="72"/>
      <c r="Q82" s="72"/>
      <c r="R82" s="72"/>
    </row>
    <row r="83">
      <c r="A83" s="79">
        <f t="shared" si="1"/>
        <v>81</v>
      </c>
      <c r="B83" s="294" t="s">
        <v>4548</v>
      </c>
      <c r="C83" s="295" t="s">
        <v>4441</v>
      </c>
      <c r="D83" s="296" t="s">
        <v>4442</v>
      </c>
      <c r="E83" s="296" t="s">
        <v>4442</v>
      </c>
      <c r="F83" s="295" t="s">
        <v>4441</v>
      </c>
      <c r="G83" s="295" t="s">
        <v>4441</v>
      </c>
      <c r="H83" s="308" t="s">
        <v>4549</v>
      </c>
      <c r="I83" s="72"/>
      <c r="J83" s="72"/>
      <c r="K83" s="72"/>
      <c r="L83" s="72"/>
      <c r="M83" s="72"/>
      <c r="N83" s="72"/>
      <c r="O83" s="72"/>
      <c r="P83" s="72"/>
      <c r="Q83" s="72"/>
      <c r="R83" s="72"/>
    </row>
    <row r="84">
      <c r="A84" s="79">
        <f t="shared" si="1"/>
        <v>82</v>
      </c>
      <c r="B84" s="306" t="s">
        <v>4526</v>
      </c>
      <c r="C84" s="296" t="s">
        <v>4442</v>
      </c>
      <c r="D84" s="296" t="s">
        <v>4442</v>
      </c>
      <c r="E84" s="296" t="s">
        <v>4442</v>
      </c>
      <c r="F84" s="296" t="s">
        <v>4442</v>
      </c>
      <c r="G84" s="296" t="s">
        <v>4442</v>
      </c>
      <c r="H84" s="297" t="s">
        <v>4512</v>
      </c>
      <c r="I84" s="72"/>
      <c r="J84" s="72"/>
      <c r="K84" s="72"/>
      <c r="L84" s="72"/>
      <c r="M84" s="72"/>
      <c r="N84" s="72"/>
      <c r="O84" s="72"/>
      <c r="P84" s="72"/>
      <c r="Q84" s="72"/>
      <c r="R84" s="72"/>
    </row>
    <row r="85">
      <c r="A85" s="79">
        <f t="shared" si="1"/>
        <v>83</v>
      </c>
      <c r="B85" s="294" t="s">
        <v>4550</v>
      </c>
      <c r="C85" s="295" t="s">
        <v>4441</v>
      </c>
      <c r="D85" s="296" t="s">
        <v>4442</v>
      </c>
      <c r="E85" s="296" t="s">
        <v>4442</v>
      </c>
      <c r="F85" s="295" t="s">
        <v>4441</v>
      </c>
      <c r="G85" s="295" t="s">
        <v>4441</v>
      </c>
      <c r="H85" s="302" t="s">
        <v>1694</v>
      </c>
      <c r="I85" s="72"/>
      <c r="J85" s="72"/>
      <c r="K85" s="72"/>
      <c r="L85" s="72"/>
      <c r="M85" s="72"/>
      <c r="N85" s="72"/>
      <c r="O85" s="72"/>
      <c r="P85" s="72"/>
      <c r="Q85" s="72"/>
      <c r="R85" s="72"/>
    </row>
    <row r="86">
      <c r="A86" s="79">
        <f t="shared" si="1"/>
        <v>84</v>
      </c>
      <c r="B86" s="294" t="s">
        <v>4551</v>
      </c>
      <c r="C86" s="295" t="s">
        <v>4441</v>
      </c>
      <c r="D86" s="296" t="s">
        <v>4442</v>
      </c>
      <c r="E86" s="296" t="s">
        <v>4442</v>
      </c>
      <c r="F86" s="295" t="s">
        <v>4441</v>
      </c>
      <c r="G86" s="295" t="s">
        <v>4441</v>
      </c>
      <c r="H86" s="302" t="s">
        <v>1694</v>
      </c>
      <c r="I86" s="72"/>
      <c r="J86" s="72"/>
      <c r="K86" s="72"/>
      <c r="L86" s="72"/>
      <c r="M86" s="72"/>
      <c r="N86" s="72"/>
      <c r="O86" s="72"/>
      <c r="P86" s="72"/>
      <c r="Q86" s="72"/>
      <c r="R86" s="72"/>
    </row>
    <row r="87">
      <c r="A87" s="79">
        <f t="shared" si="1"/>
        <v>85</v>
      </c>
      <c r="B87" s="294" t="s">
        <v>4552</v>
      </c>
      <c r="C87" s="295" t="s">
        <v>4441</v>
      </c>
      <c r="D87" s="296" t="s">
        <v>4442</v>
      </c>
      <c r="E87" s="296" t="s">
        <v>4442</v>
      </c>
      <c r="F87" s="295" t="s">
        <v>4441</v>
      </c>
      <c r="G87" s="295" t="s">
        <v>4441</v>
      </c>
      <c r="H87" s="302" t="s">
        <v>1694</v>
      </c>
      <c r="I87" s="72"/>
      <c r="J87" s="72"/>
      <c r="K87" s="72"/>
      <c r="L87" s="72"/>
      <c r="M87" s="72"/>
      <c r="N87" s="72"/>
      <c r="O87" s="72"/>
      <c r="P87" s="72"/>
      <c r="Q87" s="72"/>
      <c r="R87" s="72"/>
    </row>
    <row r="88">
      <c r="A88" s="79">
        <f t="shared" si="1"/>
        <v>86</v>
      </c>
      <c r="B88" s="294" t="s">
        <v>4553</v>
      </c>
      <c r="C88" s="295" t="s">
        <v>4441</v>
      </c>
      <c r="D88" s="296" t="s">
        <v>4442</v>
      </c>
      <c r="E88" s="296" t="s">
        <v>4442</v>
      </c>
      <c r="F88" s="295" t="s">
        <v>4441</v>
      </c>
      <c r="G88" s="295" t="s">
        <v>4441</v>
      </c>
      <c r="H88" s="302" t="s">
        <v>1694</v>
      </c>
      <c r="I88" s="72"/>
      <c r="J88" s="72"/>
      <c r="K88" s="72"/>
      <c r="L88" s="72"/>
      <c r="M88" s="72"/>
      <c r="N88" s="72"/>
      <c r="O88" s="72"/>
      <c r="P88" s="72"/>
      <c r="Q88" s="72"/>
      <c r="R88" s="72"/>
    </row>
    <row r="89">
      <c r="A89" s="79">
        <f t="shared" si="1"/>
        <v>87</v>
      </c>
      <c r="B89" s="294" t="s">
        <v>4554</v>
      </c>
      <c r="C89" s="295" t="s">
        <v>4441</v>
      </c>
      <c r="D89" s="296" t="s">
        <v>4442</v>
      </c>
      <c r="E89" s="296" t="s">
        <v>4442</v>
      </c>
      <c r="F89" s="295" t="s">
        <v>4441</v>
      </c>
      <c r="G89" s="295" t="s">
        <v>4441</v>
      </c>
      <c r="H89" s="302" t="s">
        <v>1694</v>
      </c>
      <c r="I89" s="72"/>
      <c r="J89" s="72"/>
      <c r="K89" s="72"/>
      <c r="L89" s="72"/>
      <c r="M89" s="72"/>
      <c r="N89" s="72"/>
      <c r="O89" s="72"/>
      <c r="P89" s="72"/>
      <c r="Q89" s="72"/>
      <c r="R89" s="72"/>
    </row>
    <row r="90">
      <c r="A90" s="79">
        <f t="shared" si="1"/>
        <v>88</v>
      </c>
      <c r="B90" s="294" t="s">
        <v>4555</v>
      </c>
      <c r="C90" s="295" t="s">
        <v>4441</v>
      </c>
      <c r="D90" s="296" t="s">
        <v>4442</v>
      </c>
      <c r="E90" s="296" t="s">
        <v>4442</v>
      </c>
      <c r="F90" s="295" t="s">
        <v>4441</v>
      </c>
      <c r="G90" s="295" t="s">
        <v>4441</v>
      </c>
      <c r="H90" s="302" t="s">
        <v>1694</v>
      </c>
      <c r="I90" s="72"/>
      <c r="J90" s="72"/>
      <c r="K90" s="72"/>
      <c r="L90" s="72"/>
      <c r="M90" s="72"/>
      <c r="N90" s="72"/>
      <c r="O90" s="72"/>
      <c r="P90" s="72"/>
      <c r="Q90" s="72"/>
      <c r="R90" s="72"/>
    </row>
    <row r="91">
      <c r="A91" s="79">
        <f t="shared" si="1"/>
        <v>89</v>
      </c>
      <c r="B91" s="294" t="s">
        <v>4556</v>
      </c>
      <c r="C91" s="295" t="s">
        <v>4441</v>
      </c>
      <c r="D91" s="296" t="s">
        <v>4442</v>
      </c>
      <c r="E91" s="296" t="s">
        <v>4442</v>
      </c>
      <c r="F91" s="295" t="s">
        <v>4441</v>
      </c>
      <c r="G91" s="295" t="s">
        <v>4441</v>
      </c>
      <c r="H91" s="302" t="s">
        <v>1694</v>
      </c>
      <c r="I91" s="72"/>
      <c r="J91" s="72"/>
      <c r="K91" s="72"/>
      <c r="L91" s="72"/>
      <c r="M91" s="72"/>
      <c r="N91" s="72"/>
      <c r="O91" s="72"/>
      <c r="P91" s="72"/>
      <c r="Q91" s="72"/>
      <c r="R91" s="72"/>
    </row>
    <row r="92">
      <c r="A92" s="79">
        <f t="shared" si="1"/>
        <v>90</v>
      </c>
      <c r="B92" s="294" t="s">
        <v>4557</v>
      </c>
      <c r="C92" s="295" t="s">
        <v>4441</v>
      </c>
      <c r="D92" s="296" t="s">
        <v>4442</v>
      </c>
      <c r="E92" s="296" t="s">
        <v>4442</v>
      </c>
      <c r="F92" s="295" t="s">
        <v>4441</v>
      </c>
      <c r="G92" s="295" t="s">
        <v>4441</v>
      </c>
      <c r="H92" s="316" t="s">
        <v>4558</v>
      </c>
      <c r="I92" s="72"/>
      <c r="J92" s="72"/>
      <c r="K92" s="72"/>
      <c r="L92" s="72"/>
      <c r="M92" s="72"/>
      <c r="N92" s="72"/>
      <c r="O92" s="72"/>
      <c r="P92" s="72"/>
      <c r="Q92" s="72"/>
      <c r="R92" s="72"/>
    </row>
    <row r="93">
      <c r="A93" s="79">
        <f t="shared" si="1"/>
        <v>91</v>
      </c>
      <c r="B93" s="294" t="s">
        <v>4559</v>
      </c>
      <c r="C93" s="295" t="s">
        <v>4441</v>
      </c>
      <c r="D93" s="296" t="s">
        <v>4442</v>
      </c>
      <c r="E93" s="296" t="s">
        <v>4442</v>
      </c>
      <c r="F93" s="295" t="s">
        <v>4441</v>
      </c>
      <c r="G93" s="296" t="s">
        <v>4442</v>
      </c>
      <c r="H93" s="302" t="s">
        <v>1694</v>
      </c>
      <c r="I93" s="72"/>
      <c r="J93" s="72"/>
      <c r="K93" s="72"/>
      <c r="L93" s="72"/>
      <c r="M93" s="72"/>
      <c r="N93" s="72"/>
      <c r="O93" s="72"/>
      <c r="P93" s="72"/>
      <c r="Q93" s="72"/>
      <c r="R93" s="72"/>
    </row>
    <row r="94">
      <c r="A94" s="79">
        <f t="shared" si="1"/>
        <v>92</v>
      </c>
      <c r="B94" s="294" t="s">
        <v>4560</v>
      </c>
      <c r="C94" s="295" t="s">
        <v>4441</v>
      </c>
      <c r="D94" s="296" t="s">
        <v>4442</v>
      </c>
      <c r="E94" s="296" t="s">
        <v>4442</v>
      </c>
      <c r="F94" s="295" t="s">
        <v>4441</v>
      </c>
      <c r="G94" s="296" t="s">
        <v>4442</v>
      </c>
      <c r="H94" s="297" t="s">
        <v>4439</v>
      </c>
      <c r="I94" s="72"/>
      <c r="J94" s="72"/>
      <c r="K94" s="72"/>
      <c r="L94" s="72"/>
      <c r="M94" s="72"/>
      <c r="N94" s="72"/>
      <c r="O94" s="72"/>
      <c r="P94" s="72"/>
      <c r="Q94" s="72"/>
      <c r="R94" s="72"/>
    </row>
    <row r="95">
      <c r="A95" s="79">
        <f t="shared" si="1"/>
        <v>93</v>
      </c>
      <c r="B95" s="294" t="s">
        <v>4561</v>
      </c>
      <c r="C95" s="295" t="s">
        <v>4441</v>
      </c>
      <c r="D95" s="296" t="s">
        <v>4442</v>
      </c>
      <c r="E95" s="296" t="s">
        <v>4442</v>
      </c>
      <c r="F95" s="295" t="s">
        <v>4441</v>
      </c>
      <c r="G95" s="296" t="s">
        <v>4442</v>
      </c>
      <c r="H95" s="297" t="s">
        <v>4439</v>
      </c>
      <c r="I95" s="72"/>
      <c r="J95" s="72"/>
      <c r="K95" s="72"/>
      <c r="L95" s="72"/>
      <c r="M95" s="72"/>
      <c r="N95" s="72"/>
      <c r="O95" s="72"/>
      <c r="P95" s="72"/>
      <c r="Q95" s="72"/>
      <c r="R95" s="72"/>
    </row>
    <row r="96">
      <c r="A96" s="79">
        <f t="shared" si="1"/>
        <v>94</v>
      </c>
      <c r="B96" s="291" t="s">
        <v>4562</v>
      </c>
      <c r="C96" s="311"/>
      <c r="D96" s="311"/>
      <c r="E96" s="311"/>
      <c r="F96" s="311"/>
      <c r="G96" s="311"/>
      <c r="H96" s="293" t="s">
        <v>4439</v>
      </c>
      <c r="I96" s="72"/>
      <c r="J96" s="72"/>
      <c r="K96" s="72"/>
      <c r="L96" s="72"/>
      <c r="M96" s="72"/>
      <c r="N96" s="72"/>
      <c r="O96" s="72"/>
      <c r="P96" s="72"/>
      <c r="Q96" s="72"/>
      <c r="R96" s="72"/>
    </row>
    <row r="97">
      <c r="A97" s="79">
        <f t="shared" si="1"/>
        <v>95</v>
      </c>
      <c r="B97" s="294" t="s">
        <v>4563</v>
      </c>
      <c r="C97" s="295" t="s">
        <v>4441</v>
      </c>
      <c r="D97" s="296" t="s">
        <v>4442</v>
      </c>
      <c r="E97" s="296" t="s">
        <v>4442</v>
      </c>
      <c r="F97" s="295" t="s">
        <v>4441</v>
      </c>
      <c r="G97" s="295" t="s">
        <v>4441</v>
      </c>
      <c r="H97" s="297" t="s">
        <v>4439</v>
      </c>
      <c r="I97" s="72"/>
      <c r="J97" s="72"/>
      <c r="K97" s="72"/>
      <c r="L97" s="72"/>
      <c r="M97" s="72"/>
      <c r="N97" s="72"/>
      <c r="O97" s="72"/>
      <c r="P97" s="72"/>
      <c r="Q97" s="72"/>
      <c r="R97" s="72"/>
    </row>
    <row r="98">
      <c r="A98" s="79">
        <f t="shared" si="1"/>
        <v>96</v>
      </c>
      <c r="B98" s="294" t="s">
        <v>4564</v>
      </c>
      <c r="C98" s="295" t="s">
        <v>4441</v>
      </c>
      <c r="D98" s="296" t="s">
        <v>4442</v>
      </c>
      <c r="E98" s="296" t="s">
        <v>4442</v>
      </c>
      <c r="F98" s="295" t="s">
        <v>4441</v>
      </c>
      <c r="G98" s="295" t="s">
        <v>4441</v>
      </c>
      <c r="H98" s="297" t="s">
        <v>4439</v>
      </c>
      <c r="I98" s="72"/>
      <c r="J98" s="72"/>
      <c r="K98" s="72"/>
      <c r="L98" s="72"/>
      <c r="M98" s="72"/>
      <c r="N98" s="72"/>
      <c r="O98" s="72"/>
      <c r="P98" s="72"/>
      <c r="Q98" s="72"/>
      <c r="R98" s="72"/>
    </row>
    <row r="99">
      <c r="A99" s="79">
        <f t="shared" si="1"/>
        <v>97</v>
      </c>
      <c r="B99" s="294" t="s">
        <v>4565</v>
      </c>
      <c r="C99" s="295" t="s">
        <v>4441</v>
      </c>
      <c r="D99" s="296" t="s">
        <v>4442</v>
      </c>
      <c r="E99" s="296" t="s">
        <v>4442</v>
      </c>
      <c r="F99" s="295" t="s">
        <v>4441</v>
      </c>
      <c r="G99" s="295" t="s">
        <v>4441</v>
      </c>
      <c r="H99" s="297" t="s">
        <v>4439</v>
      </c>
      <c r="I99" s="72"/>
      <c r="J99" s="72"/>
      <c r="K99" s="72"/>
      <c r="L99" s="72"/>
      <c r="M99" s="72"/>
      <c r="N99" s="72"/>
      <c r="O99" s="72"/>
      <c r="P99" s="72"/>
      <c r="Q99" s="72"/>
      <c r="R99" s="72"/>
    </row>
    <row r="100">
      <c r="A100" s="79">
        <f t="shared" si="1"/>
        <v>98</v>
      </c>
      <c r="B100" s="294" t="s">
        <v>4566</v>
      </c>
      <c r="C100" s="295" t="s">
        <v>4441</v>
      </c>
      <c r="D100" s="296" t="s">
        <v>4442</v>
      </c>
      <c r="E100" s="296" t="s">
        <v>4442</v>
      </c>
      <c r="F100" s="295" t="s">
        <v>4441</v>
      </c>
      <c r="G100" s="295" t="s">
        <v>4441</v>
      </c>
      <c r="H100" s="297" t="s">
        <v>4439</v>
      </c>
      <c r="I100" s="72"/>
      <c r="J100" s="72"/>
      <c r="K100" s="72"/>
      <c r="L100" s="72"/>
      <c r="M100" s="72"/>
      <c r="N100" s="72"/>
      <c r="O100" s="72"/>
      <c r="P100" s="72"/>
      <c r="Q100" s="72"/>
      <c r="R100" s="72"/>
    </row>
    <row r="101">
      <c r="A101" s="79">
        <f t="shared" si="1"/>
        <v>99</v>
      </c>
      <c r="B101" s="294" t="s">
        <v>4567</v>
      </c>
      <c r="C101" s="295" t="s">
        <v>4441</v>
      </c>
      <c r="D101" s="296" t="s">
        <v>4442</v>
      </c>
      <c r="E101" s="296" t="s">
        <v>4442</v>
      </c>
      <c r="F101" s="295" t="s">
        <v>4441</v>
      </c>
      <c r="G101" s="295" t="s">
        <v>4441</v>
      </c>
      <c r="H101" s="297" t="s">
        <v>4439</v>
      </c>
      <c r="I101" s="72"/>
      <c r="J101" s="72"/>
      <c r="K101" s="72"/>
      <c r="L101" s="72"/>
      <c r="M101" s="72"/>
      <c r="N101" s="72"/>
      <c r="O101" s="72"/>
      <c r="P101" s="72"/>
      <c r="Q101" s="72"/>
      <c r="R101" s="72"/>
    </row>
    <row r="102">
      <c r="A102" s="79">
        <f t="shared" si="1"/>
        <v>100</v>
      </c>
      <c r="B102" s="291" t="s">
        <v>4568</v>
      </c>
      <c r="C102" s="311"/>
      <c r="D102" s="311"/>
      <c r="E102" s="311"/>
      <c r="F102" s="311"/>
      <c r="G102" s="311"/>
      <c r="H102" s="293" t="s">
        <v>4569</v>
      </c>
      <c r="I102" s="72"/>
      <c r="J102" s="72"/>
      <c r="K102" s="72"/>
      <c r="L102" s="72"/>
      <c r="M102" s="72"/>
      <c r="N102" s="72"/>
      <c r="O102" s="72"/>
      <c r="P102" s="72"/>
      <c r="Q102" s="72"/>
      <c r="R102" s="72"/>
    </row>
    <row r="103">
      <c r="A103" s="79">
        <f t="shared" si="1"/>
        <v>101</v>
      </c>
      <c r="B103" s="306" t="s">
        <v>4570</v>
      </c>
      <c r="C103" s="295" t="s">
        <v>4441</v>
      </c>
      <c r="D103" s="295" t="s">
        <v>4441</v>
      </c>
      <c r="E103" s="296" t="s">
        <v>4442</v>
      </c>
      <c r="F103" s="296" t="s">
        <v>4442</v>
      </c>
      <c r="G103" s="295" t="s">
        <v>4441</v>
      </c>
      <c r="H103" s="297" t="s">
        <v>4571</v>
      </c>
      <c r="I103" s="72"/>
      <c r="J103" s="72"/>
      <c r="K103" s="72"/>
      <c r="L103" s="72"/>
      <c r="M103" s="72"/>
      <c r="N103" s="72"/>
      <c r="O103" s="72"/>
      <c r="P103" s="72"/>
      <c r="Q103" s="72"/>
      <c r="R103" s="72"/>
    </row>
    <row r="104">
      <c r="A104" s="79">
        <f t="shared" si="1"/>
        <v>102</v>
      </c>
      <c r="B104" s="306" t="s">
        <v>4572</v>
      </c>
      <c r="C104" s="295"/>
      <c r="D104" s="296"/>
      <c r="E104" s="296"/>
      <c r="F104" s="295"/>
      <c r="G104" s="295"/>
      <c r="H104" s="297" t="s">
        <v>4439</v>
      </c>
      <c r="I104" s="72"/>
      <c r="J104" s="72"/>
      <c r="K104" s="72"/>
      <c r="L104" s="72"/>
      <c r="M104" s="72"/>
      <c r="N104" s="72"/>
      <c r="O104" s="72"/>
      <c r="P104" s="72"/>
      <c r="Q104" s="72"/>
      <c r="R104" s="72"/>
    </row>
    <row r="105">
      <c r="A105" s="79">
        <f t="shared" si="1"/>
        <v>103</v>
      </c>
      <c r="B105" s="306" t="s">
        <v>4573</v>
      </c>
      <c r="C105" s="295" t="s">
        <v>4441</v>
      </c>
      <c r="D105" s="296" t="s">
        <v>4442</v>
      </c>
      <c r="E105" s="296" t="s">
        <v>4442</v>
      </c>
      <c r="F105" s="295" t="s">
        <v>4441</v>
      </c>
      <c r="G105" s="295" t="s">
        <v>4441</v>
      </c>
      <c r="H105" s="297" t="s">
        <v>4574</v>
      </c>
      <c r="I105" s="72"/>
      <c r="J105" s="72"/>
      <c r="K105" s="72"/>
      <c r="L105" s="72"/>
      <c r="M105" s="72"/>
      <c r="N105" s="72"/>
      <c r="O105" s="72"/>
      <c r="P105" s="72"/>
      <c r="Q105" s="72"/>
      <c r="R105" s="72"/>
    </row>
    <row r="106">
      <c r="A106" s="79">
        <f t="shared" si="1"/>
        <v>104</v>
      </c>
      <c r="B106" s="306" t="s">
        <v>4575</v>
      </c>
      <c r="C106" s="295" t="s">
        <v>4441</v>
      </c>
      <c r="D106" s="296" t="s">
        <v>4442</v>
      </c>
      <c r="E106" s="296" t="s">
        <v>4442</v>
      </c>
      <c r="F106" s="295" t="s">
        <v>4441</v>
      </c>
      <c r="G106" s="295" t="s">
        <v>4441</v>
      </c>
      <c r="H106" s="297" t="s">
        <v>4574</v>
      </c>
      <c r="I106" s="72"/>
      <c r="J106" s="72"/>
      <c r="K106" s="72"/>
      <c r="L106" s="72"/>
      <c r="M106" s="72"/>
      <c r="N106" s="72"/>
      <c r="O106" s="72"/>
      <c r="P106" s="72"/>
      <c r="Q106" s="72"/>
      <c r="R106" s="72"/>
    </row>
    <row r="107">
      <c r="A107" s="79">
        <f t="shared" si="1"/>
        <v>105</v>
      </c>
      <c r="B107" s="294" t="s">
        <v>4576</v>
      </c>
      <c r="C107" s="295" t="s">
        <v>4441</v>
      </c>
      <c r="D107" s="296" t="s">
        <v>4442</v>
      </c>
      <c r="E107" s="296" t="s">
        <v>4442</v>
      </c>
      <c r="F107" s="295" t="s">
        <v>4441</v>
      </c>
      <c r="G107" s="295" t="s">
        <v>4441</v>
      </c>
      <c r="H107" s="302" t="s">
        <v>4577</v>
      </c>
      <c r="I107" s="72"/>
      <c r="J107" s="72"/>
      <c r="K107" s="72"/>
      <c r="L107" s="72"/>
      <c r="M107" s="72"/>
      <c r="N107" s="72"/>
      <c r="O107" s="72"/>
      <c r="P107" s="72"/>
      <c r="Q107" s="72"/>
      <c r="R107" s="72"/>
    </row>
    <row r="108">
      <c r="A108" s="79">
        <f t="shared" si="1"/>
        <v>106</v>
      </c>
      <c r="B108" s="291" t="s">
        <v>4578</v>
      </c>
      <c r="C108" s="311"/>
      <c r="D108" s="311"/>
      <c r="E108" s="311"/>
      <c r="F108" s="311"/>
      <c r="G108" s="311"/>
      <c r="H108" s="301" t="s">
        <v>4579</v>
      </c>
      <c r="I108" s="72"/>
      <c r="J108" s="72"/>
      <c r="K108" s="72"/>
      <c r="L108" s="72"/>
      <c r="M108" s="72"/>
      <c r="N108" s="72"/>
      <c r="O108" s="72"/>
      <c r="P108" s="72"/>
      <c r="Q108" s="72"/>
      <c r="R108" s="72"/>
    </row>
    <row r="109">
      <c r="A109" s="79">
        <f t="shared" si="1"/>
        <v>107</v>
      </c>
      <c r="B109" s="294" t="s">
        <v>4580</v>
      </c>
      <c r="C109" s="295" t="s">
        <v>4441</v>
      </c>
      <c r="D109" s="296" t="s">
        <v>4442</v>
      </c>
      <c r="E109" s="296" t="s">
        <v>4442</v>
      </c>
      <c r="F109" s="295" t="s">
        <v>4441</v>
      </c>
      <c r="G109" s="296" t="s">
        <v>4442</v>
      </c>
      <c r="H109" s="302" t="s">
        <v>4577</v>
      </c>
      <c r="I109" s="72"/>
      <c r="J109" s="72"/>
      <c r="K109" s="72"/>
      <c r="L109" s="72"/>
      <c r="M109" s="72"/>
      <c r="N109" s="72"/>
      <c r="O109" s="72"/>
      <c r="P109" s="72"/>
      <c r="Q109" s="72"/>
      <c r="R109" s="72"/>
    </row>
    <row r="110">
      <c r="A110" s="79">
        <f t="shared" si="1"/>
        <v>108</v>
      </c>
      <c r="B110" s="291" t="s">
        <v>125</v>
      </c>
      <c r="C110" s="311"/>
      <c r="D110" s="311"/>
      <c r="E110" s="311"/>
      <c r="F110" s="311"/>
      <c r="G110" s="311"/>
      <c r="H110" s="301" t="s">
        <v>4579</v>
      </c>
      <c r="I110" s="72"/>
      <c r="J110" s="72"/>
      <c r="K110" s="72"/>
      <c r="L110" s="72"/>
      <c r="M110" s="72"/>
      <c r="N110" s="72"/>
      <c r="O110" s="72"/>
      <c r="P110" s="72"/>
      <c r="Q110" s="72"/>
      <c r="R110" s="72"/>
    </row>
    <row r="111">
      <c r="A111" s="79">
        <f t="shared" si="1"/>
        <v>109</v>
      </c>
      <c r="B111" s="294" t="s">
        <v>4581</v>
      </c>
      <c r="C111" s="295" t="s">
        <v>4441</v>
      </c>
      <c r="D111" s="296" t="s">
        <v>4442</v>
      </c>
      <c r="E111" s="296" t="s">
        <v>4442</v>
      </c>
      <c r="F111" s="295" t="s">
        <v>4441</v>
      </c>
      <c r="G111" s="296" t="s">
        <v>4442</v>
      </c>
      <c r="H111" s="302" t="s">
        <v>4577</v>
      </c>
      <c r="I111" s="72"/>
      <c r="J111" s="72"/>
      <c r="K111" s="72"/>
      <c r="L111" s="72"/>
      <c r="M111" s="72"/>
      <c r="N111" s="72"/>
      <c r="O111" s="72"/>
      <c r="P111" s="72"/>
      <c r="Q111" s="72"/>
      <c r="R111" s="72"/>
    </row>
    <row r="112">
      <c r="A112" s="79">
        <f t="shared" si="1"/>
        <v>110</v>
      </c>
      <c r="B112" s="291" t="s">
        <v>320</v>
      </c>
      <c r="C112" s="311"/>
      <c r="D112" s="311"/>
      <c r="E112" s="311"/>
      <c r="F112" s="311"/>
      <c r="G112" s="311"/>
      <c r="H112" s="301" t="s">
        <v>4582</v>
      </c>
      <c r="I112" s="72"/>
      <c r="J112" s="72"/>
      <c r="K112" s="72"/>
      <c r="L112" s="72"/>
      <c r="M112" s="72"/>
      <c r="N112" s="72"/>
      <c r="O112" s="72"/>
      <c r="P112" s="72"/>
      <c r="Q112" s="72"/>
      <c r="R112" s="72"/>
    </row>
    <row r="113">
      <c r="A113" s="79">
        <f t="shared" si="1"/>
        <v>111</v>
      </c>
      <c r="B113" s="294" t="s">
        <v>4583</v>
      </c>
      <c r="C113" s="295" t="s">
        <v>4441</v>
      </c>
      <c r="D113" s="296" t="s">
        <v>4442</v>
      </c>
      <c r="E113" s="296" t="s">
        <v>4442</v>
      </c>
      <c r="F113" s="295" t="s">
        <v>4441</v>
      </c>
      <c r="G113" s="295" t="s">
        <v>4441</v>
      </c>
      <c r="H113" s="302" t="s">
        <v>4530</v>
      </c>
      <c r="I113" s="72"/>
      <c r="J113" s="72"/>
      <c r="K113" s="72"/>
      <c r="L113" s="72"/>
      <c r="M113" s="72"/>
      <c r="N113" s="72"/>
      <c r="O113" s="72"/>
      <c r="P113" s="72"/>
      <c r="Q113" s="72"/>
      <c r="R113" s="72"/>
    </row>
    <row r="114">
      <c r="A114" s="79">
        <f t="shared" si="1"/>
        <v>112</v>
      </c>
      <c r="B114" s="294" t="s">
        <v>4584</v>
      </c>
      <c r="C114" s="295" t="s">
        <v>4441</v>
      </c>
      <c r="D114" s="296" t="s">
        <v>4442</v>
      </c>
      <c r="E114" s="296" t="s">
        <v>4442</v>
      </c>
      <c r="F114" s="295" t="s">
        <v>4441</v>
      </c>
      <c r="G114" s="296" t="s">
        <v>4442</v>
      </c>
      <c r="H114" s="302" t="s">
        <v>4530</v>
      </c>
      <c r="I114" s="72"/>
      <c r="J114" s="72"/>
      <c r="K114" s="72"/>
      <c r="L114" s="72"/>
      <c r="M114" s="72"/>
      <c r="N114" s="72"/>
      <c r="O114" s="72"/>
      <c r="P114" s="72"/>
      <c r="Q114" s="72"/>
      <c r="R114" s="72"/>
    </row>
    <row r="115">
      <c r="A115" s="79">
        <f t="shared" si="1"/>
        <v>113</v>
      </c>
      <c r="B115" s="291" t="s">
        <v>188</v>
      </c>
      <c r="C115" s="311"/>
      <c r="D115" s="311"/>
      <c r="E115" s="311"/>
      <c r="F115" s="311"/>
      <c r="G115" s="311"/>
      <c r="H115" s="301" t="s">
        <v>4585</v>
      </c>
      <c r="I115" s="72"/>
      <c r="J115" s="72"/>
      <c r="K115" s="72"/>
      <c r="L115" s="72"/>
      <c r="M115" s="72"/>
      <c r="N115" s="72"/>
      <c r="O115" s="72"/>
      <c r="P115" s="72"/>
      <c r="Q115" s="72"/>
      <c r="R115" s="72"/>
    </row>
    <row r="116">
      <c r="A116" s="79">
        <f t="shared" si="1"/>
        <v>114</v>
      </c>
      <c r="B116" s="294" t="s">
        <v>4586</v>
      </c>
      <c r="C116" s="295" t="s">
        <v>4441</v>
      </c>
      <c r="D116" s="296" t="s">
        <v>4442</v>
      </c>
      <c r="E116" s="296" t="s">
        <v>4442</v>
      </c>
      <c r="F116" s="295" t="s">
        <v>4441</v>
      </c>
      <c r="G116" s="296" t="s">
        <v>4442</v>
      </c>
      <c r="H116" s="302" t="s">
        <v>4558</v>
      </c>
      <c r="I116" s="72"/>
      <c r="J116" s="72"/>
      <c r="K116" s="72"/>
      <c r="L116" s="72"/>
      <c r="M116" s="72"/>
      <c r="N116" s="72"/>
      <c r="O116" s="72"/>
      <c r="P116" s="72"/>
      <c r="Q116" s="72"/>
      <c r="R116" s="72"/>
    </row>
    <row r="117">
      <c r="A117" s="79">
        <f t="shared" si="1"/>
        <v>115</v>
      </c>
      <c r="B117" s="294" t="s">
        <v>4587</v>
      </c>
      <c r="C117" s="295" t="s">
        <v>4441</v>
      </c>
      <c r="D117" s="296" t="s">
        <v>4442</v>
      </c>
      <c r="E117" s="296" t="s">
        <v>4442</v>
      </c>
      <c r="F117" s="295" t="s">
        <v>4441</v>
      </c>
      <c r="G117" s="296" t="s">
        <v>4442</v>
      </c>
      <c r="H117" s="302" t="s">
        <v>4558</v>
      </c>
      <c r="I117" s="72"/>
      <c r="J117" s="72"/>
      <c r="K117" s="72"/>
      <c r="L117" s="72"/>
      <c r="M117" s="72"/>
      <c r="N117" s="72"/>
      <c r="O117" s="72"/>
      <c r="P117" s="72"/>
      <c r="Q117" s="72"/>
      <c r="R117" s="72"/>
    </row>
    <row r="118">
      <c r="A118" s="79">
        <f t="shared" si="1"/>
        <v>116</v>
      </c>
      <c r="B118" s="291" t="s">
        <v>4588</v>
      </c>
      <c r="C118" s="311"/>
      <c r="D118" s="311"/>
      <c r="E118" s="311"/>
      <c r="F118" s="311"/>
      <c r="G118" s="311"/>
      <c r="H118" s="317" t="s">
        <v>4589</v>
      </c>
      <c r="I118" s="72"/>
      <c r="J118" s="72"/>
      <c r="K118" s="72"/>
      <c r="L118" s="72"/>
      <c r="M118" s="72"/>
      <c r="N118" s="72"/>
      <c r="O118" s="72"/>
      <c r="P118" s="72"/>
      <c r="Q118" s="72"/>
      <c r="R118" s="72"/>
    </row>
    <row r="119">
      <c r="A119" s="79">
        <f t="shared" si="1"/>
        <v>117</v>
      </c>
      <c r="B119" s="294" t="s">
        <v>4590</v>
      </c>
      <c r="C119" s="295" t="s">
        <v>4441</v>
      </c>
      <c r="D119" s="296" t="s">
        <v>4442</v>
      </c>
      <c r="E119" s="296" t="s">
        <v>4442</v>
      </c>
      <c r="F119" s="295" t="s">
        <v>4441</v>
      </c>
      <c r="G119" s="296" t="s">
        <v>4442</v>
      </c>
      <c r="H119" s="310" t="s">
        <v>1694</v>
      </c>
      <c r="I119" s="72"/>
      <c r="J119" s="72"/>
      <c r="K119" s="72"/>
      <c r="L119" s="72"/>
      <c r="M119" s="72"/>
      <c r="N119" s="72"/>
      <c r="O119" s="72"/>
      <c r="P119" s="72"/>
      <c r="Q119" s="72"/>
      <c r="R119" s="72"/>
    </row>
    <row r="120">
      <c r="A120" s="79">
        <f t="shared" si="1"/>
        <v>118</v>
      </c>
      <c r="B120" s="294" t="s">
        <v>4591</v>
      </c>
      <c r="C120" s="295" t="s">
        <v>4441</v>
      </c>
      <c r="D120" s="296" t="s">
        <v>4442</v>
      </c>
      <c r="E120" s="296" t="s">
        <v>4442</v>
      </c>
      <c r="F120" s="295" t="s">
        <v>4441</v>
      </c>
      <c r="G120" s="296" t="s">
        <v>4442</v>
      </c>
      <c r="H120" s="310" t="s">
        <v>1694</v>
      </c>
      <c r="I120" s="72"/>
      <c r="J120" s="72"/>
      <c r="K120" s="72"/>
      <c r="L120" s="72"/>
      <c r="M120" s="72"/>
      <c r="N120" s="72"/>
      <c r="O120" s="72"/>
      <c r="P120" s="72"/>
      <c r="Q120" s="72"/>
      <c r="R120" s="72"/>
    </row>
    <row r="121">
      <c r="A121" s="79">
        <f t="shared" si="1"/>
        <v>119</v>
      </c>
      <c r="B121" s="291" t="s">
        <v>4592</v>
      </c>
      <c r="C121" s="311"/>
      <c r="D121" s="311"/>
      <c r="E121" s="311"/>
      <c r="F121" s="311"/>
      <c r="G121" s="311"/>
      <c r="H121" s="293" t="s">
        <v>4439</v>
      </c>
      <c r="I121" s="72"/>
      <c r="J121" s="72"/>
      <c r="K121" s="72"/>
      <c r="L121" s="72"/>
      <c r="M121" s="72"/>
      <c r="N121" s="72"/>
      <c r="O121" s="72"/>
      <c r="P121" s="72"/>
      <c r="Q121" s="72"/>
      <c r="R121" s="72"/>
    </row>
    <row r="122">
      <c r="A122" s="79">
        <f t="shared" si="1"/>
        <v>120</v>
      </c>
      <c r="B122" s="294" t="s">
        <v>4593</v>
      </c>
      <c r="C122" s="295" t="s">
        <v>4441</v>
      </c>
      <c r="D122" s="296" t="s">
        <v>4442</v>
      </c>
      <c r="E122" s="296" t="s">
        <v>4442</v>
      </c>
      <c r="F122" s="295" t="s">
        <v>4441</v>
      </c>
      <c r="G122" s="295" t="s">
        <v>4441</v>
      </c>
      <c r="H122" s="297" t="s">
        <v>4439</v>
      </c>
      <c r="I122" s="72"/>
      <c r="J122" s="72"/>
      <c r="K122" s="72"/>
      <c r="L122" s="72"/>
      <c r="M122" s="72"/>
      <c r="N122" s="72"/>
      <c r="O122" s="72"/>
      <c r="P122" s="72"/>
      <c r="Q122" s="72"/>
      <c r="R122" s="72"/>
    </row>
    <row r="123">
      <c r="A123" s="79">
        <f t="shared" si="1"/>
        <v>121</v>
      </c>
      <c r="B123" s="294" t="s">
        <v>4594</v>
      </c>
      <c r="C123" s="295" t="s">
        <v>4441</v>
      </c>
      <c r="D123" s="296" t="s">
        <v>4442</v>
      </c>
      <c r="E123" s="296" t="s">
        <v>4442</v>
      </c>
      <c r="F123" s="295" t="s">
        <v>4441</v>
      </c>
      <c r="G123" s="295" t="s">
        <v>4441</v>
      </c>
      <c r="H123" s="297" t="s">
        <v>4439</v>
      </c>
      <c r="I123" s="72"/>
      <c r="J123" s="72"/>
      <c r="K123" s="72"/>
      <c r="L123" s="72"/>
      <c r="M123" s="72"/>
      <c r="N123" s="72"/>
      <c r="O123" s="72"/>
      <c r="P123" s="72"/>
      <c r="Q123" s="72"/>
      <c r="R123" s="72"/>
    </row>
    <row r="124">
      <c r="A124" s="79">
        <f t="shared" si="1"/>
        <v>122</v>
      </c>
      <c r="B124" s="294" t="s">
        <v>4595</v>
      </c>
      <c r="C124" s="295" t="s">
        <v>4441</v>
      </c>
      <c r="D124" s="296" t="s">
        <v>4442</v>
      </c>
      <c r="E124" s="296" t="s">
        <v>4442</v>
      </c>
      <c r="F124" s="295" t="s">
        <v>4441</v>
      </c>
      <c r="G124" s="295" t="s">
        <v>4441</v>
      </c>
      <c r="H124" s="297" t="s">
        <v>4439</v>
      </c>
      <c r="I124" s="72"/>
      <c r="J124" s="72"/>
      <c r="K124" s="72"/>
      <c r="L124" s="72"/>
      <c r="M124" s="72"/>
      <c r="N124" s="72"/>
      <c r="O124" s="72"/>
      <c r="P124" s="72"/>
      <c r="Q124" s="72"/>
      <c r="R124" s="72"/>
    </row>
    <row r="125">
      <c r="A125" s="79">
        <f t="shared" si="1"/>
        <v>123</v>
      </c>
      <c r="B125" s="294" t="s">
        <v>4596</v>
      </c>
      <c r="C125" s="295" t="s">
        <v>4441</v>
      </c>
      <c r="D125" s="296" t="s">
        <v>4442</v>
      </c>
      <c r="E125" s="296" t="s">
        <v>4442</v>
      </c>
      <c r="F125" s="295" t="s">
        <v>4441</v>
      </c>
      <c r="G125" s="295" t="s">
        <v>4441</v>
      </c>
      <c r="H125" s="297" t="s">
        <v>4439</v>
      </c>
      <c r="I125" s="72"/>
      <c r="J125" s="72"/>
      <c r="K125" s="72"/>
      <c r="L125" s="72"/>
      <c r="M125" s="72"/>
      <c r="N125" s="72"/>
      <c r="O125" s="72"/>
      <c r="P125" s="72"/>
      <c r="Q125" s="72"/>
      <c r="R125" s="72"/>
    </row>
    <row r="126">
      <c r="A126" s="79">
        <f t="shared" si="1"/>
        <v>124</v>
      </c>
      <c r="B126" s="291" t="s">
        <v>266</v>
      </c>
      <c r="C126" s="311"/>
      <c r="D126" s="311"/>
      <c r="E126" s="311"/>
      <c r="F126" s="311"/>
      <c r="G126" s="311"/>
      <c r="H126" s="301" t="s">
        <v>4597</v>
      </c>
      <c r="I126" s="72"/>
      <c r="J126" s="72"/>
      <c r="K126" s="72"/>
      <c r="L126" s="72"/>
      <c r="M126" s="72"/>
      <c r="N126" s="72"/>
      <c r="O126" s="72"/>
      <c r="P126" s="72"/>
      <c r="Q126" s="72"/>
      <c r="R126" s="72"/>
    </row>
    <row r="127">
      <c r="A127" s="79">
        <f t="shared" si="1"/>
        <v>125</v>
      </c>
      <c r="B127" s="294" t="s">
        <v>4573</v>
      </c>
      <c r="C127" s="295" t="s">
        <v>4441</v>
      </c>
      <c r="D127" s="296" t="s">
        <v>4442</v>
      </c>
      <c r="E127" s="296" t="s">
        <v>4442</v>
      </c>
      <c r="F127" s="295" t="s">
        <v>4441</v>
      </c>
      <c r="G127" s="295" t="s">
        <v>4441</v>
      </c>
      <c r="H127" s="318" t="s">
        <v>4598</v>
      </c>
      <c r="I127" s="72"/>
      <c r="J127" s="72"/>
      <c r="K127" s="72"/>
      <c r="L127" s="72"/>
      <c r="M127" s="72"/>
      <c r="N127" s="72"/>
      <c r="O127" s="72"/>
      <c r="P127" s="72"/>
      <c r="Q127" s="72"/>
      <c r="R127" s="72"/>
    </row>
    <row r="128">
      <c r="A128" s="79">
        <f t="shared" si="1"/>
        <v>126</v>
      </c>
      <c r="B128" s="294" t="s">
        <v>4575</v>
      </c>
      <c r="C128" s="295" t="s">
        <v>4441</v>
      </c>
      <c r="D128" s="296" t="s">
        <v>4442</v>
      </c>
      <c r="E128" s="296" t="s">
        <v>4442</v>
      </c>
      <c r="F128" s="295" t="s">
        <v>4441</v>
      </c>
      <c r="G128" s="295" t="s">
        <v>4441</v>
      </c>
      <c r="H128" s="318" t="s">
        <v>4598</v>
      </c>
      <c r="I128" s="72"/>
      <c r="J128" s="72"/>
      <c r="K128" s="72"/>
      <c r="L128" s="72"/>
      <c r="M128" s="72"/>
      <c r="N128" s="72"/>
      <c r="O128" s="72"/>
      <c r="P128" s="72"/>
      <c r="Q128" s="72"/>
      <c r="R128" s="72"/>
    </row>
    <row r="129">
      <c r="A129" s="79">
        <f t="shared" si="1"/>
        <v>127</v>
      </c>
      <c r="B129" s="291" t="s">
        <v>235</v>
      </c>
      <c r="C129" s="311"/>
      <c r="D129" s="311"/>
      <c r="E129" s="311"/>
      <c r="F129" s="311"/>
      <c r="G129" s="311"/>
      <c r="H129" s="299" t="s">
        <v>4599</v>
      </c>
      <c r="I129" s="72"/>
      <c r="J129" s="72"/>
      <c r="K129" s="72"/>
      <c r="L129" s="72"/>
      <c r="M129" s="72"/>
      <c r="N129" s="72"/>
      <c r="O129" s="72"/>
      <c r="P129" s="72"/>
      <c r="Q129" s="72"/>
      <c r="R129" s="72"/>
    </row>
    <row r="130">
      <c r="A130" s="79">
        <f t="shared" si="1"/>
        <v>128</v>
      </c>
      <c r="B130" s="294" t="s">
        <v>4600</v>
      </c>
      <c r="C130" s="295" t="s">
        <v>4441</v>
      </c>
      <c r="D130" s="296" t="s">
        <v>4442</v>
      </c>
      <c r="E130" s="296" t="s">
        <v>4442</v>
      </c>
      <c r="F130" s="295" t="s">
        <v>4441</v>
      </c>
      <c r="G130" s="295" t="s">
        <v>4441</v>
      </c>
      <c r="H130" s="309" t="s">
        <v>1694</v>
      </c>
      <c r="I130" s="72"/>
      <c r="J130" s="72"/>
      <c r="K130" s="72"/>
      <c r="L130" s="72"/>
      <c r="M130" s="72"/>
      <c r="N130" s="72"/>
      <c r="O130" s="72"/>
      <c r="P130" s="72"/>
      <c r="Q130" s="72"/>
      <c r="R130" s="72"/>
    </row>
    <row r="131">
      <c r="A131" s="79">
        <f t="shared" si="1"/>
        <v>129</v>
      </c>
      <c r="B131" s="294" t="s">
        <v>4601</v>
      </c>
      <c r="C131" s="295" t="s">
        <v>4441</v>
      </c>
      <c r="D131" s="296" t="s">
        <v>4442</v>
      </c>
      <c r="E131" s="296" t="s">
        <v>4442</v>
      </c>
      <c r="F131" s="295" t="s">
        <v>4441</v>
      </c>
      <c r="G131" s="295" t="s">
        <v>4441</v>
      </c>
      <c r="H131" s="297" t="s">
        <v>4439</v>
      </c>
      <c r="I131" s="72"/>
      <c r="J131" s="72"/>
      <c r="K131" s="72"/>
      <c r="L131" s="72"/>
      <c r="M131" s="72"/>
      <c r="N131" s="72"/>
      <c r="O131" s="72"/>
      <c r="P131" s="72"/>
      <c r="Q131" s="72"/>
      <c r="R131" s="72"/>
    </row>
    <row r="132">
      <c r="A132" s="79">
        <f t="shared" si="1"/>
        <v>130</v>
      </c>
      <c r="B132" s="294" t="s">
        <v>4602</v>
      </c>
      <c r="C132" s="295" t="s">
        <v>4441</v>
      </c>
      <c r="D132" s="296" t="s">
        <v>4442</v>
      </c>
      <c r="E132" s="296" t="s">
        <v>4442</v>
      </c>
      <c r="F132" s="295" t="s">
        <v>4441</v>
      </c>
      <c r="G132" s="295" t="s">
        <v>4441</v>
      </c>
      <c r="H132" s="297" t="s">
        <v>4439</v>
      </c>
      <c r="I132" s="72"/>
      <c r="J132" s="72"/>
      <c r="K132" s="72"/>
      <c r="L132" s="72"/>
      <c r="M132" s="72"/>
      <c r="N132" s="72"/>
      <c r="O132" s="72"/>
      <c r="P132" s="72"/>
      <c r="Q132" s="72"/>
      <c r="R132" s="72"/>
    </row>
    <row r="133">
      <c r="A133" s="79">
        <f t="shared" si="1"/>
        <v>131</v>
      </c>
      <c r="B133" s="294" t="s">
        <v>4603</v>
      </c>
      <c r="C133" s="295" t="s">
        <v>4441</v>
      </c>
      <c r="D133" s="296" t="s">
        <v>4442</v>
      </c>
      <c r="E133" s="296" t="s">
        <v>4442</v>
      </c>
      <c r="F133" s="295" t="s">
        <v>4441</v>
      </c>
      <c r="G133" s="295" t="s">
        <v>4441</v>
      </c>
      <c r="H133" s="297" t="s">
        <v>4604</v>
      </c>
      <c r="I133" s="72"/>
      <c r="J133" s="72"/>
      <c r="K133" s="72"/>
      <c r="L133" s="72"/>
      <c r="M133" s="72"/>
      <c r="N133" s="72"/>
      <c r="O133" s="72"/>
      <c r="P133" s="72"/>
      <c r="Q133" s="72"/>
      <c r="R133" s="72"/>
    </row>
    <row r="134">
      <c r="A134" s="79">
        <f t="shared" si="1"/>
        <v>132</v>
      </c>
      <c r="B134" s="294" t="s">
        <v>4605</v>
      </c>
      <c r="C134" s="295" t="s">
        <v>4441</v>
      </c>
      <c r="D134" s="296" t="s">
        <v>4442</v>
      </c>
      <c r="E134" s="296" t="s">
        <v>4442</v>
      </c>
      <c r="F134" s="295" t="s">
        <v>4441</v>
      </c>
      <c r="G134" s="295" t="s">
        <v>4441</v>
      </c>
      <c r="H134" s="297" t="s">
        <v>4439</v>
      </c>
      <c r="I134" s="72"/>
      <c r="J134" s="72"/>
      <c r="K134" s="72"/>
      <c r="L134" s="72"/>
      <c r="M134" s="72"/>
      <c r="N134" s="72"/>
      <c r="O134" s="72"/>
      <c r="P134" s="72"/>
      <c r="Q134" s="72"/>
      <c r="R134" s="72"/>
    </row>
    <row r="135">
      <c r="A135" s="79">
        <f t="shared" si="1"/>
        <v>133</v>
      </c>
      <c r="B135" s="291" t="s">
        <v>323</v>
      </c>
      <c r="C135" s="311"/>
      <c r="D135" s="311"/>
      <c r="E135" s="311"/>
      <c r="F135" s="311"/>
      <c r="G135" s="311"/>
      <c r="H135" s="301" t="s">
        <v>4579</v>
      </c>
      <c r="I135" s="72"/>
      <c r="J135" s="72"/>
      <c r="K135" s="72"/>
      <c r="L135" s="72"/>
      <c r="M135" s="72"/>
      <c r="N135" s="72"/>
      <c r="O135" s="72"/>
      <c r="P135" s="72"/>
      <c r="Q135" s="72"/>
      <c r="R135" s="72"/>
    </row>
    <row r="136">
      <c r="A136" s="79">
        <f t="shared" si="1"/>
        <v>134</v>
      </c>
      <c r="B136" s="294" t="s">
        <v>4593</v>
      </c>
      <c r="C136" s="295" t="s">
        <v>4441</v>
      </c>
      <c r="D136" s="296" t="s">
        <v>4442</v>
      </c>
      <c r="E136" s="296" t="s">
        <v>4442</v>
      </c>
      <c r="F136" s="295" t="s">
        <v>4441</v>
      </c>
      <c r="G136" s="295" t="s">
        <v>4441</v>
      </c>
      <c r="H136" s="302" t="s">
        <v>4577</v>
      </c>
      <c r="I136" s="72"/>
      <c r="J136" s="72"/>
      <c r="K136" s="72"/>
      <c r="L136" s="72"/>
      <c r="M136" s="72"/>
      <c r="N136" s="72"/>
      <c r="O136" s="72"/>
      <c r="P136" s="72"/>
      <c r="Q136" s="72"/>
      <c r="R136" s="72"/>
    </row>
    <row r="137">
      <c r="A137" s="79">
        <f t="shared" si="1"/>
        <v>135</v>
      </c>
      <c r="B137" s="294" t="s">
        <v>4606</v>
      </c>
      <c r="C137" s="295" t="s">
        <v>4441</v>
      </c>
      <c r="D137" s="296" t="s">
        <v>4442</v>
      </c>
      <c r="E137" s="296" t="s">
        <v>4442</v>
      </c>
      <c r="F137" s="295" t="s">
        <v>4441</v>
      </c>
      <c r="G137" s="295" t="s">
        <v>4441</v>
      </c>
      <c r="H137" s="302" t="s">
        <v>4577</v>
      </c>
      <c r="I137" s="72"/>
      <c r="J137" s="72"/>
      <c r="K137" s="72"/>
      <c r="L137" s="72"/>
      <c r="M137" s="72"/>
      <c r="N137" s="72"/>
      <c r="O137" s="72"/>
      <c r="P137" s="72"/>
      <c r="Q137" s="72"/>
      <c r="R137" s="72"/>
    </row>
    <row r="138">
      <c r="A138" s="79">
        <f t="shared" si="1"/>
        <v>136</v>
      </c>
      <c r="B138" s="294" t="s">
        <v>4607</v>
      </c>
      <c r="C138" s="295" t="s">
        <v>4441</v>
      </c>
      <c r="D138" s="296" t="s">
        <v>4442</v>
      </c>
      <c r="E138" s="296" t="s">
        <v>4442</v>
      </c>
      <c r="F138" s="295" t="s">
        <v>4441</v>
      </c>
      <c r="G138" s="295" t="s">
        <v>4441</v>
      </c>
      <c r="H138" s="302" t="s">
        <v>4577</v>
      </c>
      <c r="I138" s="72"/>
      <c r="J138" s="72"/>
      <c r="K138" s="72"/>
      <c r="L138" s="72"/>
      <c r="M138" s="72"/>
      <c r="N138" s="72"/>
      <c r="O138" s="72"/>
      <c r="P138" s="72"/>
      <c r="Q138" s="72"/>
      <c r="R138" s="72"/>
    </row>
    <row r="139">
      <c r="A139" s="79">
        <f t="shared" si="1"/>
        <v>137</v>
      </c>
      <c r="B139" s="294" t="s">
        <v>4608</v>
      </c>
      <c r="C139" s="295" t="s">
        <v>4441</v>
      </c>
      <c r="D139" s="296" t="s">
        <v>4442</v>
      </c>
      <c r="E139" s="296" t="s">
        <v>4442</v>
      </c>
      <c r="F139" s="295" t="s">
        <v>4441</v>
      </c>
      <c r="G139" s="295" t="s">
        <v>4441</v>
      </c>
      <c r="H139" s="302" t="s">
        <v>4577</v>
      </c>
      <c r="I139" s="72"/>
      <c r="J139" s="72"/>
      <c r="K139" s="72"/>
      <c r="L139" s="72"/>
      <c r="M139" s="72"/>
      <c r="N139" s="72"/>
      <c r="O139" s="72"/>
      <c r="P139" s="72"/>
      <c r="Q139" s="72"/>
      <c r="R139" s="72"/>
    </row>
    <row r="140">
      <c r="A140" s="79">
        <f t="shared" si="1"/>
        <v>138</v>
      </c>
      <c r="B140" s="319" t="s">
        <v>46</v>
      </c>
      <c r="C140" s="320"/>
      <c r="D140" s="320"/>
      <c r="E140" s="320"/>
      <c r="F140" s="320"/>
      <c r="G140" s="320"/>
      <c r="H140" s="321" t="s">
        <v>4609</v>
      </c>
      <c r="I140" s="72"/>
      <c r="J140" s="72"/>
      <c r="K140" s="72"/>
      <c r="L140" s="72"/>
      <c r="M140" s="72"/>
      <c r="N140" s="72"/>
      <c r="O140" s="72"/>
      <c r="P140" s="72"/>
      <c r="Q140" s="72"/>
      <c r="R140" s="72"/>
    </row>
    <row r="141">
      <c r="A141" s="79">
        <f t="shared" si="1"/>
        <v>139</v>
      </c>
      <c r="B141" s="306" t="s">
        <v>4610</v>
      </c>
      <c r="C141" s="295" t="s">
        <v>4441</v>
      </c>
      <c r="D141" s="295" t="s">
        <v>4441</v>
      </c>
      <c r="E141" s="296" t="s">
        <v>4442</v>
      </c>
      <c r="F141" s="296" t="s">
        <v>4442</v>
      </c>
      <c r="G141" s="295" t="s">
        <v>4441</v>
      </c>
      <c r="H141" s="297" t="s">
        <v>4611</v>
      </c>
      <c r="I141" s="72"/>
      <c r="J141" s="72"/>
      <c r="K141" s="72"/>
      <c r="L141" s="72"/>
      <c r="M141" s="72"/>
      <c r="N141" s="72"/>
      <c r="O141" s="72"/>
      <c r="P141" s="72"/>
      <c r="Q141" s="72"/>
      <c r="R141" s="72"/>
    </row>
    <row r="142">
      <c r="A142" s="79">
        <f t="shared" si="1"/>
        <v>140</v>
      </c>
      <c r="B142" s="306" t="s">
        <v>4497</v>
      </c>
      <c r="C142" s="295" t="s">
        <v>4441</v>
      </c>
      <c r="D142" s="296" t="s">
        <v>4442</v>
      </c>
      <c r="E142" s="296" t="s">
        <v>4442</v>
      </c>
      <c r="F142" s="295" t="s">
        <v>4441</v>
      </c>
      <c r="G142" s="295" t="s">
        <v>4441</v>
      </c>
      <c r="H142" s="297" t="s">
        <v>4609</v>
      </c>
      <c r="I142" s="72"/>
      <c r="J142" s="72"/>
      <c r="K142" s="72"/>
      <c r="L142" s="72"/>
      <c r="M142" s="72"/>
      <c r="N142" s="72"/>
      <c r="O142" s="72"/>
      <c r="P142" s="72"/>
      <c r="Q142" s="72"/>
      <c r="R142" s="72"/>
    </row>
    <row r="143">
      <c r="A143" s="79">
        <f t="shared" si="1"/>
        <v>141</v>
      </c>
      <c r="B143" s="322" t="s">
        <v>43</v>
      </c>
      <c r="C143" s="320"/>
      <c r="D143" s="320"/>
      <c r="E143" s="320"/>
      <c r="F143" s="320"/>
      <c r="G143" s="320"/>
      <c r="H143" s="321" t="s">
        <v>4609</v>
      </c>
      <c r="I143" s="72"/>
      <c r="J143" s="72"/>
      <c r="K143" s="72"/>
      <c r="L143" s="72"/>
      <c r="M143" s="72"/>
      <c r="N143" s="72"/>
      <c r="O143" s="72"/>
      <c r="P143" s="72"/>
      <c r="Q143" s="72"/>
      <c r="R143" s="72"/>
    </row>
    <row r="144">
      <c r="A144" s="79">
        <f t="shared" si="1"/>
        <v>142</v>
      </c>
      <c r="B144" s="306" t="s">
        <v>4612</v>
      </c>
      <c r="C144" s="296" t="s">
        <v>4442</v>
      </c>
      <c r="D144" s="296" t="s">
        <v>4442</v>
      </c>
      <c r="E144" s="296" t="s">
        <v>4442</v>
      </c>
      <c r="F144" s="296" t="s">
        <v>4442</v>
      </c>
      <c r="G144" s="296" t="s">
        <v>4442</v>
      </c>
      <c r="H144" s="297" t="s">
        <v>4537</v>
      </c>
      <c r="I144" s="72"/>
      <c r="J144" s="72"/>
      <c r="K144" s="72"/>
      <c r="L144" s="72"/>
      <c r="M144" s="72"/>
      <c r="N144" s="72"/>
      <c r="O144" s="72"/>
      <c r="P144" s="72"/>
      <c r="Q144" s="72"/>
      <c r="R144" s="72"/>
    </row>
    <row r="145">
      <c r="A145" s="79">
        <f t="shared" si="1"/>
        <v>143</v>
      </c>
      <c r="B145" s="306" t="s">
        <v>4613</v>
      </c>
      <c r="C145" s="296" t="s">
        <v>4442</v>
      </c>
      <c r="D145" s="296" t="s">
        <v>4442</v>
      </c>
      <c r="E145" s="296" t="s">
        <v>4442</v>
      </c>
      <c r="F145" s="296" t="s">
        <v>4442</v>
      </c>
      <c r="G145" s="296" t="s">
        <v>4442</v>
      </c>
      <c r="H145" s="297" t="s">
        <v>4537</v>
      </c>
      <c r="I145" s="72"/>
      <c r="J145" s="72"/>
      <c r="K145" s="72"/>
      <c r="L145" s="72"/>
      <c r="M145" s="72"/>
      <c r="N145" s="72"/>
      <c r="O145" s="72"/>
      <c r="P145" s="72"/>
      <c r="Q145" s="72"/>
      <c r="R145" s="72"/>
    </row>
    <row r="146">
      <c r="A146" s="79">
        <f t="shared" si="1"/>
        <v>144</v>
      </c>
      <c r="B146" s="306" t="s">
        <v>4614</v>
      </c>
      <c r="C146" s="296" t="s">
        <v>4442</v>
      </c>
      <c r="D146" s="296" t="s">
        <v>4442</v>
      </c>
      <c r="E146" s="296" t="s">
        <v>4442</v>
      </c>
      <c r="F146" s="296" t="s">
        <v>4442</v>
      </c>
      <c r="G146" s="296" t="s">
        <v>4442</v>
      </c>
      <c r="H146" s="297" t="s">
        <v>4537</v>
      </c>
      <c r="I146" s="72"/>
      <c r="J146" s="72"/>
      <c r="K146" s="72"/>
      <c r="L146" s="72"/>
      <c r="M146" s="72"/>
      <c r="N146" s="72"/>
      <c r="O146" s="72"/>
      <c r="P146" s="72"/>
      <c r="Q146" s="72"/>
      <c r="R146" s="72"/>
    </row>
    <row r="147">
      <c r="A147" s="79">
        <f t="shared" si="1"/>
        <v>145</v>
      </c>
      <c r="B147" s="306" t="s">
        <v>4615</v>
      </c>
      <c r="C147" s="296" t="s">
        <v>4442</v>
      </c>
      <c r="D147" s="296" t="s">
        <v>4442</v>
      </c>
      <c r="E147" s="296" t="s">
        <v>4442</v>
      </c>
      <c r="F147" s="296" t="s">
        <v>4442</v>
      </c>
      <c r="G147" s="296" t="s">
        <v>4442</v>
      </c>
      <c r="H147" s="297" t="s">
        <v>4537</v>
      </c>
      <c r="I147" s="72"/>
      <c r="J147" s="72"/>
      <c r="K147" s="72"/>
      <c r="L147" s="72"/>
      <c r="M147" s="72"/>
      <c r="N147" s="72"/>
      <c r="O147" s="72"/>
      <c r="P147" s="72"/>
      <c r="Q147" s="72"/>
      <c r="R147" s="72"/>
    </row>
    <row r="148">
      <c r="A148" s="79">
        <f t="shared" si="1"/>
        <v>146</v>
      </c>
      <c r="B148" s="322" t="s">
        <v>4616</v>
      </c>
      <c r="C148" s="320"/>
      <c r="D148" s="320"/>
      <c r="E148" s="320"/>
      <c r="F148" s="320"/>
      <c r="G148" s="320"/>
      <c r="H148" s="321" t="s">
        <v>4609</v>
      </c>
      <c r="I148" s="72"/>
      <c r="J148" s="72"/>
      <c r="K148" s="72"/>
      <c r="L148" s="72"/>
      <c r="M148" s="72"/>
      <c r="N148" s="72"/>
      <c r="O148" s="72"/>
      <c r="P148" s="72"/>
      <c r="Q148" s="72"/>
      <c r="R148" s="72"/>
    </row>
    <row r="149">
      <c r="A149" s="79">
        <f t="shared" si="1"/>
        <v>147</v>
      </c>
      <c r="B149" s="306" t="s">
        <v>4617</v>
      </c>
      <c r="C149" s="296" t="s">
        <v>4442</v>
      </c>
      <c r="D149" s="296" t="s">
        <v>4442</v>
      </c>
      <c r="E149" s="296" t="s">
        <v>4442</v>
      </c>
      <c r="F149" s="296" t="s">
        <v>4442</v>
      </c>
      <c r="G149" s="296" t="s">
        <v>4442</v>
      </c>
      <c r="H149" s="297" t="s">
        <v>4618</v>
      </c>
      <c r="I149" s="72"/>
      <c r="J149" s="72"/>
      <c r="K149" s="72"/>
      <c r="L149" s="72"/>
      <c r="M149" s="72"/>
      <c r="N149" s="72"/>
      <c r="O149" s="72"/>
      <c r="P149" s="72"/>
      <c r="Q149" s="72"/>
      <c r="R149" s="72"/>
    </row>
    <row r="150">
      <c r="A150" s="79">
        <f t="shared" si="1"/>
        <v>148</v>
      </c>
      <c r="B150" s="306" t="s">
        <v>4619</v>
      </c>
      <c r="C150" s="296" t="s">
        <v>4442</v>
      </c>
      <c r="D150" s="296" t="s">
        <v>4442</v>
      </c>
      <c r="E150" s="296" t="s">
        <v>4442</v>
      </c>
      <c r="F150" s="296" t="s">
        <v>4442</v>
      </c>
      <c r="G150" s="296" t="s">
        <v>4442</v>
      </c>
      <c r="H150" s="297" t="s">
        <v>4618</v>
      </c>
      <c r="I150" s="72"/>
      <c r="J150" s="72"/>
      <c r="K150" s="72"/>
      <c r="L150" s="72"/>
      <c r="M150" s="72"/>
      <c r="N150" s="72"/>
      <c r="O150" s="72"/>
      <c r="P150" s="72"/>
      <c r="Q150" s="72"/>
      <c r="R150" s="72"/>
    </row>
    <row r="151">
      <c r="A151" s="79">
        <f t="shared" si="1"/>
        <v>149</v>
      </c>
      <c r="B151" s="319" t="s">
        <v>40</v>
      </c>
      <c r="C151" s="320"/>
      <c r="D151" s="320"/>
      <c r="E151" s="320"/>
      <c r="F151" s="320"/>
      <c r="G151" s="320"/>
      <c r="H151" s="321" t="s">
        <v>4609</v>
      </c>
      <c r="I151" s="72"/>
      <c r="J151" s="72"/>
      <c r="K151" s="72"/>
      <c r="L151" s="72"/>
      <c r="M151" s="72"/>
      <c r="N151" s="72"/>
      <c r="O151" s="72"/>
      <c r="P151" s="72"/>
      <c r="Q151" s="72"/>
      <c r="R151" s="72"/>
    </row>
    <row r="152">
      <c r="A152" s="79">
        <f t="shared" si="1"/>
        <v>150</v>
      </c>
      <c r="B152" s="323" t="s">
        <v>4511</v>
      </c>
      <c r="C152" s="296" t="s">
        <v>4442</v>
      </c>
      <c r="D152" s="296" t="s">
        <v>4442</v>
      </c>
      <c r="E152" s="296" t="s">
        <v>4442</v>
      </c>
      <c r="F152" s="296" t="s">
        <v>4442</v>
      </c>
      <c r="G152" s="296" t="s">
        <v>4442</v>
      </c>
      <c r="H152" s="300" t="s">
        <v>4620</v>
      </c>
      <c r="I152" s="72"/>
      <c r="J152" s="72"/>
      <c r="K152" s="72"/>
      <c r="L152" s="72"/>
      <c r="M152" s="72"/>
      <c r="N152" s="72"/>
      <c r="O152" s="72"/>
      <c r="P152" s="72"/>
      <c r="Q152" s="72"/>
      <c r="R152" s="72"/>
    </row>
    <row r="153">
      <c r="A153" s="79">
        <f t="shared" si="1"/>
        <v>151</v>
      </c>
      <c r="B153" s="323" t="s">
        <v>4513</v>
      </c>
      <c r="C153" s="296" t="s">
        <v>4442</v>
      </c>
      <c r="D153" s="296" t="s">
        <v>4442</v>
      </c>
      <c r="E153" s="296" t="s">
        <v>4442</v>
      </c>
      <c r="F153" s="296" t="s">
        <v>4442</v>
      </c>
      <c r="G153" s="296" t="s">
        <v>4442</v>
      </c>
      <c r="H153" s="300" t="s">
        <v>4620</v>
      </c>
      <c r="I153" s="72"/>
      <c r="J153" s="72"/>
      <c r="K153" s="72"/>
      <c r="L153" s="72"/>
      <c r="M153" s="72"/>
      <c r="N153" s="72"/>
      <c r="O153" s="72"/>
      <c r="P153" s="72"/>
      <c r="Q153" s="72"/>
      <c r="R153" s="72"/>
    </row>
    <row r="154">
      <c r="A154" s="79">
        <f t="shared" si="1"/>
        <v>152</v>
      </c>
      <c r="B154" s="323" t="s">
        <v>4514</v>
      </c>
      <c r="C154" s="296" t="s">
        <v>4442</v>
      </c>
      <c r="D154" s="296" t="s">
        <v>4442</v>
      </c>
      <c r="E154" s="296" t="s">
        <v>4442</v>
      </c>
      <c r="F154" s="296" t="s">
        <v>4442</v>
      </c>
      <c r="G154" s="296" t="s">
        <v>4442</v>
      </c>
      <c r="H154" s="300" t="s">
        <v>4620</v>
      </c>
      <c r="I154" s="72"/>
      <c r="J154" s="72"/>
      <c r="K154" s="72"/>
      <c r="L154" s="72"/>
      <c r="M154" s="72"/>
      <c r="N154" s="72"/>
      <c r="O154" s="72"/>
      <c r="P154" s="72"/>
      <c r="Q154" s="72"/>
      <c r="R154" s="72"/>
    </row>
    <row r="155">
      <c r="A155" s="79">
        <f t="shared" si="1"/>
        <v>153</v>
      </c>
      <c r="B155" s="323" t="s">
        <v>4621</v>
      </c>
      <c r="C155" s="296" t="s">
        <v>4442</v>
      </c>
      <c r="D155" s="296" t="s">
        <v>4442</v>
      </c>
      <c r="E155" s="296" t="s">
        <v>4442</v>
      </c>
      <c r="F155" s="296" t="s">
        <v>4442</v>
      </c>
      <c r="G155" s="296" t="s">
        <v>4442</v>
      </c>
      <c r="H155" s="300"/>
      <c r="I155" s="72"/>
      <c r="J155" s="72"/>
      <c r="K155" s="72"/>
      <c r="L155" s="72"/>
      <c r="M155" s="72"/>
      <c r="N155" s="72"/>
      <c r="O155" s="72"/>
      <c r="P155" s="72"/>
      <c r="Q155" s="72"/>
      <c r="R155" s="72"/>
    </row>
    <row r="156">
      <c r="A156" s="72"/>
      <c r="B156" s="306"/>
      <c r="C156" s="72"/>
      <c r="D156" s="72"/>
      <c r="E156" s="72"/>
      <c r="F156" s="72"/>
      <c r="G156" s="72"/>
      <c r="H156" s="151"/>
      <c r="I156" s="72"/>
      <c r="J156" s="72"/>
      <c r="K156" s="72"/>
      <c r="L156" s="72"/>
      <c r="M156" s="72"/>
      <c r="N156" s="72"/>
      <c r="O156" s="72"/>
      <c r="P156" s="72"/>
      <c r="Q156" s="72"/>
      <c r="R156" s="72"/>
    </row>
    <row r="157">
      <c r="A157" s="72"/>
      <c r="B157" s="72"/>
      <c r="C157" s="72"/>
      <c r="D157" s="72"/>
      <c r="E157" s="72"/>
      <c r="F157" s="72"/>
      <c r="G157" s="72"/>
      <c r="H157" s="151"/>
      <c r="I157" s="72"/>
      <c r="J157" s="72"/>
      <c r="K157" s="72"/>
      <c r="L157" s="72"/>
      <c r="M157" s="72"/>
      <c r="N157" s="72"/>
      <c r="O157" s="72"/>
      <c r="P157" s="72"/>
      <c r="Q157" s="72"/>
      <c r="R157" s="72"/>
    </row>
    <row r="158">
      <c r="A158" s="72"/>
      <c r="B158" s="72"/>
      <c r="C158" s="72"/>
      <c r="D158" s="72"/>
      <c r="E158" s="72"/>
      <c r="F158" s="72"/>
      <c r="G158" s="72"/>
      <c r="H158" s="151"/>
      <c r="I158" s="72"/>
      <c r="J158" s="72"/>
      <c r="K158" s="72"/>
      <c r="L158" s="72"/>
      <c r="M158" s="72"/>
      <c r="N158" s="72"/>
      <c r="O158" s="72"/>
      <c r="P158" s="72"/>
      <c r="Q158" s="72"/>
      <c r="R158" s="72"/>
    </row>
  </sheetData>
  <mergeCells count="2">
    <mergeCell ref="A1:A2"/>
    <mergeCell ref="B1:B2"/>
  </mergeCells>
  <hyperlinks>
    <hyperlink r:id="rId1" ref="I18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9.38"/>
    <col customWidth="1" min="3" max="3" width="9.88"/>
    <col customWidth="1" min="4" max="4" width="52.38"/>
    <col customWidth="1" min="7" max="7" width="13.88"/>
    <col customWidth="1" min="8" max="8" width="13.25"/>
    <col customWidth="1" min="12" max="12" width="24.25"/>
  </cols>
  <sheetData>
    <row r="1">
      <c r="A1" s="324" t="s">
        <v>4622</v>
      </c>
      <c r="B1" s="324" t="s">
        <v>4623</v>
      </c>
      <c r="C1" s="324" t="s">
        <v>4624</v>
      </c>
      <c r="D1" s="324" t="s">
        <v>4625</v>
      </c>
      <c r="E1" s="324" t="s">
        <v>1232</v>
      </c>
      <c r="F1" s="324" t="s">
        <v>335</v>
      </c>
      <c r="G1" s="325" t="s">
        <v>4626</v>
      </c>
      <c r="H1" s="325" t="s">
        <v>4627</v>
      </c>
      <c r="I1" s="324" t="s">
        <v>4628</v>
      </c>
      <c r="J1" s="326" t="s">
        <v>4629</v>
      </c>
      <c r="K1" s="327" t="s">
        <v>4630</v>
      </c>
      <c r="L1" s="328" t="s">
        <v>4631</v>
      </c>
      <c r="M1" s="328" t="s">
        <v>4632</v>
      </c>
    </row>
    <row r="2">
      <c r="A2" s="78" t="s">
        <v>4633</v>
      </c>
      <c r="B2" s="78" t="s">
        <v>1373</v>
      </c>
      <c r="C2" s="78" t="s">
        <v>58</v>
      </c>
      <c r="D2" s="78" t="s">
        <v>4634</v>
      </c>
      <c r="E2" s="78" t="s">
        <v>4635</v>
      </c>
      <c r="F2" s="78" t="s">
        <v>136</v>
      </c>
      <c r="G2" s="78" t="s">
        <v>4636</v>
      </c>
      <c r="H2" s="329">
        <v>46174.0</v>
      </c>
      <c r="I2" s="329">
        <v>46178.0</v>
      </c>
      <c r="J2" s="78" t="s">
        <v>62</v>
      </c>
      <c r="K2" s="78" t="s">
        <v>4637</v>
      </c>
    </row>
    <row r="3">
      <c r="A3" s="78" t="s">
        <v>4633</v>
      </c>
      <c r="B3" s="78" t="s">
        <v>1971</v>
      </c>
      <c r="C3" s="78" t="s">
        <v>58</v>
      </c>
      <c r="D3" s="78" t="s">
        <v>4638</v>
      </c>
      <c r="E3" s="78" t="s">
        <v>64</v>
      </c>
      <c r="F3" s="78" t="s">
        <v>163</v>
      </c>
      <c r="G3" s="78" t="s">
        <v>163</v>
      </c>
      <c r="H3" s="329">
        <v>46174.0</v>
      </c>
      <c r="I3" s="329">
        <v>46174.0</v>
      </c>
      <c r="J3" s="78" t="s">
        <v>64</v>
      </c>
      <c r="K3" s="78" t="s">
        <v>64</v>
      </c>
      <c r="L3" s="329"/>
    </row>
    <row r="4">
      <c r="A4" s="78" t="s">
        <v>4633</v>
      </c>
      <c r="B4" s="78" t="s">
        <v>4639</v>
      </c>
      <c r="C4" s="78" t="s">
        <v>58</v>
      </c>
      <c r="D4" s="78" t="s">
        <v>4640</v>
      </c>
      <c r="E4" s="78" t="s">
        <v>64</v>
      </c>
      <c r="F4" s="78" t="s">
        <v>228</v>
      </c>
      <c r="G4" s="78" t="s">
        <v>228</v>
      </c>
      <c r="H4" s="329">
        <v>46174.0</v>
      </c>
      <c r="I4" s="329">
        <v>46175.0</v>
      </c>
      <c r="J4" s="78" t="s">
        <v>64</v>
      </c>
      <c r="K4" s="78" t="s">
        <v>4641</v>
      </c>
      <c r="L4" s="329"/>
    </row>
    <row r="5">
      <c r="A5" s="78" t="s">
        <v>4633</v>
      </c>
      <c r="B5" s="78" t="s">
        <v>1409</v>
      </c>
      <c r="C5" s="78" t="s">
        <v>58</v>
      </c>
      <c r="D5" s="78" t="s">
        <v>4642</v>
      </c>
      <c r="E5" s="78" t="s">
        <v>64</v>
      </c>
      <c r="F5" s="78" t="s">
        <v>136</v>
      </c>
      <c r="G5" s="78" t="s">
        <v>136</v>
      </c>
      <c r="H5" s="329">
        <v>46174.0</v>
      </c>
      <c r="I5" s="329">
        <v>46174.0</v>
      </c>
      <c r="J5" s="78" t="s">
        <v>64</v>
      </c>
      <c r="K5" s="78" t="s">
        <v>4637</v>
      </c>
      <c r="L5" s="329"/>
    </row>
    <row r="6">
      <c r="A6" s="78" t="s">
        <v>4633</v>
      </c>
      <c r="B6" s="78" t="s">
        <v>4465</v>
      </c>
      <c r="C6" s="78" t="s">
        <v>58</v>
      </c>
      <c r="D6" s="78" t="s">
        <v>4643</v>
      </c>
      <c r="E6" s="78" t="s">
        <v>64</v>
      </c>
      <c r="F6" s="78" t="s">
        <v>228</v>
      </c>
      <c r="G6" s="78" t="s">
        <v>228</v>
      </c>
      <c r="H6" s="329">
        <v>46174.0</v>
      </c>
      <c r="I6" s="329">
        <v>46175.0</v>
      </c>
      <c r="J6" s="78" t="s">
        <v>64</v>
      </c>
      <c r="K6" s="78" t="s">
        <v>4641</v>
      </c>
      <c r="L6" s="329"/>
    </row>
    <row r="7">
      <c r="A7" s="78" t="s">
        <v>4633</v>
      </c>
      <c r="B7" s="78" t="s">
        <v>4644</v>
      </c>
      <c r="C7" s="78" t="s">
        <v>58</v>
      </c>
      <c r="D7" s="78" t="s">
        <v>4645</v>
      </c>
      <c r="E7" s="78" t="s">
        <v>4646</v>
      </c>
      <c r="F7" s="78" t="s">
        <v>93</v>
      </c>
      <c r="G7" s="78" t="s">
        <v>93</v>
      </c>
      <c r="H7" s="329">
        <v>46174.0</v>
      </c>
      <c r="I7" s="329">
        <v>46178.0</v>
      </c>
      <c r="J7" s="78" t="s">
        <v>62</v>
      </c>
      <c r="K7" s="78" t="s">
        <v>4637</v>
      </c>
    </row>
    <row r="8">
      <c r="A8" s="78" t="s">
        <v>4633</v>
      </c>
      <c r="B8" s="78" t="s">
        <v>1467</v>
      </c>
      <c r="C8" s="78" t="s">
        <v>58</v>
      </c>
      <c r="D8" s="78" t="s">
        <v>4647</v>
      </c>
      <c r="E8" s="78" t="s">
        <v>64</v>
      </c>
      <c r="F8" s="78" t="s">
        <v>136</v>
      </c>
      <c r="G8" s="78" t="s">
        <v>136</v>
      </c>
      <c r="H8" s="329">
        <v>46174.0</v>
      </c>
      <c r="I8" s="329">
        <v>46175.0</v>
      </c>
      <c r="J8" s="78" t="s">
        <v>64</v>
      </c>
      <c r="K8" s="78" t="s">
        <v>4637</v>
      </c>
      <c r="L8" s="329"/>
    </row>
    <row r="9">
      <c r="A9" s="78" t="s">
        <v>4633</v>
      </c>
      <c r="B9" s="78" t="s">
        <v>4648</v>
      </c>
      <c r="C9" s="78" t="s">
        <v>58</v>
      </c>
      <c r="D9" s="78" t="s">
        <v>4649</v>
      </c>
      <c r="E9" s="78" t="s">
        <v>64</v>
      </c>
      <c r="F9" s="78" t="s">
        <v>228</v>
      </c>
      <c r="G9" s="78" t="s">
        <v>228</v>
      </c>
      <c r="H9" s="329">
        <v>46174.0</v>
      </c>
      <c r="I9" s="329">
        <v>46175.0</v>
      </c>
      <c r="J9" s="78" t="s">
        <v>64</v>
      </c>
      <c r="K9" s="78" t="s">
        <v>4641</v>
      </c>
      <c r="L9" s="329"/>
    </row>
    <row r="10">
      <c r="A10" s="78" t="s">
        <v>4633</v>
      </c>
      <c r="B10" s="78" t="s">
        <v>2006</v>
      </c>
      <c r="C10" s="78" t="s">
        <v>58</v>
      </c>
      <c r="D10" s="78" t="s">
        <v>4650</v>
      </c>
      <c r="E10" s="78" t="s">
        <v>64</v>
      </c>
      <c r="F10" s="78" t="s">
        <v>163</v>
      </c>
      <c r="G10" s="78" t="s">
        <v>163</v>
      </c>
      <c r="H10" s="329">
        <v>46174.0</v>
      </c>
      <c r="I10" s="329">
        <v>46174.0</v>
      </c>
      <c r="J10" s="78" t="s">
        <v>64</v>
      </c>
      <c r="K10" s="78" t="s">
        <v>4637</v>
      </c>
      <c r="L10" s="329"/>
    </row>
    <row r="11">
      <c r="A11" s="78" t="s">
        <v>4633</v>
      </c>
      <c r="B11" s="78" t="s">
        <v>4651</v>
      </c>
      <c r="C11" s="78" t="s">
        <v>58</v>
      </c>
      <c r="D11" s="78" t="s">
        <v>4652</v>
      </c>
      <c r="E11" s="78" t="s">
        <v>64</v>
      </c>
      <c r="F11" s="78" t="s">
        <v>228</v>
      </c>
      <c r="G11" s="78" t="s">
        <v>228</v>
      </c>
      <c r="H11" s="329">
        <v>46174.0</v>
      </c>
      <c r="I11" s="329">
        <v>46178.0</v>
      </c>
      <c r="J11" s="78" t="s">
        <v>64</v>
      </c>
      <c r="K11" s="78" t="s">
        <v>4641</v>
      </c>
    </row>
    <row r="12">
      <c r="A12" s="78" t="s">
        <v>4633</v>
      </c>
      <c r="B12" s="78" t="s">
        <v>3954</v>
      </c>
      <c r="C12" s="78" t="s">
        <v>58</v>
      </c>
      <c r="D12" s="78" t="s">
        <v>4653</v>
      </c>
      <c r="E12" s="78" t="s">
        <v>64</v>
      </c>
      <c r="F12" s="78" t="s">
        <v>93</v>
      </c>
      <c r="G12" s="78" t="s">
        <v>93</v>
      </c>
      <c r="H12" s="329">
        <v>46174.0</v>
      </c>
      <c r="I12" s="329">
        <v>46174.0</v>
      </c>
      <c r="J12" s="78" t="s">
        <v>64</v>
      </c>
      <c r="K12" s="78" t="s">
        <v>4637</v>
      </c>
      <c r="L12" s="329"/>
    </row>
    <row r="13">
      <c r="A13" s="78" t="s">
        <v>4633</v>
      </c>
      <c r="B13" s="78" t="s">
        <v>1400</v>
      </c>
      <c r="C13" s="78" t="s">
        <v>57</v>
      </c>
      <c r="D13" s="78" t="s">
        <v>4654</v>
      </c>
      <c r="E13" s="78" t="s">
        <v>64</v>
      </c>
      <c r="F13" s="78" t="s">
        <v>136</v>
      </c>
      <c r="G13" s="78" t="s">
        <v>136</v>
      </c>
      <c r="H13" s="329">
        <v>46174.0</v>
      </c>
      <c r="I13" s="329">
        <v>46175.0</v>
      </c>
      <c r="J13" s="78" t="s">
        <v>64</v>
      </c>
      <c r="K13" s="78" t="s">
        <v>4637</v>
      </c>
      <c r="L13" s="329"/>
    </row>
    <row r="14">
      <c r="A14" s="78" t="s">
        <v>4633</v>
      </c>
      <c r="B14" s="78" t="s">
        <v>2017</v>
      </c>
      <c r="C14" s="78" t="s">
        <v>58</v>
      </c>
      <c r="D14" s="78" t="s">
        <v>4655</v>
      </c>
      <c r="E14" s="78" t="s">
        <v>64</v>
      </c>
      <c r="F14" s="78" t="s">
        <v>163</v>
      </c>
      <c r="G14" s="78" t="s">
        <v>163</v>
      </c>
      <c r="H14" s="329">
        <v>46174.0</v>
      </c>
      <c r="I14" s="329">
        <v>46175.0</v>
      </c>
      <c r="J14" s="78" t="s">
        <v>64</v>
      </c>
      <c r="K14" s="78" t="s">
        <v>4637</v>
      </c>
      <c r="L14" s="329"/>
    </row>
    <row r="15">
      <c r="A15" s="78" t="s">
        <v>4633</v>
      </c>
      <c r="B15" s="78" t="s">
        <v>4656</v>
      </c>
      <c r="C15" s="78" t="s">
        <v>57</v>
      </c>
      <c r="D15" s="78" t="s">
        <v>4657</v>
      </c>
      <c r="E15" s="78" t="s">
        <v>64</v>
      </c>
      <c r="F15" s="78" t="s">
        <v>93</v>
      </c>
      <c r="G15" s="78" t="s">
        <v>93</v>
      </c>
      <c r="H15" s="329">
        <v>46174.0</v>
      </c>
      <c r="I15" s="329">
        <v>46175.0</v>
      </c>
      <c r="J15" s="78" t="s">
        <v>64</v>
      </c>
      <c r="K15" s="78" t="s">
        <v>4637</v>
      </c>
      <c r="L15" s="329"/>
    </row>
    <row r="16">
      <c r="A16" s="78" t="s">
        <v>4633</v>
      </c>
      <c r="B16" s="78" t="s">
        <v>4264</v>
      </c>
      <c r="C16" s="78" t="s">
        <v>58</v>
      </c>
      <c r="D16" s="78" t="s">
        <v>4658</v>
      </c>
      <c r="E16" s="78" t="s">
        <v>64</v>
      </c>
      <c r="F16" s="78" t="s">
        <v>228</v>
      </c>
      <c r="G16" s="78" t="s">
        <v>228</v>
      </c>
      <c r="H16" s="329">
        <v>46174.0</v>
      </c>
      <c r="I16" s="329">
        <v>46174.0</v>
      </c>
      <c r="J16" s="78" t="s">
        <v>64</v>
      </c>
      <c r="K16" s="78" t="s">
        <v>4637</v>
      </c>
      <c r="L16" s="329"/>
    </row>
    <row r="17">
      <c r="A17" s="78" t="s">
        <v>4633</v>
      </c>
      <c r="B17" s="78" t="s">
        <v>4659</v>
      </c>
      <c r="C17" s="78" t="s">
        <v>58</v>
      </c>
      <c r="D17" s="78" t="s">
        <v>4660</v>
      </c>
      <c r="E17" s="78" t="s">
        <v>64</v>
      </c>
      <c r="F17" s="78" t="s">
        <v>163</v>
      </c>
      <c r="G17" s="78" t="s">
        <v>163</v>
      </c>
      <c r="H17" s="329">
        <v>46174.0</v>
      </c>
      <c r="I17" s="329">
        <v>46175.0</v>
      </c>
      <c r="J17" s="78" t="s">
        <v>64</v>
      </c>
      <c r="K17" s="78" t="s">
        <v>4637</v>
      </c>
      <c r="L17" s="329"/>
    </row>
    <row r="18">
      <c r="A18" s="78" t="s">
        <v>4633</v>
      </c>
      <c r="B18" s="78" t="s">
        <v>4661</v>
      </c>
      <c r="C18" s="78" t="s">
        <v>58</v>
      </c>
      <c r="D18" s="78" t="s">
        <v>4662</v>
      </c>
      <c r="E18" s="78" t="s">
        <v>64</v>
      </c>
      <c r="F18" s="78" t="s">
        <v>136</v>
      </c>
      <c r="G18" s="78" t="s">
        <v>136</v>
      </c>
      <c r="H18" s="329">
        <v>46174.0</v>
      </c>
      <c r="I18" s="329">
        <v>46175.0</v>
      </c>
      <c r="J18" s="78" t="s">
        <v>64</v>
      </c>
      <c r="K18" s="78" t="s">
        <v>4637</v>
      </c>
      <c r="L18" s="329"/>
    </row>
    <row r="19">
      <c r="A19" s="78" t="s">
        <v>4633</v>
      </c>
      <c r="B19" s="78" t="s">
        <v>2036</v>
      </c>
      <c r="C19" s="78" t="s">
        <v>58</v>
      </c>
      <c r="D19" s="78" t="s">
        <v>4663</v>
      </c>
      <c r="E19" s="78" t="s">
        <v>64</v>
      </c>
      <c r="F19" s="78" t="s">
        <v>163</v>
      </c>
      <c r="G19" s="78" t="s">
        <v>163</v>
      </c>
      <c r="H19" s="329">
        <v>46174.0</v>
      </c>
      <c r="I19" s="329">
        <v>46175.0</v>
      </c>
      <c r="J19" s="78" t="s">
        <v>64</v>
      </c>
      <c r="K19" s="78" t="s">
        <v>4637</v>
      </c>
      <c r="L19" s="329"/>
    </row>
    <row r="20">
      <c r="A20" s="78" t="s">
        <v>4633</v>
      </c>
      <c r="B20" s="78" t="s">
        <v>1543</v>
      </c>
      <c r="C20" s="78" t="s">
        <v>57</v>
      </c>
      <c r="D20" s="78" t="s">
        <v>4664</v>
      </c>
      <c r="E20" s="78" t="s">
        <v>64</v>
      </c>
      <c r="F20" s="78" t="s">
        <v>136</v>
      </c>
      <c r="G20" s="78" t="s">
        <v>136</v>
      </c>
      <c r="H20" s="329">
        <v>46174.0</v>
      </c>
      <c r="I20" s="329">
        <v>46175.0</v>
      </c>
      <c r="J20" s="78" t="s">
        <v>64</v>
      </c>
      <c r="K20" s="78" t="s">
        <v>4637</v>
      </c>
      <c r="L20" s="329"/>
    </row>
    <row r="21">
      <c r="A21" s="78" t="s">
        <v>4633</v>
      </c>
      <c r="B21" s="78" t="s">
        <v>4325</v>
      </c>
      <c r="C21" s="78" t="s">
        <v>58</v>
      </c>
      <c r="D21" s="78" t="s">
        <v>4665</v>
      </c>
      <c r="E21" s="78" t="s">
        <v>4666</v>
      </c>
      <c r="F21" s="78" t="s">
        <v>228</v>
      </c>
      <c r="G21" s="78" t="s">
        <v>4636</v>
      </c>
      <c r="H21" s="329">
        <v>46174.0</v>
      </c>
      <c r="I21" s="329">
        <v>46178.0</v>
      </c>
      <c r="J21" s="78" t="s">
        <v>4667</v>
      </c>
      <c r="K21" s="78" t="s">
        <v>4668</v>
      </c>
    </row>
    <row r="22">
      <c r="A22" s="78" t="s">
        <v>4633</v>
      </c>
      <c r="B22" s="78" t="s">
        <v>1537</v>
      </c>
      <c r="C22" s="78" t="s">
        <v>58</v>
      </c>
      <c r="D22" s="78" t="s">
        <v>4669</v>
      </c>
      <c r="E22" s="78" t="s">
        <v>64</v>
      </c>
      <c r="F22" s="78" t="s">
        <v>136</v>
      </c>
      <c r="G22" s="78" t="s">
        <v>136</v>
      </c>
      <c r="H22" s="329">
        <v>46174.0</v>
      </c>
      <c r="I22" s="329">
        <v>46175.0</v>
      </c>
      <c r="J22" s="78" t="s">
        <v>64</v>
      </c>
      <c r="K22" s="78" t="s">
        <v>4637</v>
      </c>
      <c r="L22" s="329"/>
    </row>
    <row r="23">
      <c r="A23" s="78" t="s">
        <v>4633</v>
      </c>
      <c r="B23" s="78" t="s">
        <v>4296</v>
      </c>
      <c r="C23" s="78" t="s">
        <v>58</v>
      </c>
      <c r="D23" s="78" t="s">
        <v>4670</v>
      </c>
      <c r="E23" s="78" t="s">
        <v>64</v>
      </c>
      <c r="F23" s="78" t="s">
        <v>228</v>
      </c>
      <c r="G23" s="78" t="s">
        <v>228</v>
      </c>
      <c r="H23" s="329">
        <v>46174.0</v>
      </c>
      <c r="I23" s="329">
        <v>46174.0</v>
      </c>
      <c r="J23" s="78" t="s">
        <v>64</v>
      </c>
      <c r="K23" s="78" t="s">
        <v>4637</v>
      </c>
      <c r="L23" s="329"/>
    </row>
    <row r="24">
      <c r="A24" s="78" t="s">
        <v>4633</v>
      </c>
      <c r="B24" s="78" t="s">
        <v>4671</v>
      </c>
      <c r="C24" s="78" t="s">
        <v>58</v>
      </c>
      <c r="D24" s="78" t="s">
        <v>4672</v>
      </c>
      <c r="E24" s="78" t="s">
        <v>4666</v>
      </c>
      <c r="F24" s="78" t="s">
        <v>93</v>
      </c>
      <c r="G24" s="78" t="s">
        <v>4673</v>
      </c>
      <c r="H24" s="329">
        <v>46174.0</v>
      </c>
      <c r="I24" s="329">
        <v>46175.0</v>
      </c>
      <c r="J24" s="78" t="s">
        <v>4667</v>
      </c>
      <c r="K24" s="78" t="s">
        <v>4668</v>
      </c>
    </row>
    <row r="25">
      <c r="A25" s="78" t="s">
        <v>4633</v>
      </c>
      <c r="B25" s="78" t="s">
        <v>4674</v>
      </c>
      <c r="C25" s="78" t="s">
        <v>58</v>
      </c>
      <c r="D25" s="78" t="s">
        <v>4675</v>
      </c>
      <c r="E25" s="78" t="s">
        <v>64</v>
      </c>
      <c r="F25" s="78" t="s">
        <v>93</v>
      </c>
      <c r="G25" s="78" t="s">
        <v>93</v>
      </c>
      <c r="H25" s="329">
        <v>46174.0</v>
      </c>
      <c r="I25" s="329">
        <v>46178.0</v>
      </c>
      <c r="J25" s="78" t="s">
        <v>64</v>
      </c>
      <c r="K25" s="78" t="s">
        <v>4637</v>
      </c>
      <c r="L25" s="329"/>
    </row>
    <row r="26">
      <c r="A26" s="78" t="s">
        <v>4633</v>
      </c>
      <c r="B26" s="78" t="s">
        <v>2099</v>
      </c>
      <c r="C26" s="78" t="s">
        <v>58</v>
      </c>
      <c r="D26" s="78" t="s">
        <v>4676</v>
      </c>
      <c r="E26" s="78" t="s">
        <v>64</v>
      </c>
      <c r="F26" s="78" t="s">
        <v>163</v>
      </c>
      <c r="G26" s="78" t="s">
        <v>163</v>
      </c>
      <c r="H26" s="329">
        <v>46175.0</v>
      </c>
      <c r="I26" s="329">
        <v>46177.0</v>
      </c>
      <c r="J26" s="78" t="s">
        <v>64</v>
      </c>
      <c r="K26" s="78" t="s">
        <v>4637</v>
      </c>
      <c r="L26" s="329"/>
    </row>
    <row r="27">
      <c r="A27" s="78" t="s">
        <v>4633</v>
      </c>
      <c r="B27" s="78" t="s">
        <v>4677</v>
      </c>
      <c r="C27" s="78" t="s">
        <v>57</v>
      </c>
      <c r="D27" s="78" t="s">
        <v>4678</v>
      </c>
      <c r="E27" s="78" t="s">
        <v>62</v>
      </c>
      <c r="F27" s="78" t="s">
        <v>93</v>
      </c>
      <c r="G27" s="78" t="s">
        <v>4673</v>
      </c>
      <c r="H27" s="329">
        <v>46175.0</v>
      </c>
      <c r="I27" s="329">
        <v>46175.0</v>
      </c>
      <c r="J27" s="78" t="s">
        <v>62</v>
      </c>
      <c r="K27" s="78" t="s">
        <v>4668</v>
      </c>
    </row>
    <row r="28">
      <c r="A28" s="78" t="s">
        <v>4633</v>
      </c>
      <c r="B28" s="78" t="s">
        <v>1510</v>
      </c>
      <c r="C28" s="78" t="s">
        <v>58</v>
      </c>
      <c r="D28" s="78" t="s">
        <v>4679</v>
      </c>
      <c r="E28" s="78" t="s">
        <v>64</v>
      </c>
      <c r="F28" s="78" t="s">
        <v>136</v>
      </c>
      <c r="G28" s="78" t="s">
        <v>136</v>
      </c>
      <c r="H28" s="329">
        <v>46175.0</v>
      </c>
      <c r="I28" s="329">
        <v>46175.0</v>
      </c>
      <c r="J28" s="78" t="s">
        <v>64</v>
      </c>
      <c r="K28" s="78" t="s">
        <v>4637</v>
      </c>
      <c r="L28" s="329"/>
    </row>
    <row r="29">
      <c r="A29" s="78" t="s">
        <v>4633</v>
      </c>
      <c r="B29" s="78" t="s">
        <v>4680</v>
      </c>
      <c r="C29" s="78" t="s">
        <v>57</v>
      </c>
      <c r="D29" s="78" t="s">
        <v>4681</v>
      </c>
      <c r="E29" s="78" t="s">
        <v>64</v>
      </c>
      <c r="F29" s="78" t="s">
        <v>93</v>
      </c>
      <c r="G29" s="78" t="s">
        <v>93</v>
      </c>
      <c r="H29" s="329">
        <v>46175.0</v>
      </c>
      <c r="I29" s="329">
        <v>46175.0</v>
      </c>
      <c r="J29" s="78" t="s">
        <v>64</v>
      </c>
      <c r="K29" s="78" t="s">
        <v>4637</v>
      </c>
      <c r="L29" s="329"/>
    </row>
    <row r="30">
      <c r="A30" s="78" t="s">
        <v>4633</v>
      </c>
      <c r="B30" s="78" t="s">
        <v>4009</v>
      </c>
      <c r="C30" s="78" t="s">
        <v>58</v>
      </c>
      <c r="D30" s="78" t="s">
        <v>4682</v>
      </c>
      <c r="E30" s="78" t="s">
        <v>64</v>
      </c>
      <c r="F30" s="78" t="s">
        <v>228</v>
      </c>
      <c r="G30" s="78" t="s">
        <v>228</v>
      </c>
      <c r="H30" s="329">
        <v>46175.0</v>
      </c>
      <c r="I30" s="329">
        <v>46175.0</v>
      </c>
      <c r="J30" s="78" t="s">
        <v>64</v>
      </c>
      <c r="K30" s="78" t="s">
        <v>4637</v>
      </c>
      <c r="L30" s="329"/>
    </row>
    <row r="31">
      <c r="A31" s="78" t="s">
        <v>4633</v>
      </c>
      <c r="B31" s="78" t="s">
        <v>2046</v>
      </c>
      <c r="C31" s="78" t="s">
        <v>58</v>
      </c>
      <c r="D31" s="78" t="s">
        <v>4683</v>
      </c>
      <c r="E31" s="78" t="s">
        <v>64</v>
      </c>
      <c r="F31" s="78" t="s">
        <v>163</v>
      </c>
      <c r="G31" s="78" t="s">
        <v>163</v>
      </c>
      <c r="H31" s="329">
        <v>46175.0</v>
      </c>
      <c r="I31" s="329">
        <v>46177.0</v>
      </c>
      <c r="J31" s="78" t="s">
        <v>64</v>
      </c>
      <c r="K31" s="78" t="s">
        <v>4641</v>
      </c>
    </row>
    <row r="32">
      <c r="A32" s="78" t="s">
        <v>4633</v>
      </c>
      <c r="B32" s="78" t="s">
        <v>4684</v>
      </c>
      <c r="C32" s="78" t="s">
        <v>58</v>
      </c>
      <c r="D32" s="78" t="s">
        <v>4685</v>
      </c>
      <c r="E32" s="78" t="s">
        <v>64</v>
      </c>
      <c r="F32" s="78" t="s">
        <v>93</v>
      </c>
      <c r="G32" s="78" t="s">
        <v>93</v>
      </c>
      <c r="H32" s="329">
        <v>46175.0</v>
      </c>
      <c r="I32" s="329">
        <v>46178.0</v>
      </c>
      <c r="J32" s="78" t="s">
        <v>64</v>
      </c>
      <c r="K32" s="78" t="s">
        <v>4637</v>
      </c>
      <c r="L32" s="329"/>
    </row>
    <row r="33">
      <c r="A33" s="78" t="s">
        <v>4633</v>
      </c>
      <c r="B33" s="78" t="s">
        <v>3994</v>
      </c>
      <c r="C33" s="78" t="s">
        <v>58</v>
      </c>
      <c r="D33" s="78" t="s">
        <v>4686</v>
      </c>
      <c r="E33" s="78" t="s">
        <v>64</v>
      </c>
      <c r="F33" s="78" t="s">
        <v>228</v>
      </c>
      <c r="G33" s="78" t="s">
        <v>228</v>
      </c>
      <c r="H33" s="329">
        <v>46175.0</v>
      </c>
      <c r="I33" s="329">
        <v>46177.0</v>
      </c>
      <c r="J33" s="78" t="s">
        <v>64</v>
      </c>
      <c r="K33" s="78" t="s">
        <v>4637</v>
      </c>
      <c r="L33" s="329"/>
    </row>
    <row r="34">
      <c r="A34" s="78" t="s">
        <v>4633</v>
      </c>
      <c r="B34" s="78" t="s">
        <v>1625</v>
      </c>
      <c r="C34" s="78" t="s">
        <v>58</v>
      </c>
      <c r="D34" s="78" t="s">
        <v>4687</v>
      </c>
      <c r="E34" s="78" t="s">
        <v>64</v>
      </c>
      <c r="F34" s="78" t="s">
        <v>136</v>
      </c>
      <c r="G34" s="78" t="s">
        <v>136</v>
      </c>
      <c r="H34" s="329">
        <v>46175.0</v>
      </c>
      <c r="I34" s="329">
        <v>46175.0</v>
      </c>
      <c r="J34" s="78" t="s">
        <v>64</v>
      </c>
      <c r="K34" s="78" t="s">
        <v>4637</v>
      </c>
      <c r="L34" s="329"/>
    </row>
    <row r="35">
      <c r="A35" s="78" t="s">
        <v>4633</v>
      </c>
      <c r="B35" s="78" t="s">
        <v>1673</v>
      </c>
      <c r="C35" s="78" t="s">
        <v>58</v>
      </c>
      <c r="D35" s="78" t="s">
        <v>4688</v>
      </c>
      <c r="E35" s="78" t="s">
        <v>64</v>
      </c>
      <c r="F35" s="78" t="s">
        <v>136</v>
      </c>
      <c r="G35" s="78" t="s">
        <v>136</v>
      </c>
      <c r="H35" s="329">
        <v>46175.0</v>
      </c>
      <c r="I35" s="329">
        <v>46177.0</v>
      </c>
      <c r="J35" s="78" t="s">
        <v>64</v>
      </c>
      <c r="K35" s="78" t="s">
        <v>4637</v>
      </c>
      <c r="L35" s="329"/>
    </row>
    <row r="36">
      <c r="A36" s="78" t="s">
        <v>4633</v>
      </c>
      <c r="B36" s="78" t="s">
        <v>4689</v>
      </c>
      <c r="C36" s="78" t="s">
        <v>58</v>
      </c>
      <c r="D36" s="78" t="s">
        <v>4690</v>
      </c>
      <c r="E36" s="78" t="s">
        <v>64</v>
      </c>
      <c r="F36" s="78" t="s">
        <v>163</v>
      </c>
      <c r="G36" s="78" t="s">
        <v>163</v>
      </c>
      <c r="H36" s="329">
        <v>46175.0</v>
      </c>
      <c r="I36" s="329">
        <v>46177.0</v>
      </c>
      <c r="J36" s="78" t="s">
        <v>64</v>
      </c>
      <c r="K36" s="78" t="s">
        <v>4637</v>
      </c>
    </row>
    <row r="37">
      <c r="A37" s="78" t="s">
        <v>4633</v>
      </c>
      <c r="B37" s="78" t="s">
        <v>4691</v>
      </c>
      <c r="C37" s="78" t="s">
        <v>58</v>
      </c>
      <c r="D37" s="78" t="s">
        <v>4692</v>
      </c>
      <c r="E37" s="78" t="s">
        <v>64</v>
      </c>
      <c r="F37" s="78" t="s">
        <v>93</v>
      </c>
      <c r="G37" s="78" t="s">
        <v>93</v>
      </c>
      <c r="H37" s="329">
        <v>46175.0</v>
      </c>
      <c r="I37" s="329">
        <v>46177.0</v>
      </c>
      <c r="J37" s="78" t="s">
        <v>64</v>
      </c>
      <c r="K37" s="78" t="s">
        <v>4637</v>
      </c>
      <c r="L37" s="329"/>
    </row>
    <row r="38">
      <c r="A38" s="78" t="s">
        <v>4633</v>
      </c>
      <c r="B38" s="78" t="s">
        <v>1743</v>
      </c>
      <c r="C38" s="78" t="s">
        <v>58</v>
      </c>
      <c r="D38" s="78" t="s">
        <v>4693</v>
      </c>
      <c r="E38" s="78" t="s">
        <v>64</v>
      </c>
      <c r="F38" s="78" t="s">
        <v>136</v>
      </c>
      <c r="G38" s="78" t="s">
        <v>136</v>
      </c>
      <c r="H38" s="329">
        <v>46175.0</v>
      </c>
      <c r="I38" s="329">
        <v>46178.0</v>
      </c>
      <c r="J38" s="78" t="s">
        <v>64</v>
      </c>
      <c r="K38" s="78" t="s">
        <v>4637</v>
      </c>
      <c r="L38" s="329"/>
    </row>
    <row r="39">
      <c r="A39" s="78" t="s">
        <v>4633</v>
      </c>
      <c r="B39" s="78" t="s">
        <v>4694</v>
      </c>
      <c r="C39" s="78" t="s">
        <v>58</v>
      </c>
      <c r="D39" s="78" t="s">
        <v>4695</v>
      </c>
      <c r="E39" s="78" t="s">
        <v>64</v>
      </c>
      <c r="F39" s="78" t="s">
        <v>93</v>
      </c>
      <c r="G39" s="78" t="s">
        <v>93</v>
      </c>
      <c r="H39" s="329">
        <v>46175.0</v>
      </c>
      <c r="I39" s="329">
        <v>46178.0</v>
      </c>
      <c r="J39" s="78" t="s">
        <v>64</v>
      </c>
      <c r="K39" s="78" t="s">
        <v>4637</v>
      </c>
    </row>
    <row r="40">
      <c r="A40" s="78" t="s">
        <v>4633</v>
      </c>
      <c r="B40" s="78" t="s">
        <v>4069</v>
      </c>
      <c r="C40" s="78" t="s">
        <v>59</v>
      </c>
      <c r="D40" s="78" t="s">
        <v>4696</v>
      </c>
      <c r="E40" s="78" t="s">
        <v>64</v>
      </c>
      <c r="F40" s="78" t="s">
        <v>228</v>
      </c>
      <c r="G40" s="78" t="s">
        <v>228</v>
      </c>
      <c r="H40" s="329">
        <v>46175.0</v>
      </c>
      <c r="I40" s="329">
        <v>46177.0</v>
      </c>
      <c r="J40" s="78" t="s">
        <v>64</v>
      </c>
      <c r="K40" s="78" t="s">
        <v>4637</v>
      </c>
      <c r="L40" s="329"/>
    </row>
    <row r="41">
      <c r="A41" s="78" t="s">
        <v>4633</v>
      </c>
      <c r="B41" s="78" t="s">
        <v>4697</v>
      </c>
      <c r="C41" s="78" t="s">
        <v>58</v>
      </c>
      <c r="D41" s="78" t="s">
        <v>4698</v>
      </c>
      <c r="E41" s="78" t="s">
        <v>64</v>
      </c>
      <c r="F41" s="78" t="s">
        <v>163</v>
      </c>
      <c r="G41" s="78" t="s">
        <v>163</v>
      </c>
      <c r="H41" s="329">
        <v>46175.0</v>
      </c>
      <c r="I41" s="329">
        <v>46177.0</v>
      </c>
      <c r="J41" s="78" t="s">
        <v>64</v>
      </c>
      <c r="K41" s="78" t="s">
        <v>4637</v>
      </c>
    </row>
    <row r="42">
      <c r="A42" s="78" t="s">
        <v>4633</v>
      </c>
      <c r="B42" s="78" t="s">
        <v>1776</v>
      </c>
      <c r="C42" s="78" t="s">
        <v>58</v>
      </c>
      <c r="D42" s="78" t="s">
        <v>4699</v>
      </c>
      <c r="E42" s="78" t="s">
        <v>4700</v>
      </c>
      <c r="F42" s="78" t="s">
        <v>136</v>
      </c>
      <c r="G42" s="78" t="s">
        <v>4673</v>
      </c>
      <c r="H42" s="329">
        <v>46175.0</v>
      </c>
      <c r="I42" s="329">
        <v>46177.0</v>
      </c>
      <c r="J42" s="78" t="s">
        <v>4667</v>
      </c>
      <c r="K42" s="78" t="s">
        <v>4668</v>
      </c>
      <c r="M42" s="330"/>
      <c r="N42" s="330"/>
      <c r="O42" s="330"/>
      <c r="P42" s="330"/>
    </row>
    <row r="43">
      <c r="A43" s="78" t="s">
        <v>4633</v>
      </c>
      <c r="B43" s="78" t="s">
        <v>1785</v>
      </c>
      <c r="C43" s="78" t="s">
        <v>58</v>
      </c>
      <c r="D43" s="78" t="s">
        <v>4701</v>
      </c>
      <c r="E43" s="78" t="s">
        <v>62</v>
      </c>
      <c r="F43" s="78" t="s">
        <v>136</v>
      </c>
      <c r="G43" s="78" t="s">
        <v>4673</v>
      </c>
      <c r="H43" s="329">
        <v>46177.0</v>
      </c>
      <c r="I43" s="329">
        <v>46177.0</v>
      </c>
      <c r="J43" s="78" t="s">
        <v>62</v>
      </c>
      <c r="K43" s="78" t="s">
        <v>4668</v>
      </c>
      <c r="M43" s="330"/>
      <c r="N43" s="330"/>
      <c r="O43" s="330"/>
      <c r="P43" s="330"/>
    </row>
    <row r="44">
      <c r="A44" s="78" t="s">
        <v>4633</v>
      </c>
      <c r="B44" s="78" t="s">
        <v>1812</v>
      </c>
      <c r="C44" s="78" t="s">
        <v>58</v>
      </c>
      <c r="D44" s="78" t="s">
        <v>4702</v>
      </c>
      <c r="E44" s="78" t="s">
        <v>64</v>
      </c>
      <c r="F44" s="78" t="s">
        <v>136</v>
      </c>
      <c r="G44" s="78" t="s">
        <v>136</v>
      </c>
      <c r="H44" s="329">
        <v>46177.0</v>
      </c>
      <c r="I44" s="329">
        <v>46177.0</v>
      </c>
      <c r="J44" s="78" t="s">
        <v>64</v>
      </c>
      <c r="K44" s="78" t="s">
        <v>4637</v>
      </c>
      <c r="L44" s="330"/>
      <c r="M44" s="330"/>
      <c r="N44" s="330"/>
      <c r="O44" s="330"/>
      <c r="P44" s="330"/>
    </row>
    <row r="45">
      <c r="A45" s="78" t="s">
        <v>4633</v>
      </c>
      <c r="B45" s="78" t="s">
        <v>4703</v>
      </c>
      <c r="C45" s="78" t="s">
        <v>57</v>
      </c>
      <c r="D45" s="78" t="s">
        <v>4704</v>
      </c>
      <c r="E45" s="78" t="s">
        <v>64</v>
      </c>
      <c r="F45" s="78" t="s">
        <v>93</v>
      </c>
      <c r="G45" s="78" t="s">
        <v>93</v>
      </c>
      <c r="H45" s="329">
        <v>46177.0</v>
      </c>
      <c r="I45" s="329">
        <v>46177.0</v>
      </c>
      <c r="J45" s="78" t="s">
        <v>64</v>
      </c>
      <c r="K45" s="78" t="s">
        <v>4637</v>
      </c>
      <c r="L45" s="330"/>
      <c r="M45" s="330"/>
      <c r="N45" s="330"/>
      <c r="O45" s="330"/>
      <c r="P45" s="330"/>
    </row>
    <row r="46">
      <c r="A46" s="78" t="s">
        <v>4633</v>
      </c>
      <c r="B46" s="78" t="s">
        <v>4705</v>
      </c>
      <c r="C46" s="78" t="s">
        <v>57</v>
      </c>
      <c r="D46" s="78" t="s">
        <v>4706</v>
      </c>
      <c r="E46" s="78" t="s">
        <v>64</v>
      </c>
      <c r="F46" s="78" t="s">
        <v>93</v>
      </c>
      <c r="G46" s="78" t="s">
        <v>93</v>
      </c>
      <c r="H46" s="329">
        <v>46177.0</v>
      </c>
      <c r="I46" s="329">
        <v>46178.0</v>
      </c>
      <c r="J46" s="78" t="s">
        <v>64</v>
      </c>
      <c r="K46" s="78" t="s">
        <v>4637</v>
      </c>
      <c r="L46" s="330"/>
      <c r="M46" s="330"/>
      <c r="N46" s="330"/>
      <c r="O46" s="330"/>
      <c r="P46" s="330"/>
    </row>
    <row r="47">
      <c r="A47" s="78" t="s">
        <v>4633</v>
      </c>
      <c r="B47" s="78" t="s">
        <v>4073</v>
      </c>
      <c r="C47" s="78" t="s">
        <v>58</v>
      </c>
      <c r="D47" s="78" t="s">
        <v>4707</v>
      </c>
      <c r="E47" s="78" t="s">
        <v>64</v>
      </c>
      <c r="F47" s="78" t="s">
        <v>228</v>
      </c>
      <c r="G47" s="78" t="s">
        <v>228</v>
      </c>
      <c r="H47" s="329">
        <v>46177.0</v>
      </c>
      <c r="I47" s="329">
        <v>46177.0</v>
      </c>
      <c r="J47" s="78" t="s">
        <v>64</v>
      </c>
      <c r="K47" s="78" t="s">
        <v>4637</v>
      </c>
      <c r="L47" s="330"/>
      <c r="M47" s="330"/>
      <c r="N47" s="330"/>
      <c r="O47" s="330"/>
      <c r="P47" s="330"/>
    </row>
    <row r="48">
      <c r="A48" s="78" t="s">
        <v>4633</v>
      </c>
      <c r="B48" s="78" t="s">
        <v>4708</v>
      </c>
      <c r="C48" s="78" t="s">
        <v>57</v>
      </c>
      <c r="D48" s="78" t="s">
        <v>4709</v>
      </c>
      <c r="E48" s="78" t="s">
        <v>64</v>
      </c>
      <c r="F48" s="78" t="s">
        <v>93</v>
      </c>
      <c r="G48" s="78" t="s">
        <v>93</v>
      </c>
      <c r="H48" s="329">
        <v>46177.0</v>
      </c>
      <c r="I48" s="329">
        <v>46178.0</v>
      </c>
      <c r="J48" s="78" t="s">
        <v>64</v>
      </c>
      <c r="K48" s="78" t="s">
        <v>4637</v>
      </c>
      <c r="L48" s="330"/>
      <c r="M48" s="330"/>
      <c r="N48" s="330"/>
      <c r="O48" s="330"/>
      <c r="P48" s="330"/>
    </row>
    <row r="49">
      <c r="A49" s="78" t="s">
        <v>4633</v>
      </c>
      <c r="B49" s="78" t="s">
        <v>2218</v>
      </c>
      <c r="C49" s="78" t="s">
        <v>58</v>
      </c>
      <c r="D49" s="78" t="s">
        <v>4710</v>
      </c>
      <c r="E49" s="78" t="s">
        <v>64</v>
      </c>
      <c r="F49" s="78" t="s">
        <v>163</v>
      </c>
      <c r="G49" s="78" t="s">
        <v>163</v>
      </c>
      <c r="H49" s="329">
        <v>46177.0</v>
      </c>
      <c r="I49" s="329">
        <v>46177.0</v>
      </c>
      <c r="J49" s="78" t="s">
        <v>64</v>
      </c>
      <c r="K49" s="78" t="s">
        <v>4637</v>
      </c>
      <c r="L49" s="330"/>
      <c r="M49" s="330"/>
      <c r="N49" s="330"/>
      <c r="O49" s="330"/>
      <c r="P49" s="330"/>
    </row>
    <row r="50">
      <c r="A50" s="78" t="s">
        <v>4633</v>
      </c>
      <c r="B50" s="78" t="s">
        <v>1825</v>
      </c>
      <c r="C50" s="78" t="s">
        <v>58</v>
      </c>
      <c r="D50" s="78" t="s">
        <v>4711</v>
      </c>
      <c r="E50" s="78" t="s">
        <v>64</v>
      </c>
      <c r="F50" s="78" t="s">
        <v>136</v>
      </c>
      <c r="G50" s="78" t="s">
        <v>136</v>
      </c>
      <c r="H50" s="329">
        <v>46177.0</v>
      </c>
      <c r="I50" s="329">
        <v>46178.0</v>
      </c>
      <c r="J50" s="78" t="s">
        <v>64</v>
      </c>
      <c r="K50" s="78" t="s">
        <v>4637</v>
      </c>
      <c r="L50" s="330"/>
      <c r="M50" s="330"/>
      <c r="N50" s="330"/>
      <c r="O50" s="330"/>
      <c r="P50" s="330"/>
    </row>
    <row r="51">
      <c r="A51" s="78" t="s">
        <v>4633</v>
      </c>
      <c r="B51" s="78" t="s">
        <v>4712</v>
      </c>
      <c r="C51" s="78" t="s">
        <v>58</v>
      </c>
      <c r="D51" s="78" t="s">
        <v>4713</v>
      </c>
      <c r="E51" s="78" t="s">
        <v>64</v>
      </c>
      <c r="F51" s="78" t="s">
        <v>93</v>
      </c>
      <c r="G51" s="78" t="s">
        <v>93</v>
      </c>
      <c r="H51" s="329">
        <v>46177.0</v>
      </c>
      <c r="I51" s="329">
        <v>46178.0</v>
      </c>
      <c r="J51" s="78" t="s">
        <v>64</v>
      </c>
      <c r="K51" s="78" t="s">
        <v>4637</v>
      </c>
      <c r="L51" s="330"/>
      <c r="M51" s="330"/>
      <c r="N51" s="330"/>
      <c r="O51" s="330"/>
      <c r="P51" s="330"/>
    </row>
    <row r="52">
      <c r="A52" s="78" t="s">
        <v>4633</v>
      </c>
      <c r="B52" s="78" t="s">
        <v>1847</v>
      </c>
      <c r="C52" s="78" t="s">
        <v>58</v>
      </c>
      <c r="D52" s="78" t="s">
        <v>4714</v>
      </c>
      <c r="E52" s="78" t="s">
        <v>64</v>
      </c>
      <c r="F52" s="78" t="s">
        <v>136</v>
      </c>
      <c r="G52" s="78" t="s">
        <v>136</v>
      </c>
      <c r="H52" s="329">
        <v>46177.0</v>
      </c>
      <c r="I52" s="329">
        <v>46177.0</v>
      </c>
      <c r="J52" s="78" t="s">
        <v>64</v>
      </c>
      <c r="K52" s="78" t="s">
        <v>4637</v>
      </c>
      <c r="L52" s="330"/>
      <c r="M52" s="330"/>
      <c r="N52" s="330"/>
      <c r="O52" s="330"/>
      <c r="P52" s="330"/>
    </row>
    <row r="53">
      <c r="A53" s="78" t="s">
        <v>4633</v>
      </c>
      <c r="B53" s="78" t="s">
        <v>4715</v>
      </c>
      <c r="C53" s="78" t="s">
        <v>58</v>
      </c>
      <c r="D53" s="78" t="s">
        <v>4716</v>
      </c>
      <c r="E53" s="78" t="s">
        <v>4635</v>
      </c>
      <c r="F53" s="78" t="s">
        <v>93</v>
      </c>
      <c r="G53" s="78" t="s">
        <v>4717</v>
      </c>
      <c r="H53" s="329">
        <v>46177.0</v>
      </c>
      <c r="I53" s="329">
        <v>46178.0</v>
      </c>
      <c r="J53" s="78" t="s">
        <v>62</v>
      </c>
      <c r="K53" s="78" t="s">
        <v>4637</v>
      </c>
      <c r="L53" s="330"/>
      <c r="M53" s="330"/>
      <c r="N53" s="330"/>
      <c r="O53" s="330"/>
      <c r="P53" s="330"/>
    </row>
    <row r="54">
      <c r="A54" s="78" t="s">
        <v>4633</v>
      </c>
      <c r="B54" s="78" t="s">
        <v>4718</v>
      </c>
      <c r="C54" s="78" t="s">
        <v>57</v>
      </c>
      <c r="D54" s="78" t="s">
        <v>4719</v>
      </c>
      <c r="E54" s="78" t="s">
        <v>64</v>
      </c>
      <c r="F54" s="78" t="s">
        <v>93</v>
      </c>
      <c r="G54" s="78" t="s">
        <v>93</v>
      </c>
      <c r="H54" s="329">
        <v>46177.0</v>
      </c>
      <c r="I54" s="329">
        <v>46178.0</v>
      </c>
      <c r="J54" s="78" t="s">
        <v>64</v>
      </c>
      <c r="K54" s="78" t="s">
        <v>4637</v>
      </c>
      <c r="L54" s="330"/>
      <c r="M54" s="330"/>
      <c r="N54" s="330"/>
      <c r="O54" s="330"/>
      <c r="P54" s="330"/>
    </row>
    <row r="55">
      <c r="A55" s="78" t="s">
        <v>4633</v>
      </c>
      <c r="B55" s="78" t="s">
        <v>4156</v>
      </c>
      <c r="C55" s="78" t="s">
        <v>58</v>
      </c>
      <c r="D55" s="78" t="s">
        <v>4720</v>
      </c>
      <c r="E55" s="78" t="s">
        <v>64</v>
      </c>
      <c r="F55" s="78" t="s">
        <v>228</v>
      </c>
      <c r="G55" s="78" t="s">
        <v>228</v>
      </c>
      <c r="H55" s="329">
        <v>46177.0</v>
      </c>
      <c r="I55" s="329">
        <v>46177.0</v>
      </c>
      <c r="J55" s="78" t="s">
        <v>64</v>
      </c>
      <c r="K55" s="78" t="s">
        <v>4637</v>
      </c>
      <c r="L55" s="330"/>
      <c r="M55" s="330"/>
      <c r="N55" s="330"/>
      <c r="O55" s="330"/>
      <c r="P55" s="330"/>
    </row>
    <row r="56">
      <c r="A56" s="78" t="s">
        <v>4633</v>
      </c>
      <c r="B56" s="78" t="s">
        <v>4124</v>
      </c>
      <c r="C56" s="78" t="s">
        <v>59</v>
      </c>
      <c r="D56" s="78" t="s">
        <v>4721</v>
      </c>
      <c r="E56" s="78" t="s">
        <v>64</v>
      </c>
      <c r="F56" s="78" t="s">
        <v>228</v>
      </c>
      <c r="G56" s="78" t="s">
        <v>228</v>
      </c>
      <c r="H56" s="329">
        <v>46177.0</v>
      </c>
      <c r="I56" s="329">
        <v>46178.0</v>
      </c>
      <c r="J56" s="78" t="s">
        <v>64</v>
      </c>
      <c r="K56" s="78" t="s">
        <v>64</v>
      </c>
      <c r="L56" s="330"/>
      <c r="M56" s="330"/>
      <c r="N56" s="330"/>
      <c r="O56" s="330"/>
      <c r="P56" s="330"/>
    </row>
    <row r="57">
      <c r="A57" s="78" t="s">
        <v>4633</v>
      </c>
      <c r="B57" s="78" t="s">
        <v>4134</v>
      </c>
      <c r="C57" s="78" t="s">
        <v>59</v>
      </c>
      <c r="D57" s="78" t="s">
        <v>4722</v>
      </c>
      <c r="E57" s="78" t="s">
        <v>64</v>
      </c>
      <c r="F57" s="78" t="s">
        <v>228</v>
      </c>
      <c r="G57" s="78" t="s">
        <v>228</v>
      </c>
      <c r="H57" s="329">
        <v>46177.0</v>
      </c>
      <c r="I57" s="329">
        <v>46177.0</v>
      </c>
      <c r="J57" s="78" t="s">
        <v>64</v>
      </c>
      <c r="K57" s="78" t="s">
        <v>4637</v>
      </c>
      <c r="L57" s="330"/>
      <c r="M57" s="330"/>
      <c r="N57" s="330"/>
      <c r="O57" s="330"/>
      <c r="P57" s="330"/>
    </row>
    <row r="58">
      <c r="A58" s="78" t="s">
        <v>4633</v>
      </c>
      <c r="B58" s="78" t="s">
        <v>1869</v>
      </c>
      <c r="C58" s="78" t="s">
        <v>58</v>
      </c>
      <c r="D58" s="78" t="s">
        <v>4723</v>
      </c>
      <c r="E58" s="78" t="s">
        <v>64</v>
      </c>
      <c r="F58" s="78" t="s">
        <v>136</v>
      </c>
      <c r="G58" s="78" t="s">
        <v>136</v>
      </c>
      <c r="H58" s="329">
        <v>46177.0</v>
      </c>
      <c r="I58" s="329">
        <v>46178.0</v>
      </c>
      <c r="J58" s="78" t="s">
        <v>64</v>
      </c>
      <c r="K58" s="78" t="s">
        <v>4637</v>
      </c>
      <c r="L58" s="330"/>
      <c r="M58" s="330"/>
      <c r="N58" s="330"/>
      <c r="O58" s="330"/>
      <c r="P58" s="330"/>
    </row>
    <row r="59">
      <c r="A59" s="78" t="s">
        <v>4633</v>
      </c>
      <c r="B59" s="78" t="s">
        <v>1893</v>
      </c>
      <c r="C59" s="78" t="s">
        <v>58</v>
      </c>
      <c r="D59" s="78" t="s">
        <v>4724</v>
      </c>
      <c r="E59" s="78" t="s">
        <v>64</v>
      </c>
      <c r="F59" s="78" t="s">
        <v>136</v>
      </c>
      <c r="G59" s="78" t="s">
        <v>136</v>
      </c>
      <c r="H59" s="329">
        <v>46177.0</v>
      </c>
      <c r="I59" s="329">
        <v>46178.0</v>
      </c>
      <c r="J59" s="78" t="s">
        <v>64</v>
      </c>
      <c r="K59" s="78" t="s">
        <v>4637</v>
      </c>
      <c r="L59" s="330"/>
      <c r="M59" s="330"/>
      <c r="N59" s="330"/>
      <c r="O59" s="330"/>
      <c r="P59" s="330"/>
    </row>
    <row r="60">
      <c r="A60" s="78" t="s">
        <v>4633</v>
      </c>
      <c r="B60" s="78" t="s">
        <v>4725</v>
      </c>
      <c r="C60" s="78" t="s">
        <v>58</v>
      </c>
      <c r="D60" s="78" t="s">
        <v>4726</v>
      </c>
      <c r="E60" s="78" t="s">
        <v>64</v>
      </c>
      <c r="F60" s="78" t="s">
        <v>136</v>
      </c>
      <c r="G60" s="78" t="s">
        <v>136</v>
      </c>
      <c r="H60" s="329">
        <v>46177.0</v>
      </c>
      <c r="I60" s="329">
        <v>46178.0</v>
      </c>
      <c r="J60" s="78" t="s">
        <v>64</v>
      </c>
      <c r="K60" s="78" t="s">
        <v>4637</v>
      </c>
      <c r="L60" s="330"/>
      <c r="M60" s="330"/>
      <c r="N60" s="330"/>
      <c r="O60" s="330"/>
      <c r="P60" s="330"/>
    </row>
    <row r="61">
      <c r="A61" s="78" t="s">
        <v>4633</v>
      </c>
      <c r="B61" s="78" t="s">
        <v>4727</v>
      </c>
      <c r="C61" s="78" t="s">
        <v>58</v>
      </c>
      <c r="D61" s="78" t="s">
        <v>4728</v>
      </c>
      <c r="E61" s="78" t="s">
        <v>64</v>
      </c>
      <c r="F61" s="78" t="s">
        <v>136</v>
      </c>
      <c r="G61" s="78" t="s">
        <v>136</v>
      </c>
      <c r="H61" s="329">
        <v>46177.0</v>
      </c>
      <c r="I61" s="329">
        <v>46178.0</v>
      </c>
      <c r="J61" s="78" t="s">
        <v>64</v>
      </c>
      <c r="K61" s="78" t="s">
        <v>4637</v>
      </c>
      <c r="L61" s="330"/>
      <c r="M61" s="330"/>
      <c r="N61" s="330"/>
      <c r="O61" s="330"/>
      <c r="P61" s="330"/>
    </row>
    <row r="62">
      <c r="A62" s="78" t="s">
        <v>4633</v>
      </c>
      <c r="B62" s="78" t="s">
        <v>4729</v>
      </c>
      <c r="C62" s="78" t="s">
        <v>57</v>
      </c>
      <c r="D62" s="78" t="s">
        <v>4730</v>
      </c>
      <c r="E62" s="78" t="s">
        <v>64</v>
      </c>
      <c r="F62" s="78" t="s">
        <v>93</v>
      </c>
      <c r="G62" s="78" t="s">
        <v>93</v>
      </c>
      <c r="H62" s="329">
        <v>46177.0</v>
      </c>
      <c r="I62" s="329">
        <v>46178.0</v>
      </c>
      <c r="J62" s="78" t="s">
        <v>64</v>
      </c>
      <c r="K62" s="78" t="s">
        <v>4637</v>
      </c>
      <c r="L62" s="330"/>
      <c r="M62" s="330"/>
      <c r="N62" s="330"/>
      <c r="O62" s="330"/>
      <c r="P62" s="330"/>
    </row>
    <row r="63">
      <c r="A63" s="78" t="s">
        <v>4633</v>
      </c>
      <c r="B63" s="78" t="s">
        <v>2699</v>
      </c>
      <c r="C63" s="78" t="s">
        <v>58</v>
      </c>
      <c r="D63" s="78" t="s">
        <v>4731</v>
      </c>
      <c r="E63" s="78" t="s">
        <v>64</v>
      </c>
      <c r="F63" s="78" t="s">
        <v>136</v>
      </c>
      <c r="G63" s="78" t="s">
        <v>136</v>
      </c>
      <c r="H63" s="329">
        <v>46177.0</v>
      </c>
      <c r="I63" s="329">
        <v>46178.0</v>
      </c>
      <c r="J63" s="78" t="s">
        <v>64</v>
      </c>
      <c r="K63" s="78" t="s">
        <v>4637</v>
      </c>
      <c r="L63" s="330"/>
      <c r="M63" s="330"/>
      <c r="N63" s="330"/>
      <c r="O63" s="330"/>
      <c r="P63" s="330"/>
    </row>
    <row r="64">
      <c r="A64" s="78" t="s">
        <v>4633</v>
      </c>
      <c r="B64" s="78" t="s">
        <v>4732</v>
      </c>
      <c r="C64" s="78" t="s">
        <v>57</v>
      </c>
      <c r="D64" s="78" t="s">
        <v>4733</v>
      </c>
      <c r="E64" s="78" t="s">
        <v>64</v>
      </c>
      <c r="F64" s="78" t="s">
        <v>93</v>
      </c>
      <c r="G64" s="78" t="s">
        <v>93</v>
      </c>
      <c r="H64" s="329">
        <v>46177.0</v>
      </c>
      <c r="I64" s="329">
        <v>46178.0</v>
      </c>
      <c r="J64" s="78" t="s">
        <v>64</v>
      </c>
      <c r="K64" s="78" t="s">
        <v>4637</v>
      </c>
      <c r="L64" s="330"/>
      <c r="M64" s="330"/>
      <c r="N64" s="330"/>
      <c r="O64" s="330"/>
      <c r="P64" s="330"/>
    </row>
    <row r="65">
      <c r="A65" s="78" t="s">
        <v>4633</v>
      </c>
      <c r="B65" s="78" t="s">
        <v>2751</v>
      </c>
      <c r="C65" s="78" t="s">
        <v>58</v>
      </c>
      <c r="D65" s="78" t="s">
        <v>4734</v>
      </c>
      <c r="E65" s="78" t="s">
        <v>64</v>
      </c>
      <c r="F65" s="78" t="s">
        <v>136</v>
      </c>
      <c r="G65" s="78" t="s">
        <v>136</v>
      </c>
      <c r="H65" s="329">
        <v>46177.0</v>
      </c>
      <c r="I65" s="329">
        <v>46178.0</v>
      </c>
      <c r="J65" s="78" t="s">
        <v>64</v>
      </c>
      <c r="K65" s="78" t="s">
        <v>4637</v>
      </c>
      <c r="L65" s="330"/>
      <c r="M65" s="330"/>
      <c r="N65" s="330"/>
      <c r="O65" s="330"/>
      <c r="P65" s="330"/>
    </row>
    <row r="66">
      <c r="A66" s="78" t="s">
        <v>4633</v>
      </c>
      <c r="B66" s="78" t="s">
        <v>2762</v>
      </c>
      <c r="C66" s="78" t="s">
        <v>58</v>
      </c>
      <c r="D66" s="78" t="s">
        <v>4735</v>
      </c>
      <c r="E66" s="78" t="s">
        <v>64</v>
      </c>
      <c r="F66" s="78" t="s">
        <v>136</v>
      </c>
      <c r="G66" s="78" t="s">
        <v>136</v>
      </c>
      <c r="H66" s="329">
        <v>46177.0</v>
      </c>
      <c r="I66" s="329">
        <v>46178.0</v>
      </c>
      <c r="J66" s="78" t="s">
        <v>64</v>
      </c>
      <c r="K66" s="78" t="s">
        <v>4637</v>
      </c>
      <c r="L66" s="330"/>
      <c r="M66" s="330"/>
      <c r="N66" s="330"/>
      <c r="O66" s="330"/>
      <c r="P66" s="330"/>
    </row>
    <row r="67">
      <c r="A67" s="78" t="s">
        <v>4633</v>
      </c>
      <c r="B67" s="78" t="s">
        <v>4736</v>
      </c>
      <c r="C67" s="78" t="s">
        <v>58</v>
      </c>
      <c r="D67" s="78" t="s">
        <v>4737</v>
      </c>
      <c r="E67" s="78" t="s">
        <v>4666</v>
      </c>
      <c r="F67" s="78" t="s">
        <v>163</v>
      </c>
      <c r="G67" s="78" t="s">
        <v>163</v>
      </c>
      <c r="H67" s="329">
        <v>46177.0</v>
      </c>
      <c r="I67" s="329">
        <v>46178.0</v>
      </c>
      <c r="J67" s="78" t="s">
        <v>4667</v>
      </c>
      <c r="K67" s="78" t="s">
        <v>4668</v>
      </c>
      <c r="L67" s="330"/>
      <c r="M67" s="330"/>
      <c r="N67" s="330"/>
      <c r="O67" s="330"/>
      <c r="P67" s="330"/>
    </row>
    <row r="68">
      <c r="A68" s="78" t="s">
        <v>4633</v>
      </c>
      <c r="B68" s="78" t="s">
        <v>4738</v>
      </c>
      <c r="C68" s="78" t="s">
        <v>58</v>
      </c>
      <c r="D68" s="78" t="s">
        <v>4739</v>
      </c>
      <c r="E68" s="78" t="s">
        <v>4666</v>
      </c>
      <c r="F68" s="78" t="s">
        <v>93</v>
      </c>
      <c r="G68" s="78" t="s">
        <v>4673</v>
      </c>
      <c r="H68" s="329">
        <v>46177.0</v>
      </c>
      <c r="I68" s="329">
        <v>46177.0</v>
      </c>
      <c r="J68" s="78" t="s">
        <v>4667</v>
      </c>
      <c r="K68" s="78" t="s">
        <v>4668</v>
      </c>
      <c r="L68" s="330"/>
      <c r="M68" s="330"/>
      <c r="N68" s="330"/>
      <c r="O68" s="330"/>
      <c r="P68" s="330"/>
    </row>
    <row r="69">
      <c r="A69" s="78" t="s">
        <v>4633</v>
      </c>
      <c r="B69" s="78" t="s">
        <v>4740</v>
      </c>
      <c r="C69" s="78" t="s">
        <v>58</v>
      </c>
      <c r="D69" s="78" t="s">
        <v>4741</v>
      </c>
      <c r="E69" s="78" t="s">
        <v>4635</v>
      </c>
      <c r="F69" s="78" t="s">
        <v>93</v>
      </c>
      <c r="G69" s="78" t="s">
        <v>4717</v>
      </c>
      <c r="H69" s="329">
        <v>46178.0</v>
      </c>
      <c r="I69" s="329">
        <v>46178.0</v>
      </c>
      <c r="J69" s="78" t="s">
        <v>62</v>
      </c>
      <c r="K69" s="78" t="s">
        <v>4637</v>
      </c>
      <c r="L69" s="330"/>
      <c r="M69" s="330"/>
      <c r="N69" s="330"/>
      <c r="O69" s="330"/>
      <c r="P69" s="330"/>
    </row>
    <row r="70">
      <c r="A70" s="78" t="s">
        <v>4633</v>
      </c>
      <c r="B70" s="78" t="s">
        <v>4742</v>
      </c>
      <c r="C70" s="78" t="s">
        <v>58</v>
      </c>
      <c r="D70" s="78" t="s">
        <v>4743</v>
      </c>
      <c r="E70" s="78" t="s">
        <v>4635</v>
      </c>
      <c r="F70" s="78" t="s">
        <v>93</v>
      </c>
      <c r="G70" s="78" t="s">
        <v>4717</v>
      </c>
      <c r="H70" s="329">
        <v>46178.0</v>
      </c>
      <c r="I70" s="329">
        <v>46178.0</v>
      </c>
      <c r="J70" s="78" t="s">
        <v>62</v>
      </c>
      <c r="K70" s="78" t="s">
        <v>4637</v>
      </c>
      <c r="L70" s="330"/>
      <c r="M70" s="330"/>
      <c r="N70" s="330"/>
      <c r="O70" s="330"/>
      <c r="P70" s="330"/>
    </row>
    <row r="71">
      <c r="A71" s="78" t="s">
        <v>4633</v>
      </c>
      <c r="B71" s="78" t="s">
        <v>4744</v>
      </c>
      <c r="C71" s="78" t="s">
        <v>57</v>
      </c>
      <c r="D71" s="78" t="s">
        <v>4745</v>
      </c>
      <c r="E71" s="78" t="s">
        <v>4635</v>
      </c>
      <c r="F71" s="78" t="s">
        <v>93</v>
      </c>
      <c r="G71" s="78" t="s">
        <v>4717</v>
      </c>
      <c r="H71" s="329">
        <v>46178.0</v>
      </c>
      <c r="I71" s="329">
        <v>46178.0</v>
      </c>
      <c r="J71" s="78" t="s">
        <v>62</v>
      </c>
      <c r="K71" s="78" t="s">
        <v>4637</v>
      </c>
      <c r="L71" s="330"/>
      <c r="M71" s="330"/>
      <c r="N71" s="330"/>
      <c r="O71" s="330"/>
      <c r="P71" s="330"/>
    </row>
    <row r="72">
      <c r="A72" s="78" t="s">
        <v>4633</v>
      </c>
      <c r="B72" s="78" t="s">
        <v>4198</v>
      </c>
      <c r="C72" s="78" t="s">
        <v>58</v>
      </c>
      <c r="D72" s="78" t="s">
        <v>4746</v>
      </c>
      <c r="E72" s="78" t="s">
        <v>64</v>
      </c>
      <c r="F72" s="78" t="s">
        <v>228</v>
      </c>
      <c r="G72" s="78" t="s">
        <v>228</v>
      </c>
      <c r="H72" s="329">
        <v>46178.0</v>
      </c>
      <c r="I72" s="329">
        <v>46178.0</v>
      </c>
      <c r="J72" s="78" t="s">
        <v>64</v>
      </c>
      <c r="K72" s="78" t="s">
        <v>64</v>
      </c>
      <c r="L72" s="330"/>
      <c r="M72" s="330"/>
      <c r="N72" s="330"/>
      <c r="O72" s="330"/>
      <c r="P72" s="330"/>
    </row>
    <row r="73">
      <c r="A73" s="78" t="s">
        <v>4633</v>
      </c>
      <c r="B73" s="78" t="s">
        <v>4747</v>
      </c>
      <c r="C73" s="78" t="s">
        <v>58</v>
      </c>
      <c r="D73" s="78" t="s">
        <v>4748</v>
      </c>
      <c r="E73" s="78" t="s">
        <v>64</v>
      </c>
      <c r="F73" s="78" t="s">
        <v>93</v>
      </c>
      <c r="G73" s="78" t="s">
        <v>93</v>
      </c>
      <c r="H73" s="329">
        <v>46178.0</v>
      </c>
      <c r="I73" s="329">
        <v>46178.0</v>
      </c>
      <c r="J73" s="78" t="s">
        <v>64</v>
      </c>
      <c r="K73" s="78" t="s">
        <v>4637</v>
      </c>
      <c r="L73" s="330"/>
      <c r="M73" s="330"/>
      <c r="N73" s="330"/>
      <c r="O73" s="330"/>
      <c r="P73" s="330"/>
    </row>
    <row r="74">
      <c r="A74" s="78" t="s">
        <v>4749</v>
      </c>
      <c r="B74" s="78" t="s">
        <v>4750</v>
      </c>
      <c r="C74" s="78" t="s">
        <v>58</v>
      </c>
      <c r="D74" s="78" t="s">
        <v>4751</v>
      </c>
      <c r="E74" s="78" t="s">
        <v>4635</v>
      </c>
      <c r="F74" s="78" t="s">
        <v>228</v>
      </c>
      <c r="G74" s="78" t="s">
        <v>4636</v>
      </c>
      <c r="H74" s="329">
        <v>46178.0</v>
      </c>
      <c r="I74" s="329">
        <v>46178.0</v>
      </c>
      <c r="J74" s="78" t="s">
        <v>62</v>
      </c>
      <c r="K74" s="78" t="s">
        <v>4637</v>
      </c>
      <c r="L74" s="330"/>
      <c r="M74" s="330"/>
      <c r="N74" s="330"/>
      <c r="O74" s="330"/>
      <c r="P74" s="330"/>
    </row>
    <row r="75">
      <c r="A75" s="78" t="s">
        <v>4633</v>
      </c>
      <c r="B75" s="78" t="s">
        <v>2391</v>
      </c>
      <c r="C75" s="78" t="s">
        <v>58</v>
      </c>
      <c r="D75" s="78" t="s">
        <v>4752</v>
      </c>
      <c r="E75" s="78" t="s">
        <v>64</v>
      </c>
      <c r="F75" s="78" t="s">
        <v>163</v>
      </c>
      <c r="G75" s="78" t="s">
        <v>163</v>
      </c>
      <c r="H75" s="329">
        <v>46178.0</v>
      </c>
      <c r="I75" s="329">
        <v>46178.0</v>
      </c>
      <c r="J75" s="78" t="s">
        <v>64</v>
      </c>
      <c r="K75" s="78" t="s">
        <v>64</v>
      </c>
      <c r="L75" s="330"/>
      <c r="M75" s="330"/>
      <c r="N75" s="330"/>
      <c r="O75" s="330"/>
      <c r="P75" s="330"/>
    </row>
    <row r="76">
      <c r="A76" s="78" t="s">
        <v>4633</v>
      </c>
      <c r="B76" s="78" t="s">
        <v>4085</v>
      </c>
      <c r="C76" s="78" t="s">
        <v>58</v>
      </c>
      <c r="D76" s="78" t="s">
        <v>4753</v>
      </c>
      <c r="E76" s="78" t="s">
        <v>4666</v>
      </c>
      <c r="F76" s="78" t="s">
        <v>228</v>
      </c>
      <c r="G76" s="78" t="s">
        <v>4673</v>
      </c>
      <c r="H76" s="329">
        <v>46178.0</v>
      </c>
      <c r="I76" s="329">
        <v>46178.0</v>
      </c>
      <c r="J76" s="78" t="s">
        <v>4667</v>
      </c>
      <c r="K76" s="78" t="s">
        <v>4668</v>
      </c>
      <c r="L76" s="330"/>
      <c r="M76" s="330"/>
      <c r="N76" s="330"/>
      <c r="O76" s="330"/>
      <c r="P76" s="330"/>
    </row>
    <row r="77">
      <c r="A77" s="78" t="s">
        <v>4633</v>
      </c>
      <c r="B77" s="78" t="s">
        <v>4754</v>
      </c>
      <c r="C77" s="78" t="s">
        <v>58</v>
      </c>
      <c r="D77" s="78" t="s">
        <v>4755</v>
      </c>
      <c r="E77" s="78" t="s">
        <v>4635</v>
      </c>
      <c r="F77" s="78" t="s">
        <v>93</v>
      </c>
      <c r="G77" s="78" t="s">
        <v>4717</v>
      </c>
      <c r="H77" s="329">
        <v>46178.0</v>
      </c>
      <c r="I77" s="329">
        <v>46178.0</v>
      </c>
      <c r="J77" s="78" t="s">
        <v>62</v>
      </c>
      <c r="K77" s="78" t="s">
        <v>4637</v>
      </c>
      <c r="L77" s="330"/>
      <c r="M77" s="330"/>
      <c r="N77" s="330"/>
      <c r="O77" s="330"/>
      <c r="P77" s="330"/>
    </row>
    <row r="78">
      <c r="A78" s="78" t="s">
        <v>4633</v>
      </c>
      <c r="B78" s="78" t="s">
        <v>4756</v>
      </c>
      <c r="C78" s="78" t="s">
        <v>58</v>
      </c>
      <c r="D78" s="78" t="s">
        <v>4757</v>
      </c>
      <c r="E78" s="78" t="s">
        <v>4666</v>
      </c>
      <c r="F78" s="78" t="s">
        <v>163</v>
      </c>
      <c r="G78" s="78" t="s">
        <v>4758</v>
      </c>
      <c r="H78" s="329">
        <v>46178.0</v>
      </c>
      <c r="I78" s="329">
        <v>46178.0</v>
      </c>
      <c r="J78" s="78" t="s">
        <v>4667</v>
      </c>
      <c r="K78" s="78" t="s">
        <v>4668</v>
      </c>
      <c r="L78" s="330"/>
      <c r="M78" s="330"/>
      <c r="N78" s="330"/>
      <c r="O78" s="330"/>
      <c r="P78" s="330"/>
    </row>
    <row r="79">
      <c r="A79" s="78" t="s">
        <v>4633</v>
      </c>
      <c r="B79" s="78" t="s">
        <v>2879</v>
      </c>
      <c r="C79" s="78" t="s">
        <v>58</v>
      </c>
      <c r="D79" s="78" t="s">
        <v>4759</v>
      </c>
      <c r="E79" s="78" t="s">
        <v>4635</v>
      </c>
      <c r="F79" s="78" t="s">
        <v>136</v>
      </c>
      <c r="G79" s="78" t="s">
        <v>4636</v>
      </c>
      <c r="H79" s="329">
        <v>46178.0</v>
      </c>
      <c r="I79" s="329">
        <v>46178.0</v>
      </c>
      <c r="J79" s="78" t="s">
        <v>62</v>
      </c>
      <c r="K79" s="78" t="s">
        <v>4637</v>
      </c>
      <c r="L79" s="330"/>
      <c r="M79" s="330"/>
      <c r="N79" s="330"/>
      <c r="O79" s="330"/>
      <c r="P79" s="330"/>
    </row>
    <row r="80">
      <c r="A80" s="78" t="s">
        <v>4633</v>
      </c>
      <c r="B80" s="78" t="s">
        <v>4173</v>
      </c>
      <c r="C80" s="78" t="s">
        <v>58</v>
      </c>
      <c r="D80" s="78" t="s">
        <v>4760</v>
      </c>
      <c r="E80" s="78" t="s">
        <v>4700</v>
      </c>
      <c r="F80" s="78" t="s">
        <v>228</v>
      </c>
      <c r="G80" s="78" t="s">
        <v>4758</v>
      </c>
      <c r="H80" s="329">
        <v>46178.0</v>
      </c>
      <c r="I80" s="329">
        <v>46178.0</v>
      </c>
      <c r="J80" s="78" t="s">
        <v>4667</v>
      </c>
      <c r="K80" s="78" t="s">
        <v>4668</v>
      </c>
      <c r="L80" s="330"/>
      <c r="M80" s="330"/>
      <c r="N80" s="330"/>
      <c r="O80" s="330"/>
      <c r="P80" s="330"/>
    </row>
    <row r="81">
      <c r="A81" s="78" t="s">
        <v>4633</v>
      </c>
      <c r="B81" s="78" t="s">
        <v>2363</v>
      </c>
      <c r="C81" s="78" t="s">
        <v>58</v>
      </c>
      <c r="D81" s="78" t="s">
        <v>4761</v>
      </c>
      <c r="E81" s="78" t="s">
        <v>4666</v>
      </c>
      <c r="F81" s="78" t="s">
        <v>163</v>
      </c>
      <c r="G81" s="78" t="s">
        <v>4758</v>
      </c>
      <c r="H81" s="329">
        <v>46178.0</v>
      </c>
      <c r="I81" s="329">
        <v>46178.0</v>
      </c>
      <c r="J81" s="78" t="s">
        <v>4667</v>
      </c>
      <c r="K81" s="78" t="s">
        <v>4668</v>
      </c>
      <c r="L81" s="330"/>
      <c r="M81" s="330"/>
      <c r="N81" s="330"/>
      <c r="O81" s="330"/>
      <c r="P81" s="330"/>
    </row>
    <row r="82">
      <c r="A82" s="78" t="s">
        <v>4633</v>
      </c>
      <c r="B82" s="78" t="s">
        <v>4212</v>
      </c>
      <c r="C82" s="78" t="s">
        <v>59</v>
      </c>
      <c r="D82" s="78" t="s">
        <v>4762</v>
      </c>
      <c r="E82" s="78" t="s">
        <v>64</v>
      </c>
      <c r="F82" s="78" t="s">
        <v>228</v>
      </c>
      <c r="G82" s="78" t="s">
        <v>228</v>
      </c>
      <c r="H82" s="329">
        <v>46178.0</v>
      </c>
      <c r="I82" s="329">
        <v>46178.0</v>
      </c>
      <c r="J82" s="78" t="s">
        <v>64</v>
      </c>
      <c r="K82" s="78" t="s">
        <v>4637</v>
      </c>
      <c r="L82" s="330"/>
      <c r="M82" s="330"/>
      <c r="N82" s="330"/>
      <c r="O82" s="330"/>
      <c r="P82" s="330"/>
    </row>
    <row r="83">
      <c r="A83" s="78" t="s">
        <v>4633</v>
      </c>
      <c r="B83" s="78" t="s">
        <v>4763</v>
      </c>
      <c r="C83" s="78" t="s">
        <v>57</v>
      </c>
      <c r="D83" s="78" t="s">
        <v>4764</v>
      </c>
      <c r="E83" s="78" t="s">
        <v>4635</v>
      </c>
      <c r="F83" s="78" t="s">
        <v>93</v>
      </c>
      <c r="G83" s="78" t="s">
        <v>4717</v>
      </c>
      <c r="H83" s="329">
        <v>46178.0</v>
      </c>
      <c r="I83" s="329">
        <v>46178.0</v>
      </c>
      <c r="J83" s="78" t="s">
        <v>62</v>
      </c>
      <c r="K83" s="78" t="s">
        <v>4637</v>
      </c>
      <c r="L83" s="330"/>
      <c r="M83" s="330"/>
      <c r="N83" s="330"/>
      <c r="O83" s="330"/>
      <c r="P83" s="330"/>
    </row>
    <row r="84">
      <c r="A84" s="78" t="s">
        <v>4633</v>
      </c>
      <c r="B84" s="78" t="s">
        <v>4765</v>
      </c>
      <c r="C84" s="78" t="s">
        <v>58</v>
      </c>
      <c r="D84" s="78" t="s">
        <v>4766</v>
      </c>
      <c r="E84" s="78" t="s">
        <v>4635</v>
      </c>
      <c r="F84" s="78" t="s">
        <v>93</v>
      </c>
      <c r="G84" s="78" t="s">
        <v>4717</v>
      </c>
      <c r="H84" s="329">
        <v>46178.0</v>
      </c>
      <c r="I84" s="329">
        <v>46178.0</v>
      </c>
      <c r="J84" s="78" t="s">
        <v>62</v>
      </c>
      <c r="K84" s="78" t="s">
        <v>4637</v>
      </c>
      <c r="L84" s="330"/>
      <c r="M84" s="330"/>
      <c r="N84" s="330"/>
      <c r="O84" s="330"/>
      <c r="P84" s="330"/>
    </row>
    <row r="85">
      <c r="A85" s="78" t="s">
        <v>4633</v>
      </c>
      <c r="B85" s="78" t="s">
        <v>2437</v>
      </c>
      <c r="C85" s="78" t="s">
        <v>58</v>
      </c>
      <c r="D85" s="78" t="s">
        <v>4767</v>
      </c>
      <c r="E85" s="78" t="s">
        <v>4666</v>
      </c>
      <c r="F85" s="78" t="s">
        <v>163</v>
      </c>
      <c r="G85" s="78" t="s">
        <v>4768</v>
      </c>
      <c r="H85" s="329">
        <v>46178.0</v>
      </c>
      <c r="I85" s="329">
        <v>46178.0</v>
      </c>
      <c r="J85" s="78" t="s">
        <v>4667</v>
      </c>
      <c r="K85" s="78" t="s">
        <v>4668</v>
      </c>
      <c r="L85" s="330"/>
      <c r="M85" s="330"/>
      <c r="N85" s="330"/>
      <c r="O85" s="330"/>
      <c r="P85" s="330"/>
    </row>
    <row r="86">
      <c r="A86" s="78" t="s">
        <v>4633</v>
      </c>
      <c r="B86" s="78" t="s">
        <v>4769</v>
      </c>
      <c r="C86" s="78" t="s">
        <v>58</v>
      </c>
      <c r="D86" s="78" t="s">
        <v>4770</v>
      </c>
      <c r="E86" s="78" t="s">
        <v>62</v>
      </c>
      <c r="F86" s="78" t="s">
        <v>93</v>
      </c>
      <c r="G86" s="78" t="s">
        <v>4717</v>
      </c>
      <c r="H86" s="329">
        <v>46178.0</v>
      </c>
      <c r="I86" s="329">
        <v>46178.0</v>
      </c>
      <c r="J86" s="78" t="s">
        <v>62</v>
      </c>
      <c r="K86" s="78" t="s">
        <v>4668</v>
      </c>
      <c r="L86" s="330"/>
      <c r="M86" s="330"/>
      <c r="N86" s="330"/>
      <c r="O86" s="330"/>
      <c r="P86" s="330"/>
    </row>
    <row r="87">
      <c r="A87" s="78" t="s">
        <v>4633</v>
      </c>
      <c r="B87" s="78" t="s">
        <v>3754</v>
      </c>
      <c r="C87" s="78" t="s">
        <v>59</v>
      </c>
      <c r="D87" s="78" t="s">
        <v>4771</v>
      </c>
      <c r="E87" s="78" t="s">
        <v>4666</v>
      </c>
      <c r="F87" s="78" t="s">
        <v>228</v>
      </c>
      <c r="G87" s="78" t="s">
        <v>4772</v>
      </c>
      <c r="H87" s="329">
        <v>46178.0</v>
      </c>
      <c r="I87" s="329">
        <v>46178.0</v>
      </c>
      <c r="J87" s="78" t="s">
        <v>4667</v>
      </c>
      <c r="K87" s="78" t="s">
        <v>4668</v>
      </c>
      <c r="L87" s="330"/>
      <c r="M87" s="330"/>
      <c r="N87" s="330"/>
      <c r="O87" s="330"/>
      <c r="P87" s="330"/>
    </row>
    <row r="88">
      <c r="A88" s="78" t="s">
        <v>4633</v>
      </c>
      <c r="B88" s="78" t="s">
        <v>2337</v>
      </c>
      <c r="C88" s="78" t="s">
        <v>59</v>
      </c>
      <c r="D88" s="78" t="s">
        <v>4773</v>
      </c>
      <c r="E88" s="78" t="s">
        <v>4666</v>
      </c>
      <c r="F88" s="78" t="s">
        <v>163</v>
      </c>
      <c r="G88" s="78" t="s">
        <v>4636</v>
      </c>
      <c r="H88" s="329">
        <v>46178.0</v>
      </c>
      <c r="I88" s="329">
        <v>46178.0</v>
      </c>
      <c r="J88" s="78" t="s">
        <v>4667</v>
      </c>
      <c r="K88" s="78" t="s">
        <v>4668</v>
      </c>
      <c r="L88" s="330"/>
      <c r="M88" s="330"/>
      <c r="N88" s="330"/>
      <c r="O88" s="330"/>
      <c r="P88" s="330"/>
    </row>
    <row r="89">
      <c r="A89" s="78" t="s">
        <v>4633</v>
      </c>
      <c r="B89" s="78" t="s">
        <v>2931</v>
      </c>
      <c r="C89" s="78" t="s">
        <v>59</v>
      </c>
      <c r="D89" s="78" t="s">
        <v>4774</v>
      </c>
      <c r="E89" s="78" t="s">
        <v>4666</v>
      </c>
      <c r="F89" s="78" t="s">
        <v>136</v>
      </c>
      <c r="G89" s="78" t="s">
        <v>4636</v>
      </c>
      <c r="H89" s="329">
        <v>46178.0</v>
      </c>
      <c r="I89" s="329">
        <v>46178.0</v>
      </c>
      <c r="J89" s="78" t="s">
        <v>4667</v>
      </c>
      <c r="K89" s="78" t="s">
        <v>4668</v>
      </c>
      <c r="L89" s="330"/>
      <c r="M89" s="330"/>
      <c r="N89" s="330"/>
      <c r="O89" s="330"/>
      <c r="P89" s="330"/>
    </row>
    <row r="90">
      <c r="A90" s="330"/>
      <c r="B90" s="330"/>
      <c r="C90" s="330"/>
      <c r="D90" s="330"/>
      <c r="E90" s="330"/>
      <c r="F90" s="330"/>
      <c r="G90" s="330"/>
      <c r="H90" s="330"/>
      <c r="I90" s="330"/>
      <c r="J90" s="330"/>
      <c r="K90" s="330"/>
      <c r="L90" s="330"/>
      <c r="M90" s="330"/>
      <c r="N90" s="330"/>
      <c r="O90" s="330"/>
      <c r="P90" s="330"/>
    </row>
    <row r="91">
      <c r="A91" s="330"/>
      <c r="B91" s="330"/>
      <c r="C91" s="330"/>
      <c r="D91" s="330"/>
      <c r="E91" s="330"/>
      <c r="F91" s="330"/>
      <c r="G91" s="330"/>
      <c r="H91" s="330"/>
      <c r="I91" s="330"/>
      <c r="J91" s="330"/>
      <c r="K91" s="330"/>
      <c r="L91" s="330"/>
      <c r="M91" s="330"/>
      <c r="N91" s="330"/>
      <c r="O91" s="330"/>
      <c r="P91" s="330"/>
    </row>
    <row r="92">
      <c r="G92" s="331"/>
    </row>
    <row r="93">
      <c r="G93" s="331"/>
    </row>
    <row r="94">
      <c r="G94" s="331"/>
    </row>
    <row r="95">
      <c r="G95" s="331"/>
    </row>
    <row r="96">
      <c r="G96" s="331"/>
    </row>
    <row r="97">
      <c r="G97" s="331"/>
    </row>
    <row r="98">
      <c r="G98" s="331"/>
    </row>
    <row r="99">
      <c r="G99" s="331"/>
    </row>
    <row r="100">
      <c r="G100" s="331"/>
    </row>
    <row r="101">
      <c r="G101" s="331"/>
    </row>
    <row r="102">
      <c r="G102" s="331"/>
    </row>
    <row r="103">
      <c r="G103" s="331"/>
    </row>
    <row r="104">
      <c r="G104" s="331"/>
    </row>
    <row r="105">
      <c r="G105" s="331"/>
    </row>
    <row r="106">
      <c r="G106" s="331"/>
    </row>
    <row r="107">
      <c r="G107" s="331"/>
    </row>
    <row r="108">
      <c r="G108" s="331"/>
    </row>
    <row r="109">
      <c r="G109" s="331"/>
    </row>
    <row r="110">
      <c r="G110" s="331"/>
    </row>
    <row r="111">
      <c r="G111" s="331"/>
    </row>
    <row r="112">
      <c r="G112" s="331"/>
    </row>
    <row r="113">
      <c r="G113" s="331"/>
    </row>
    <row r="114">
      <c r="G114" s="331"/>
    </row>
    <row r="115">
      <c r="G115" s="331"/>
    </row>
    <row r="116">
      <c r="G116" s="331"/>
    </row>
    <row r="117">
      <c r="G117" s="331"/>
    </row>
    <row r="118">
      <c r="G118" s="331"/>
    </row>
    <row r="119">
      <c r="G119" s="331"/>
    </row>
    <row r="120">
      <c r="G120" s="331"/>
    </row>
    <row r="121">
      <c r="G121" s="331"/>
    </row>
    <row r="122">
      <c r="G122" s="331"/>
    </row>
    <row r="123">
      <c r="G123" s="331"/>
    </row>
    <row r="124">
      <c r="G124" s="331"/>
    </row>
    <row r="125">
      <c r="G125" s="331"/>
    </row>
    <row r="126">
      <c r="G126" s="331"/>
    </row>
    <row r="127">
      <c r="G127" s="331"/>
    </row>
    <row r="128">
      <c r="G128" s="331"/>
    </row>
    <row r="129">
      <c r="G129" s="331"/>
    </row>
    <row r="130">
      <c r="G130" s="331"/>
    </row>
    <row r="131">
      <c r="G131" s="331"/>
    </row>
    <row r="132">
      <c r="G132" s="331"/>
    </row>
    <row r="133">
      <c r="G133" s="331"/>
    </row>
    <row r="134">
      <c r="G134" s="331"/>
    </row>
    <row r="135">
      <c r="G135" s="331"/>
    </row>
    <row r="136">
      <c r="G136" s="331"/>
    </row>
    <row r="137">
      <c r="G137" s="331"/>
    </row>
    <row r="138">
      <c r="G138" s="331"/>
    </row>
    <row r="139">
      <c r="G139" s="331"/>
    </row>
    <row r="140">
      <c r="G140" s="331"/>
    </row>
    <row r="141">
      <c r="G141" s="331"/>
    </row>
    <row r="142">
      <c r="G142" s="331"/>
    </row>
    <row r="143">
      <c r="G143" s="331"/>
    </row>
    <row r="144">
      <c r="G144" s="331"/>
    </row>
    <row r="145">
      <c r="G145" s="331"/>
    </row>
    <row r="146">
      <c r="G146" s="331"/>
    </row>
    <row r="147">
      <c r="G147" s="331"/>
    </row>
    <row r="148">
      <c r="G148" s="331"/>
    </row>
    <row r="149">
      <c r="G149" s="331"/>
    </row>
    <row r="150">
      <c r="G150" s="331"/>
    </row>
    <row r="151">
      <c r="G151" s="331"/>
    </row>
    <row r="152">
      <c r="G152" s="331"/>
    </row>
    <row r="153">
      <c r="G153" s="331"/>
    </row>
    <row r="154">
      <c r="G154" s="331"/>
    </row>
    <row r="155">
      <c r="G155" s="331"/>
    </row>
    <row r="156">
      <c r="G156" s="331"/>
    </row>
    <row r="157">
      <c r="G157" s="331"/>
    </row>
    <row r="158">
      <c r="G158" s="331"/>
    </row>
    <row r="159">
      <c r="G159" s="331"/>
    </row>
    <row r="160">
      <c r="G160" s="331"/>
    </row>
    <row r="161">
      <c r="G161" s="331"/>
    </row>
    <row r="162">
      <c r="G162" s="331"/>
    </row>
    <row r="163">
      <c r="G163" s="331"/>
    </row>
    <row r="164">
      <c r="G164" s="331"/>
    </row>
    <row r="165">
      <c r="G165" s="331"/>
    </row>
    <row r="166">
      <c r="G166" s="331"/>
    </row>
    <row r="167">
      <c r="G167" s="331"/>
    </row>
    <row r="168">
      <c r="G168" s="331"/>
    </row>
    <row r="169">
      <c r="G169" s="331"/>
    </row>
    <row r="170">
      <c r="G170" s="331"/>
    </row>
    <row r="171">
      <c r="G171" s="331"/>
    </row>
    <row r="172">
      <c r="G172" s="331"/>
    </row>
    <row r="173">
      <c r="G173" s="331"/>
    </row>
    <row r="174">
      <c r="G174" s="331"/>
    </row>
    <row r="175">
      <c r="G175" s="331"/>
    </row>
    <row r="176">
      <c r="G176" s="331"/>
    </row>
    <row r="177">
      <c r="G177" s="331"/>
    </row>
    <row r="178">
      <c r="G178" s="331"/>
    </row>
    <row r="179">
      <c r="G179" s="331"/>
    </row>
    <row r="180">
      <c r="G180" s="331"/>
    </row>
    <row r="181">
      <c r="G181" s="331"/>
    </row>
    <row r="182">
      <c r="G182" s="331"/>
    </row>
    <row r="183">
      <c r="G183" s="331"/>
    </row>
    <row r="184">
      <c r="G184" s="331"/>
    </row>
    <row r="185">
      <c r="G185" s="331"/>
    </row>
    <row r="186">
      <c r="G186" s="331"/>
    </row>
    <row r="187">
      <c r="G187" s="331"/>
    </row>
    <row r="188">
      <c r="G188" s="331"/>
    </row>
    <row r="189">
      <c r="G189" s="331"/>
    </row>
    <row r="190">
      <c r="G190" s="331"/>
    </row>
    <row r="191">
      <c r="G191" s="331"/>
    </row>
    <row r="192">
      <c r="G192" s="331"/>
    </row>
    <row r="193">
      <c r="G193" s="331"/>
    </row>
    <row r="194">
      <c r="G194" s="331"/>
    </row>
    <row r="195">
      <c r="G195" s="331"/>
    </row>
    <row r="196">
      <c r="G196" s="331"/>
    </row>
    <row r="197">
      <c r="G197" s="331"/>
    </row>
    <row r="198">
      <c r="G198" s="331"/>
    </row>
    <row r="199">
      <c r="G199" s="331"/>
    </row>
    <row r="200">
      <c r="G200" s="331"/>
    </row>
    <row r="201">
      <c r="G201" s="331"/>
    </row>
    <row r="202">
      <c r="G202" s="331"/>
    </row>
    <row r="203">
      <c r="G203" s="331"/>
    </row>
    <row r="204">
      <c r="G204" s="331"/>
    </row>
    <row r="205">
      <c r="G205" s="331"/>
    </row>
    <row r="206">
      <c r="G206" s="331"/>
    </row>
    <row r="207">
      <c r="G207" s="331"/>
    </row>
    <row r="208">
      <c r="G208" s="331"/>
    </row>
    <row r="209">
      <c r="G209" s="331"/>
    </row>
    <row r="210">
      <c r="G210" s="331"/>
    </row>
    <row r="211">
      <c r="G211" s="331"/>
    </row>
    <row r="212">
      <c r="G212" s="331"/>
    </row>
    <row r="213">
      <c r="G213" s="331"/>
    </row>
    <row r="214">
      <c r="G214" s="331"/>
    </row>
    <row r="215">
      <c r="G215" s="331"/>
    </row>
    <row r="216">
      <c r="G216" s="331"/>
    </row>
    <row r="217">
      <c r="G217" s="331"/>
    </row>
    <row r="218">
      <c r="G218" s="331"/>
    </row>
    <row r="219">
      <c r="G219" s="331"/>
    </row>
    <row r="220">
      <c r="G220" s="331"/>
    </row>
    <row r="221">
      <c r="G221" s="331"/>
    </row>
    <row r="222">
      <c r="G222" s="331"/>
    </row>
    <row r="223">
      <c r="G223" s="331"/>
    </row>
    <row r="224">
      <c r="G224" s="331"/>
    </row>
    <row r="225">
      <c r="G225" s="331"/>
    </row>
    <row r="226">
      <c r="G226" s="331"/>
    </row>
    <row r="227">
      <c r="G227" s="331"/>
    </row>
    <row r="228">
      <c r="G228" s="331"/>
    </row>
    <row r="229">
      <c r="G229" s="331"/>
    </row>
    <row r="230">
      <c r="G230" s="331"/>
    </row>
    <row r="231">
      <c r="G231" s="331"/>
    </row>
    <row r="232">
      <c r="G232" s="331"/>
    </row>
    <row r="233">
      <c r="G233" s="331"/>
    </row>
    <row r="234">
      <c r="G234" s="331"/>
    </row>
    <row r="235">
      <c r="G235" s="331"/>
    </row>
    <row r="236">
      <c r="G236" s="331"/>
    </row>
    <row r="237">
      <c r="G237" s="331"/>
    </row>
    <row r="238">
      <c r="G238" s="331"/>
    </row>
    <row r="239">
      <c r="G239" s="331"/>
    </row>
    <row r="240">
      <c r="G240" s="331"/>
    </row>
    <row r="241">
      <c r="G241" s="331"/>
    </row>
    <row r="242">
      <c r="G242" s="331"/>
    </row>
    <row r="243">
      <c r="G243" s="331"/>
    </row>
    <row r="244">
      <c r="G244" s="331"/>
    </row>
    <row r="245">
      <c r="G245" s="331"/>
    </row>
    <row r="246">
      <c r="G246" s="331"/>
    </row>
    <row r="247">
      <c r="G247" s="331"/>
    </row>
    <row r="248">
      <c r="G248" s="331"/>
    </row>
    <row r="249">
      <c r="G249" s="331"/>
    </row>
    <row r="250">
      <c r="G250" s="331"/>
    </row>
    <row r="251">
      <c r="G251" s="331"/>
    </row>
    <row r="252">
      <c r="G252" s="331"/>
    </row>
    <row r="253">
      <c r="G253" s="331"/>
    </row>
    <row r="254">
      <c r="G254" s="331"/>
    </row>
    <row r="255">
      <c r="G255" s="331"/>
    </row>
    <row r="256">
      <c r="G256" s="331"/>
    </row>
    <row r="257">
      <c r="G257" s="331"/>
    </row>
    <row r="258">
      <c r="G258" s="331"/>
    </row>
    <row r="259">
      <c r="G259" s="331"/>
    </row>
    <row r="260">
      <c r="G260" s="331"/>
    </row>
    <row r="261">
      <c r="G261" s="331"/>
    </row>
    <row r="262">
      <c r="G262" s="331"/>
    </row>
    <row r="263">
      <c r="G263" s="331"/>
    </row>
    <row r="264">
      <c r="G264" s="331"/>
    </row>
    <row r="265">
      <c r="G265" s="331"/>
    </row>
    <row r="266">
      <c r="G266" s="331"/>
    </row>
    <row r="267">
      <c r="G267" s="331"/>
    </row>
    <row r="268">
      <c r="G268" s="331"/>
    </row>
    <row r="269">
      <c r="G269" s="331"/>
    </row>
    <row r="270">
      <c r="G270" s="331"/>
    </row>
    <row r="271">
      <c r="G271" s="331"/>
    </row>
    <row r="272">
      <c r="G272" s="331"/>
    </row>
    <row r="273">
      <c r="G273" s="331"/>
    </row>
    <row r="274">
      <c r="G274" s="331"/>
    </row>
    <row r="275">
      <c r="G275" s="331"/>
    </row>
    <row r="276">
      <c r="G276" s="331"/>
    </row>
    <row r="277">
      <c r="G277" s="331"/>
    </row>
    <row r="278">
      <c r="G278" s="331"/>
    </row>
    <row r="279">
      <c r="G279" s="331"/>
    </row>
    <row r="280">
      <c r="G280" s="331"/>
    </row>
    <row r="281">
      <c r="G281" s="331"/>
    </row>
    <row r="282">
      <c r="G282" s="331"/>
    </row>
    <row r="283">
      <c r="G283" s="331"/>
    </row>
    <row r="284">
      <c r="G284" s="331"/>
    </row>
    <row r="285">
      <c r="G285" s="331"/>
    </row>
    <row r="286">
      <c r="G286" s="331"/>
    </row>
    <row r="287">
      <c r="G287" s="331"/>
    </row>
    <row r="288">
      <c r="G288" s="331"/>
    </row>
    <row r="289">
      <c r="G289" s="331"/>
    </row>
    <row r="290">
      <c r="G290" s="331"/>
    </row>
    <row r="291">
      <c r="G291" s="331"/>
    </row>
    <row r="292">
      <c r="G292" s="331"/>
    </row>
    <row r="293">
      <c r="G293" s="331"/>
    </row>
    <row r="294">
      <c r="G294" s="331"/>
    </row>
    <row r="295">
      <c r="G295" s="331"/>
    </row>
    <row r="296">
      <c r="G296" s="331"/>
    </row>
    <row r="297">
      <c r="G297" s="331"/>
    </row>
    <row r="298">
      <c r="G298" s="331"/>
    </row>
    <row r="299">
      <c r="G299" s="331"/>
    </row>
    <row r="300">
      <c r="G300" s="331"/>
    </row>
    <row r="301">
      <c r="G301" s="331"/>
    </row>
    <row r="302">
      <c r="G302" s="331"/>
    </row>
    <row r="303">
      <c r="G303" s="331"/>
    </row>
    <row r="304">
      <c r="G304" s="331"/>
    </row>
    <row r="305">
      <c r="G305" s="331"/>
    </row>
    <row r="306">
      <c r="G306" s="331"/>
    </row>
    <row r="307">
      <c r="G307" s="331"/>
    </row>
    <row r="308">
      <c r="G308" s="331"/>
    </row>
    <row r="309">
      <c r="G309" s="331"/>
    </row>
    <row r="310">
      <c r="G310" s="331"/>
    </row>
    <row r="311">
      <c r="G311" s="331"/>
    </row>
    <row r="312">
      <c r="G312" s="331"/>
    </row>
    <row r="313">
      <c r="G313" s="331"/>
    </row>
    <row r="314">
      <c r="G314" s="331"/>
    </row>
    <row r="315">
      <c r="G315" s="331"/>
    </row>
    <row r="316">
      <c r="G316" s="331"/>
    </row>
    <row r="317">
      <c r="G317" s="331"/>
    </row>
    <row r="318">
      <c r="G318" s="331"/>
    </row>
    <row r="319">
      <c r="G319" s="331"/>
    </row>
    <row r="320">
      <c r="G320" s="331"/>
    </row>
    <row r="321">
      <c r="G321" s="331"/>
    </row>
    <row r="322">
      <c r="G322" s="331"/>
    </row>
    <row r="323">
      <c r="G323" s="331"/>
    </row>
    <row r="324">
      <c r="G324" s="331"/>
    </row>
    <row r="325">
      <c r="G325" s="331"/>
    </row>
    <row r="326">
      <c r="G326" s="331"/>
    </row>
    <row r="327">
      <c r="G327" s="331"/>
    </row>
    <row r="328">
      <c r="G328" s="331"/>
    </row>
    <row r="329">
      <c r="G329" s="331"/>
    </row>
    <row r="330">
      <c r="G330" s="331"/>
    </row>
    <row r="331">
      <c r="G331" s="331"/>
    </row>
    <row r="332">
      <c r="G332" s="331"/>
    </row>
    <row r="333">
      <c r="G333" s="331"/>
    </row>
    <row r="334">
      <c r="G334" s="331"/>
    </row>
    <row r="335">
      <c r="G335" s="331"/>
    </row>
    <row r="336">
      <c r="G336" s="331"/>
    </row>
    <row r="337">
      <c r="G337" s="331"/>
    </row>
    <row r="338">
      <c r="G338" s="331"/>
    </row>
    <row r="339">
      <c r="G339" s="331"/>
    </row>
    <row r="340">
      <c r="G340" s="331"/>
    </row>
    <row r="341">
      <c r="G341" s="331"/>
    </row>
    <row r="342">
      <c r="G342" s="331"/>
    </row>
    <row r="343">
      <c r="G343" s="331"/>
    </row>
    <row r="344">
      <c r="G344" s="331"/>
    </row>
    <row r="345">
      <c r="G345" s="331"/>
    </row>
    <row r="346">
      <c r="G346" s="331"/>
    </row>
    <row r="347">
      <c r="G347" s="331"/>
    </row>
    <row r="348">
      <c r="G348" s="331"/>
    </row>
    <row r="349">
      <c r="G349" s="331"/>
    </row>
    <row r="350">
      <c r="G350" s="331"/>
    </row>
    <row r="351">
      <c r="G351" s="331"/>
    </row>
    <row r="352">
      <c r="G352" s="331"/>
    </row>
    <row r="353">
      <c r="G353" s="331"/>
    </row>
    <row r="354">
      <c r="G354" s="331"/>
    </row>
    <row r="355">
      <c r="G355" s="331"/>
    </row>
    <row r="356">
      <c r="G356" s="331"/>
    </row>
    <row r="357">
      <c r="G357" s="331"/>
    </row>
    <row r="358">
      <c r="G358" s="331"/>
    </row>
    <row r="359">
      <c r="G359" s="331"/>
    </row>
    <row r="360">
      <c r="G360" s="331"/>
    </row>
    <row r="361">
      <c r="G361" s="331"/>
    </row>
    <row r="362">
      <c r="G362" s="331"/>
    </row>
    <row r="363">
      <c r="G363" s="331"/>
    </row>
    <row r="364">
      <c r="G364" s="331"/>
    </row>
    <row r="365">
      <c r="G365" s="331"/>
    </row>
    <row r="366">
      <c r="G366" s="331"/>
    </row>
    <row r="367">
      <c r="G367" s="331"/>
    </row>
    <row r="368">
      <c r="G368" s="331"/>
    </row>
    <row r="369">
      <c r="G369" s="331"/>
    </row>
    <row r="370">
      <c r="G370" s="331"/>
    </row>
    <row r="371">
      <c r="G371" s="331"/>
    </row>
    <row r="372">
      <c r="G372" s="331"/>
    </row>
    <row r="373">
      <c r="G373" s="331"/>
    </row>
    <row r="374">
      <c r="G374" s="331"/>
    </row>
    <row r="375">
      <c r="G375" s="331"/>
    </row>
    <row r="376">
      <c r="G376" s="331"/>
    </row>
    <row r="377">
      <c r="G377" s="331"/>
    </row>
    <row r="378">
      <c r="G378" s="331"/>
    </row>
    <row r="379">
      <c r="G379" s="331"/>
    </row>
    <row r="380">
      <c r="G380" s="331"/>
    </row>
    <row r="381">
      <c r="G381" s="331"/>
    </row>
    <row r="382">
      <c r="G382" s="331"/>
    </row>
    <row r="383">
      <c r="G383" s="331"/>
    </row>
    <row r="384">
      <c r="G384" s="331"/>
    </row>
    <row r="385">
      <c r="G385" s="331"/>
    </row>
    <row r="386">
      <c r="G386" s="331"/>
    </row>
    <row r="387">
      <c r="G387" s="331"/>
    </row>
    <row r="388">
      <c r="G388" s="331"/>
    </row>
    <row r="389">
      <c r="G389" s="331"/>
    </row>
    <row r="390">
      <c r="G390" s="331"/>
    </row>
    <row r="391">
      <c r="G391" s="331"/>
    </row>
    <row r="392">
      <c r="G392" s="331"/>
    </row>
    <row r="393">
      <c r="G393" s="331"/>
    </row>
    <row r="394">
      <c r="G394" s="331"/>
    </row>
    <row r="395">
      <c r="G395" s="331"/>
    </row>
    <row r="396">
      <c r="G396" s="331"/>
    </row>
    <row r="397">
      <c r="G397" s="331"/>
    </row>
    <row r="398">
      <c r="G398" s="331"/>
    </row>
    <row r="399">
      <c r="G399" s="331"/>
    </row>
    <row r="400">
      <c r="G400" s="331"/>
    </row>
    <row r="401">
      <c r="G401" s="331"/>
    </row>
    <row r="402">
      <c r="G402" s="331"/>
    </row>
    <row r="403">
      <c r="G403" s="331"/>
    </row>
    <row r="404">
      <c r="G404" s="331"/>
    </row>
    <row r="405">
      <c r="G405" s="331"/>
    </row>
    <row r="406">
      <c r="G406" s="331"/>
    </row>
    <row r="407">
      <c r="G407" s="331"/>
    </row>
    <row r="408">
      <c r="G408" s="331"/>
    </row>
    <row r="409">
      <c r="G409" s="331"/>
    </row>
    <row r="410">
      <c r="G410" s="331"/>
    </row>
    <row r="411">
      <c r="G411" s="331"/>
    </row>
    <row r="412">
      <c r="G412" s="331"/>
    </row>
    <row r="413">
      <c r="G413" s="331"/>
    </row>
    <row r="414">
      <c r="G414" s="331"/>
    </row>
    <row r="415">
      <c r="G415" s="331"/>
    </row>
    <row r="416">
      <c r="G416" s="331"/>
    </row>
    <row r="417">
      <c r="G417" s="331"/>
    </row>
    <row r="418">
      <c r="G418" s="331"/>
    </row>
    <row r="419">
      <c r="G419" s="331"/>
    </row>
    <row r="420">
      <c r="G420" s="331"/>
    </row>
    <row r="421">
      <c r="G421" s="331"/>
    </row>
    <row r="422">
      <c r="G422" s="331"/>
    </row>
    <row r="423">
      <c r="G423" s="331"/>
    </row>
    <row r="424">
      <c r="G424" s="331"/>
    </row>
    <row r="425">
      <c r="G425" s="331"/>
    </row>
    <row r="426">
      <c r="G426" s="331"/>
    </row>
    <row r="427">
      <c r="G427" s="331"/>
    </row>
    <row r="428">
      <c r="G428" s="331"/>
    </row>
    <row r="429">
      <c r="G429" s="331"/>
    </row>
    <row r="430">
      <c r="G430" s="331"/>
    </row>
    <row r="431">
      <c r="G431" s="331"/>
    </row>
    <row r="432">
      <c r="G432" s="331"/>
    </row>
    <row r="433">
      <c r="G433" s="331"/>
    </row>
    <row r="434">
      <c r="G434" s="331"/>
    </row>
    <row r="435">
      <c r="G435" s="331"/>
    </row>
    <row r="436">
      <c r="G436" s="331"/>
    </row>
    <row r="437">
      <c r="G437" s="331"/>
    </row>
    <row r="438">
      <c r="G438" s="331"/>
    </row>
    <row r="439">
      <c r="G439" s="331"/>
    </row>
    <row r="440">
      <c r="G440" s="331"/>
    </row>
    <row r="441">
      <c r="G441" s="331"/>
    </row>
    <row r="442">
      <c r="G442" s="331"/>
    </row>
    <row r="443">
      <c r="G443" s="331"/>
    </row>
    <row r="444">
      <c r="G444" s="331"/>
    </row>
    <row r="445">
      <c r="G445" s="331"/>
    </row>
    <row r="446">
      <c r="G446" s="331"/>
    </row>
    <row r="447">
      <c r="G447" s="331"/>
    </row>
    <row r="448">
      <c r="G448" s="331"/>
    </row>
    <row r="449">
      <c r="G449" s="331"/>
    </row>
    <row r="450">
      <c r="G450" s="331"/>
    </row>
    <row r="451">
      <c r="G451" s="331"/>
    </row>
    <row r="452">
      <c r="G452" s="331"/>
    </row>
    <row r="453">
      <c r="G453" s="331"/>
    </row>
    <row r="454">
      <c r="G454" s="331"/>
    </row>
    <row r="455">
      <c r="G455" s="331"/>
    </row>
    <row r="456">
      <c r="G456" s="331"/>
    </row>
    <row r="457">
      <c r="G457" s="331"/>
    </row>
    <row r="458">
      <c r="G458" s="331"/>
    </row>
    <row r="459">
      <c r="G459" s="331"/>
    </row>
    <row r="460">
      <c r="G460" s="331"/>
    </row>
    <row r="461">
      <c r="G461" s="331"/>
    </row>
    <row r="462">
      <c r="G462" s="331"/>
    </row>
    <row r="463">
      <c r="G463" s="331"/>
    </row>
    <row r="464">
      <c r="G464" s="331"/>
    </row>
    <row r="465">
      <c r="G465" s="331"/>
    </row>
    <row r="466">
      <c r="G466" s="331"/>
    </row>
    <row r="467">
      <c r="G467" s="331"/>
    </row>
    <row r="468">
      <c r="G468" s="331"/>
    </row>
    <row r="469">
      <c r="G469" s="331"/>
    </row>
    <row r="470">
      <c r="G470" s="331"/>
    </row>
    <row r="471">
      <c r="G471" s="331"/>
    </row>
    <row r="472">
      <c r="G472" s="331"/>
    </row>
    <row r="473">
      <c r="G473" s="331"/>
    </row>
    <row r="474">
      <c r="G474" s="331"/>
    </row>
    <row r="475">
      <c r="G475" s="331"/>
    </row>
    <row r="476">
      <c r="G476" s="331"/>
    </row>
    <row r="477">
      <c r="G477" s="331"/>
    </row>
    <row r="478">
      <c r="G478" s="331"/>
    </row>
    <row r="479">
      <c r="G479" s="331"/>
    </row>
    <row r="480">
      <c r="G480" s="331"/>
    </row>
    <row r="481">
      <c r="G481" s="331"/>
    </row>
    <row r="482">
      <c r="G482" s="331"/>
    </row>
    <row r="483">
      <c r="G483" s="331"/>
    </row>
    <row r="484">
      <c r="G484" s="331"/>
    </row>
    <row r="485">
      <c r="G485" s="331"/>
    </row>
    <row r="486">
      <c r="G486" s="331"/>
    </row>
    <row r="487">
      <c r="G487" s="331"/>
    </row>
    <row r="488">
      <c r="G488" s="331"/>
    </row>
    <row r="489">
      <c r="G489" s="331"/>
    </row>
    <row r="490">
      <c r="G490" s="331"/>
    </row>
    <row r="491">
      <c r="G491" s="331"/>
    </row>
    <row r="492">
      <c r="G492" s="331"/>
    </row>
    <row r="493">
      <c r="G493" s="331"/>
    </row>
    <row r="494">
      <c r="G494" s="331"/>
    </row>
    <row r="495">
      <c r="G495" s="331"/>
    </row>
    <row r="496">
      <c r="G496" s="331"/>
    </row>
    <row r="497">
      <c r="G497" s="331"/>
    </row>
    <row r="498">
      <c r="G498" s="331"/>
    </row>
    <row r="499">
      <c r="G499" s="331"/>
    </row>
    <row r="500">
      <c r="G500" s="331"/>
    </row>
    <row r="501">
      <c r="G501" s="331"/>
    </row>
    <row r="502">
      <c r="G502" s="331"/>
    </row>
    <row r="503">
      <c r="G503" s="331"/>
    </row>
    <row r="504">
      <c r="G504" s="331"/>
    </row>
    <row r="505">
      <c r="G505" s="331"/>
    </row>
    <row r="506">
      <c r="G506" s="331"/>
    </row>
    <row r="507">
      <c r="G507" s="331"/>
    </row>
    <row r="508">
      <c r="G508" s="331"/>
    </row>
    <row r="509">
      <c r="G509" s="331"/>
    </row>
    <row r="510">
      <c r="G510" s="331"/>
    </row>
    <row r="511">
      <c r="G511" s="331"/>
    </row>
    <row r="512">
      <c r="G512" s="331"/>
    </row>
    <row r="513">
      <c r="G513" s="331"/>
    </row>
    <row r="514">
      <c r="G514" s="331"/>
    </row>
    <row r="515">
      <c r="G515" s="331"/>
    </row>
    <row r="516">
      <c r="G516" s="331"/>
    </row>
    <row r="517">
      <c r="G517" s="331"/>
    </row>
    <row r="518">
      <c r="G518" s="331"/>
    </row>
    <row r="519">
      <c r="G519" s="331"/>
    </row>
    <row r="520">
      <c r="G520" s="331"/>
    </row>
    <row r="521">
      <c r="G521" s="331"/>
    </row>
    <row r="522">
      <c r="G522" s="331"/>
    </row>
    <row r="523">
      <c r="G523" s="331"/>
    </row>
    <row r="524">
      <c r="G524" s="331"/>
    </row>
    <row r="525">
      <c r="G525" s="331"/>
    </row>
    <row r="526">
      <c r="G526" s="331"/>
    </row>
    <row r="527">
      <c r="G527" s="331"/>
    </row>
    <row r="528">
      <c r="G528" s="331"/>
    </row>
    <row r="529">
      <c r="G529" s="331"/>
    </row>
    <row r="530">
      <c r="G530" s="331"/>
    </row>
    <row r="531">
      <c r="G531" s="331"/>
    </row>
    <row r="532">
      <c r="G532" s="331"/>
    </row>
    <row r="533">
      <c r="G533" s="331"/>
    </row>
    <row r="534">
      <c r="G534" s="331"/>
    </row>
    <row r="535">
      <c r="G535" s="331"/>
    </row>
    <row r="536">
      <c r="G536" s="331"/>
    </row>
    <row r="537">
      <c r="G537" s="331"/>
    </row>
    <row r="538">
      <c r="G538" s="331"/>
    </row>
    <row r="539">
      <c r="G539" s="331"/>
    </row>
    <row r="540">
      <c r="G540" s="331"/>
    </row>
    <row r="541">
      <c r="G541" s="331"/>
    </row>
    <row r="542">
      <c r="G542" s="331"/>
    </row>
    <row r="543">
      <c r="G543" s="331"/>
    </row>
    <row r="544">
      <c r="G544" s="331"/>
    </row>
    <row r="545">
      <c r="G545" s="331"/>
    </row>
    <row r="546">
      <c r="G546" s="331"/>
    </row>
    <row r="547">
      <c r="G547" s="331"/>
    </row>
    <row r="548">
      <c r="G548" s="331"/>
    </row>
    <row r="549">
      <c r="G549" s="331"/>
    </row>
    <row r="550">
      <c r="G550" s="331"/>
    </row>
    <row r="551">
      <c r="G551" s="331"/>
    </row>
    <row r="552">
      <c r="G552" s="331"/>
    </row>
    <row r="553">
      <c r="G553" s="331"/>
    </row>
    <row r="554">
      <c r="G554" s="331"/>
    </row>
    <row r="555">
      <c r="G555" s="331"/>
    </row>
    <row r="556">
      <c r="G556" s="331"/>
    </row>
    <row r="557">
      <c r="G557" s="331"/>
    </row>
    <row r="558">
      <c r="G558" s="331"/>
    </row>
    <row r="559">
      <c r="G559" s="331"/>
    </row>
    <row r="560">
      <c r="G560" s="331"/>
    </row>
    <row r="561">
      <c r="G561" s="331"/>
    </row>
    <row r="562">
      <c r="G562" s="331"/>
    </row>
    <row r="563">
      <c r="G563" s="331"/>
    </row>
    <row r="564">
      <c r="G564" s="331"/>
    </row>
    <row r="565">
      <c r="G565" s="331"/>
    </row>
    <row r="566">
      <c r="G566" s="331"/>
    </row>
    <row r="567">
      <c r="G567" s="331"/>
    </row>
    <row r="568">
      <c r="G568" s="331"/>
    </row>
    <row r="569">
      <c r="G569" s="331"/>
    </row>
    <row r="570">
      <c r="G570" s="331"/>
    </row>
    <row r="571">
      <c r="G571" s="331"/>
    </row>
    <row r="572">
      <c r="G572" s="331"/>
    </row>
    <row r="573">
      <c r="G573" s="331"/>
    </row>
    <row r="574">
      <c r="G574" s="331"/>
    </row>
    <row r="575">
      <c r="G575" s="331"/>
    </row>
    <row r="576">
      <c r="G576" s="331"/>
    </row>
    <row r="577">
      <c r="G577" s="331"/>
    </row>
    <row r="578">
      <c r="G578" s="331"/>
    </row>
    <row r="579">
      <c r="G579" s="331"/>
    </row>
    <row r="580">
      <c r="G580" s="331"/>
    </row>
    <row r="581">
      <c r="G581" s="331"/>
    </row>
    <row r="582">
      <c r="G582" s="331"/>
    </row>
    <row r="583">
      <c r="G583" s="331"/>
    </row>
    <row r="584">
      <c r="G584" s="331"/>
    </row>
    <row r="585">
      <c r="G585" s="331"/>
    </row>
    <row r="586">
      <c r="G586" s="331"/>
    </row>
    <row r="587">
      <c r="G587" s="331"/>
    </row>
    <row r="588">
      <c r="G588" s="331"/>
    </row>
    <row r="589">
      <c r="G589" s="331"/>
    </row>
    <row r="590">
      <c r="G590" s="331"/>
    </row>
    <row r="591">
      <c r="G591" s="331"/>
    </row>
    <row r="592">
      <c r="G592" s="331"/>
    </row>
    <row r="593">
      <c r="G593" s="331"/>
    </row>
    <row r="594">
      <c r="G594" s="331"/>
    </row>
    <row r="595">
      <c r="G595" s="331"/>
    </row>
    <row r="596">
      <c r="G596" s="331"/>
    </row>
    <row r="597">
      <c r="G597" s="331"/>
    </row>
    <row r="598">
      <c r="G598" s="331"/>
    </row>
    <row r="599">
      <c r="G599" s="331"/>
    </row>
    <row r="600">
      <c r="G600" s="331"/>
    </row>
    <row r="601">
      <c r="G601" s="331"/>
    </row>
    <row r="602">
      <c r="G602" s="331"/>
    </row>
    <row r="603">
      <c r="G603" s="331"/>
    </row>
    <row r="604">
      <c r="G604" s="331"/>
    </row>
    <row r="605">
      <c r="G605" s="331"/>
    </row>
    <row r="606">
      <c r="G606" s="331"/>
    </row>
    <row r="607">
      <c r="G607" s="331"/>
    </row>
    <row r="608">
      <c r="G608" s="331"/>
    </row>
    <row r="609">
      <c r="G609" s="331"/>
    </row>
    <row r="610">
      <c r="G610" s="331"/>
    </row>
    <row r="611">
      <c r="G611" s="331"/>
    </row>
    <row r="612">
      <c r="G612" s="331"/>
    </row>
    <row r="613">
      <c r="G613" s="331"/>
    </row>
    <row r="614">
      <c r="G614" s="331"/>
    </row>
    <row r="615">
      <c r="G615" s="331"/>
    </row>
    <row r="616">
      <c r="G616" s="331"/>
    </row>
    <row r="617">
      <c r="G617" s="331"/>
    </row>
    <row r="618">
      <c r="G618" s="331"/>
    </row>
    <row r="619">
      <c r="G619" s="331"/>
    </row>
    <row r="620">
      <c r="G620" s="331"/>
    </row>
    <row r="621">
      <c r="G621" s="331"/>
    </row>
    <row r="622">
      <c r="G622" s="331"/>
    </row>
    <row r="623">
      <c r="G623" s="331"/>
    </row>
    <row r="624">
      <c r="G624" s="331"/>
    </row>
    <row r="625">
      <c r="G625" s="331"/>
    </row>
    <row r="626">
      <c r="G626" s="331"/>
    </row>
    <row r="627">
      <c r="G627" s="331"/>
    </row>
    <row r="628">
      <c r="G628" s="331"/>
    </row>
    <row r="629">
      <c r="G629" s="331"/>
    </row>
    <row r="630">
      <c r="G630" s="331"/>
    </row>
    <row r="631">
      <c r="G631" s="331"/>
    </row>
    <row r="632">
      <c r="G632" s="331"/>
    </row>
    <row r="633">
      <c r="G633" s="331"/>
    </row>
    <row r="634">
      <c r="G634" s="331"/>
    </row>
    <row r="635">
      <c r="G635" s="331"/>
    </row>
    <row r="636">
      <c r="G636" s="331"/>
    </row>
    <row r="637">
      <c r="G637" s="331"/>
    </row>
    <row r="638">
      <c r="G638" s="331"/>
    </row>
    <row r="639">
      <c r="G639" s="331"/>
    </row>
    <row r="640">
      <c r="G640" s="331"/>
    </row>
    <row r="641">
      <c r="G641" s="331"/>
    </row>
    <row r="642">
      <c r="G642" s="331"/>
    </row>
    <row r="643">
      <c r="G643" s="331"/>
    </row>
    <row r="644">
      <c r="G644" s="331"/>
    </row>
    <row r="645">
      <c r="G645" s="331"/>
    </row>
    <row r="646">
      <c r="G646" s="331"/>
    </row>
    <row r="647">
      <c r="G647" s="331"/>
    </row>
    <row r="648">
      <c r="G648" s="331"/>
    </row>
    <row r="649">
      <c r="G649" s="331"/>
    </row>
    <row r="650">
      <c r="G650" s="331"/>
    </row>
    <row r="651">
      <c r="G651" s="331"/>
    </row>
    <row r="652">
      <c r="G652" s="331"/>
    </row>
    <row r="653">
      <c r="G653" s="331"/>
    </row>
    <row r="654">
      <c r="G654" s="331"/>
    </row>
    <row r="655">
      <c r="G655" s="331"/>
    </row>
    <row r="656">
      <c r="G656" s="331"/>
    </row>
    <row r="657">
      <c r="G657" s="331"/>
    </row>
    <row r="658">
      <c r="G658" s="331"/>
    </row>
    <row r="659">
      <c r="G659" s="331"/>
    </row>
    <row r="660">
      <c r="G660" s="331"/>
    </row>
    <row r="661">
      <c r="G661" s="331"/>
    </row>
    <row r="662">
      <c r="G662" s="331"/>
    </row>
    <row r="663">
      <c r="G663" s="331"/>
    </row>
    <row r="664">
      <c r="G664" s="331"/>
    </row>
    <row r="665">
      <c r="G665" s="331"/>
    </row>
    <row r="666">
      <c r="G666" s="331"/>
    </row>
    <row r="667">
      <c r="G667" s="331"/>
    </row>
    <row r="668">
      <c r="G668" s="331"/>
    </row>
    <row r="669">
      <c r="G669" s="331"/>
    </row>
    <row r="670">
      <c r="G670" s="331"/>
    </row>
    <row r="671">
      <c r="G671" s="331"/>
    </row>
    <row r="672">
      <c r="G672" s="331"/>
    </row>
    <row r="673">
      <c r="G673" s="331"/>
    </row>
    <row r="674">
      <c r="G674" s="331"/>
    </row>
    <row r="675">
      <c r="G675" s="331"/>
    </row>
    <row r="676">
      <c r="G676" s="331"/>
    </row>
    <row r="677">
      <c r="G677" s="331"/>
    </row>
    <row r="678">
      <c r="G678" s="331"/>
    </row>
    <row r="679">
      <c r="G679" s="331"/>
    </row>
    <row r="680">
      <c r="G680" s="331"/>
    </row>
    <row r="681">
      <c r="G681" s="331"/>
    </row>
    <row r="682">
      <c r="G682" s="331"/>
    </row>
    <row r="683">
      <c r="G683" s="331"/>
    </row>
    <row r="684">
      <c r="G684" s="331"/>
    </row>
    <row r="685">
      <c r="G685" s="331"/>
    </row>
    <row r="686">
      <c r="G686" s="331"/>
    </row>
    <row r="687">
      <c r="G687" s="331"/>
    </row>
    <row r="688">
      <c r="G688" s="331"/>
    </row>
    <row r="689">
      <c r="G689" s="331"/>
    </row>
    <row r="690">
      <c r="G690" s="331"/>
    </row>
    <row r="691">
      <c r="G691" s="331"/>
    </row>
    <row r="692">
      <c r="G692" s="331"/>
    </row>
    <row r="693">
      <c r="G693" s="331"/>
    </row>
    <row r="694">
      <c r="G694" s="331"/>
    </row>
    <row r="695">
      <c r="G695" s="331"/>
    </row>
    <row r="696">
      <c r="G696" s="331"/>
    </row>
    <row r="697">
      <c r="G697" s="331"/>
    </row>
    <row r="698">
      <c r="G698" s="331"/>
    </row>
    <row r="699">
      <c r="G699" s="331"/>
    </row>
    <row r="700">
      <c r="G700" s="331"/>
    </row>
    <row r="701">
      <c r="G701" s="331"/>
    </row>
    <row r="702">
      <c r="G702" s="331"/>
    </row>
    <row r="703">
      <c r="G703" s="331"/>
    </row>
    <row r="704">
      <c r="G704" s="331"/>
    </row>
    <row r="705">
      <c r="G705" s="331"/>
    </row>
    <row r="706">
      <c r="G706" s="331"/>
    </row>
    <row r="707">
      <c r="G707" s="331"/>
    </row>
    <row r="708">
      <c r="G708" s="331"/>
    </row>
    <row r="709">
      <c r="G709" s="331"/>
    </row>
    <row r="710">
      <c r="G710" s="331"/>
    </row>
    <row r="711">
      <c r="G711" s="331"/>
    </row>
    <row r="712">
      <c r="G712" s="331"/>
    </row>
    <row r="713">
      <c r="G713" s="331"/>
    </row>
    <row r="714">
      <c r="G714" s="331"/>
    </row>
    <row r="715">
      <c r="G715" s="331"/>
    </row>
    <row r="716">
      <c r="G716" s="331"/>
    </row>
    <row r="717">
      <c r="G717" s="331"/>
    </row>
    <row r="718">
      <c r="G718" s="331"/>
    </row>
    <row r="719">
      <c r="G719" s="331"/>
    </row>
    <row r="720">
      <c r="G720" s="331"/>
    </row>
    <row r="721">
      <c r="G721" s="331"/>
    </row>
    <row r="722">
      <c r="G722" s="331"/>
    </row>
    <row r="723">
      <c r="G723" s="331"/>
    </row>
    <row r="724">
      <c r="G724" s="331"/>
    </row>
    <row r="725">
      <c r="G725" s="331"/>
    </row>
    <row r="726">
      <c r="G726" s="331"/>
    </row>
    <row r="727">
      <c r="G727" s="331"/>
    </row>
    <row r="728">
      <c r="G728" s="331"/>
    </row>
    <row r="729">
      <c r="G729" s="331"/>
    </row>
    <row r="730">
      <c r="G730" s="331"/>
    </row>
    <row r="731">
      <c r="G731" s="331"/>
    </row>
    <row r="732">
      <c r="G732" s="331"/>
    </row>
    <row r="733">
      <c r="G733" s="331"/>
    </row>
    <row r="734">
      <c r="G734" s="331"/>
    </row>
    <row r="735">
      <c r="G735" s="331"/>
    </row>
    <row r="736">
      <c r="G736" s="331"/>
    </row>
    <row r="737">
      <c r="G737" s="331"/>
    </row>
    <row r="738">
      <c r="G738" s="331"/>
    </row>
    <row r="739">
      <c r="G739" s="331"/>
    </row>
    <row r="740">
      <c r="G740" s="331"/>
    </row>
    <row r="741">
      <c r="G741" s="331"/>
    </row>
    <row r="742">
      <c r="G742" s="331"/>
    </row>
    <row r="743">
      <c r="G743" s="331"/>
    </row>
    <row r="744">
      <c r="G744" s="331"/>
    </row>
    <row r="745">
      <c r="G745" s="331"/>
    </row>
    <row r="746">
      <c r="G746" s="331"/>
    </row>
    <row r="747">
      <c r="G747" s="331"/>
    </row>
    <row r="748">
      <c r="G748" s="331"/>
    </row>
    <row r="749">
      <c r="G749" s="331"/>
    </row>
    <row r="750">
      <c r="G750" s="331"/>
    </row>
    <row r="751">
      <c r="G751" s="331"/>
    </row>
    <row r="752">
      <c r="G752" s="331"/>
    </row>
    <row r="753">
      <c r="G753" s="331"/>
    </row>
    <row r="754">
      <c r="G754" s="331"/>
    </row>
    <row r="755">
      <c r="G755" s="331"/>
    </row>
    <row r="756">
      <c r="G756" s="331"/>
    </row>
    <row r="757">
      <c r="G757" s="331"/>
    </row>
    <row r="758">
      <c r="G758" s="331"/>
    </row>
    <row r="759">
      <c r="G759" s="331"/>
    </row>
    <row r="760">
      <c r="G760" s="331"/>
    </row>
    <row r="761">
      <c r="G761" s="331"/>
    </row>
    <row r="762">
      <c r="G762" s="331"/>
    </row>
    <row r="763">
      <c r="G763" s="331"/>
    </row>
    <row r="764">
      <c r="G764" s="331"/>
    </row>
    <row r="765">
      <c r="G765" s="331"/>
    </row>
    <row r="766">
      <c r="G766" s="331"/>
    </row>
    <row r="767">
      <c r="G767" s="331"/>
    </row>
    <row r="768">
      <c r="G768" s="331"/>
    </row>
    <row r="769">
      <c r="G769" s="331"/>
    </row>
    <row r="770">
      <c r="G770" s="331"/>
    </row>
    <row r="771">
      <c r="G771" s="331"/>
    </row>
    <row r="772">
      <c r="G772" s="331"/>
    </row>
    <row r="773">
      <c r="G773" s="331"/>
    </row>
    <row r="774">
      <c r="G774" s="331"/>
    </row>
    <row r="775">
      <c r="G775" s="331"/>
    </row>
    <row r="776">
      <c r="G776" s="331"/>
    </row>
    <row r="777">
      <c r="G777" s="331"/>
    </row>
    <row r="778">
      <c r="G778" s="331"/>
    </row>
    <row r="779">
      <c r="G779" s="331"/>
    </row>
    <row r="780">
      <c r="G780" s="331"/>
    </row>
    <row r="781">
      <c r="G781" s="331"/>
    </row>
    <row r="782">
      <c r="G782" s="331"/>
    </row>
    <row r="783">
      <c r="G783" s="331"/>
    </row>
    <row r="784">
      <c r="G784" s="331"/>
    </row>
    <row r="785">
      <c r="G785" s="331"/>
    </row>
    <row r="786">
      <c r="G786" s="331"/>
    </row>
    <row r="787">
      <c r="G787" s="331"/>
    </row>
    <row r="788">
      <c r="G788" s="331"/>
    </row>
    <row r="789">
      <c r="G789" s="331"/>
    </row>
    <row r="790">
      <c r="G790" s="331"/>
    </row>
    <row r="791">
      <c r="G791" s="331"/>
    </row>
    <row r="792">
      <c r="G792" s="331"/>
    </row>
    <row r="793">
      <c r="G793" s="331"/>
    </row>
    <row r="794">
      <c r="G794" s="331"/>
    </row>
    <row r="795">
      <c r="G795" s="331"/>
    </row>
    <row r="796">
      <c r="G796" s="331"/>
    </row>
    <row r="797">
      <c r="G797" s="331"/>
    </row>
    <row r="798">
      <c r="G798" s="331"/>
    </row>
    <row r="799">
      <c r="G799" s="331"/>
    </row>
    <row r="800">
      <c r="G800" s="331"/>
    </row>
    <row r="801">
      <c r="G801" s="331"/>
    </row>
    <row r="802">
      <c r="G802" s="33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8.13"/>
    <col customWidth="1" min="3" max="3" width="3.88"/>
    <col customWidth="1" min="4" max="4" width="78.63"/>
    <col customWidth="1" min="5" max="5" width="8.5"/>
    <col customWidth="1" min="6" max="7" width="3.13"/>
    <col customWidth="1" min="8" max="9" width="9.13"/>
    <col customWidth="1" min="10" max="10" width="4.63"/>
    <col customWidth="1" min="11" max="11" width="10.88"/>
    <col customWidth="1" min="12" max="12" width="9.13"/>
  </cols>
  <sheetData>
    <row r="1">
      <c r="A1" s="332" t="s">
        <v>4775</v>
      </c>
      <c r="B1" s="332" t="s">
        <v>4623</v>
      </c>
      <c r="C1" s="332" t="s">
        <v>4776</v>
      </c>
      <c r="D1" s="332" t="s">
        <v>4625</v>
      </c>
      <c r="E1" s="332" t="s">
        <v>1232</v>
      </c>
      <c r="F1" s="332" t="s">
        <v>4626</v>
      </c>
      <c r="G1" s="332" t="s">
        <v>335</v>
      </c>
      <c r="H1" s="332" t="s">
        <v>4777</v>
      </c>
      <c r="I1" s="332" t="s">
        <v>3495</v>
      </c>
      <c r="J1" s="332" t="s">
        <v>4629</v>
      </c>
      <c r="K1" s="332" t="s">
        <v>4778</v>
      </c>
      <c r="L1" s="332" t="s">
        <v>4779</v>
      </c>
    </row>
    <row r="2">
      <c r="A2" s="78" t="s">
        <v>4633</v>
      </c>
      <c r="B2" s="78" t="s">
        <v>1373</v>
      </c>
      <c r="C2" s="78" t="s">
        <v>58</v>
      </c>
      <c r="D2" s="78" t="s">
        <v>4634</v>
      </c>
      <c r="E2" s="78" t="s">
        <v>4646</v>
      </c>
      <c r="F2" s="78" t="s">
        <v>136</v>
      </c>
      <c r="G2" s="78" t="s">
        <v>136</v>
      </c>
      <c r="H2" s="329">
        <v>46174.0</v>
      </c>
      <c r="I2" s="329">
        <v>46178.0</v>
      </c>
      <c r="J2" s="78" t="s">
        <v>62</v>
      </c>
      <c r="K2" s="78" t="s">
        <v>4637</v>
      </c>
      <c r="L2" s="329">
        <v>46178.0</v>
      </c>
    </row>
    <row r="3">
      <c r="A3" s="78" t="s">
        <v>4633</v>
      </c>
      <c r="B3" s="78" t="s">
        <v>1971</v>
      </c>
      <c r="C3" s="78" t="s">
        <v>58</v>
      </c>
      <c r="D3" s="78" t="s">
        <v>4638</v>
      </c>
      <c r="E3" s="78" t="s">
        <v>64</v>
      </c>
      <c r="F3" s="78" t="s">
        <v>163</v>
      </c>
      <c r="G3" s="78" t="s">
        <v>163</v>
      </c>
      <c r="H3" s="329">
        <v>46174.0</v>
      </c>
      <c r="I3" s="329">
        <v>46174.0</v>
      </c>
      <c r="J3" s="78" t="s">
        <v>64</v>
      </c>
      <c r="K3" s="78" t="s">
        <v>64</v>
      </c>
      <c r="L3" s="329">
        <v>46174.0</v>
      </c>
    </row>
    <row r="4">
      <c r="A4" s="78" t="s">
        <v>4633</v>
      </c>
      <c r="B4" s="78" t="s">
        <v>4639</v>
      </c>
      <c r="C4" s="78" t="s">
        <v>58</v>
      </c>
      <c r="D4" s="78" t="s">
        <v>4640</v>
      </c>
      <c r="E4" s="78" t="s">
        <v>64</v>
      </c>
      <c r="F4" s="78" t="s">
        <v>228</v>
      </c>
      <c r="G4" s="78" t="s">
        <v>228</v>
      </c>
      <c r="H4" s="329">
        <v>46174.0</v>
      </c>
      <c r="I4" s="329">
        <v>46175.0</v>
      </c>
      <c r="J4" s="78" t="s">
        <v>64</v>
      </c>
      <c r="K4" s="78" t="s">
        <v>4641</v>
      </c>
      <c r="L4" s="329">
        <v>46175.0</v>
      </c>
    </row>
    <row r="5">
      <c r="A5" s="78" t="s">
        <v>4633</v>
      </c>
      <c r="B5" s="78" t="s">
        <v>1409</v>
      </c>
      <c r="C5" s="78" t="s">
        <v>58</v>
      </c>
      <c r="D5" s="78" t="s">
        <v>4642</v>
      </c>
      <c r="E5" s="78" t="s">
        <v>64</v>
      </c>
      <c r="F5" s="78" t="s">
        <v>136</v>
      </c>
      <c r="G5" s="78" t="s">
        <v>136</v>
      </c>
      <c r="H5" s="329">
        <v>46174.0</v>
      </c>
      <c r="I5" s="329">
        <v>46174.0</v>
      </c>
      <c r="J5" s="78" t="s">
        <v>64</v>
      </c>
      <c r="K5" s="78" t="s">
        <v>4637</v>
      </c>
      <c r="L5" s="329">
        <v>46174.0</v>
      </c>
    </row>
    <row r="6">
      <c r="A6" s="78" t="s">
        <v>4633</v>
      </c>
      <c r="B6" s="78" t="s">
        <v>4465</v>
      </c>
      <c r="C6" s="78" t="s">
        <v>58</v>
      </c>
      <c r="D6" s="78" t="s">
        <v>4643</v>
      </c>
      <c r="E6" s="78" t="s">
        <v>64</v>
      </c>
      <c r="F6" s="78" t="s">
        <v>228</v>
      </c>
      <c r="G6" s="78" t="s">
        <v>228</v>
      </c>
      <c r="H6" s="329">
        <v>46174.0</v>
      </c>
      <c r="I6" s="329">
        <v>46175.0</v>
      </c>
      <c r="J6" s="78" t="s">
        <v>64</v>
      </c>
      <c r="K6" s="78" t="s">
        <v>4641</v>
      </c>
      <c r="L6" s="329">
        <v>46175.0</v>
      </c>
    </row>
    <row r="7">
      <c r="A7" s="78" t="s">
        <v>4633</v>
      </c>
      <c r="B7" s="78" t="s">
        <v>4644</v>
      </c>
      <c r="C7" s="78" t="s">
        <v>58</v>
      </c>
      <c r="D7" s="78" t="s">
        <v>4645</v>
      </c>
      <c r="E7" s="78" t="s">
        <v>4646</v>
      </c>
      <c r="F7" s="78" t="s">
        <v>93</v>
      </c>
      <c r="G7" s="78" t="s">
        <v>93</v>
      </c>
      <c r="H7" s="329">
        <v>46174.0</v>
      </c>
      <c r="I7" s="329">
        <v>46178.0</v>
      </c>
      <c r="J7" s="78" t="s">
        <v>62</v>
      </c>
      <c r="K7" s="78" t="s">
        <v>4637</v>
      </c>
      <c r="L7" s="329">
        <v>46178.0</v>
      </c>
    </row>
    <row r="8">
      <c r="A8" s="78" t="s">
        <v>4633</v>
      </c>
      <c r="B8" s="78" t="s">
        <v>1467</v>
      </c>
      <c r="C8" s="78" t="s">
        <v>58</v>
      </c>
      <c r="D8" s="78" t="s">
        <v>4647</v>
      </c>
      <c r="E8" s="78" t="s">
        <v>64</v>
      </c>
      <c r="F8" s="78" t="s">
        <v>136</v>
      </c>
      <c r="G8" s="78" t="s">
        <v>136</v>
      </c>
      <c r="H8" s="329">
        <v>46174.0</v>
      </c>
      <c r="I8" s="329">
        <v>46175.0</v>
      </c>
      <c r="J8" s="78" t="s">
        <v>64</v>
      </c>
      <c r="K8" s="78" t="s">
        <v>4637</v>
      </c>
      <c r="L8" s="329">
        <v>46174.0</v>
      </c>
    </row>
    <row r="9">
      <c r="A9" s="78" t="s">
        <v>4633</v>
      </c>
      <c r="B9" s="78" t="s">
        <v>4648</v>
      </c>
      <c r="C9" s="78" t="s">
        <v>58</v>
      </c>
      <c r="D9" s="78" t="s">
        <v>4649</v>
      </c>
      <c r="E9" s="78" t="s">
        <v>64</v>
      </c>
      <c r="F9" s="78" t="s">
        <v>228</v>
      </c>
      <c r="G9" s="78" t="s">
        <v>228</v>
      </c>
      <c r="H9" s="329">
        <v>46174.0</v>
      </c>
      <c r="I9" s="329">
        <v>46175.0</v>
      </c>
      <c r="J9" s="78" t="s">
        <v>64</v>
      </c>
      <c r="K9" s="78" t="s">
        <v>4641</v>
      </c>
      <c r="L9" s="329">
        <v>46175.0</v>
      </c>
    </row>
    <row r="10">
      <c r="A10" s="78" t="s">
        <v>4633</v>
      </c>
      <c r="B10" s="78" t="s">
        <v>2006</v>
      </c>
      <c r="C10" s="78" t="s">
        <v>58</v>
      </c>
      <c r="D10" s="78" t="s">
        <v>4650</v>
      </c>
      <c r="E10" s="78" t="s">
        <v>64</v>
      </c>
      <c r="F10" s="78" t="s">
        <v>163</v>
      </c>
      <c r="G10" s="78" t="s">
        <v>163</v>
      </c>
      <c r="H10" s="329">
        <v>46174.0</v>
      </c>
      <c r="I10" s="329">
        <v>46174.0</v>
      </c>
      <c r="J10" s="78" t="s">
        <v>64</v>
      </c>
      <c r="K10" s="78" t="s">
        <v>4637</v>
      </c>
      <c r="L10" s="329">
        <v>46174.0</v>
      </c>
    </row>
    <row r="11">
      <c r="A11" s="78" t="s">
        <v>4633</v>
      </c>
      <c r="B11" s="78" t="s">
        <v>4651</v>
      </c>
      <c r="C11" s="78" t="s">
        <v>58</v>
      </c>
      <c r="D11" s="78" t="s">
        <v>4652</v>
      </c>
      <c r="E11" s="78" t="s">
        <v>64</v>
      </c>
      <c r="F11" s="78" t="s">
        <v>228</v>
      </c>
      <c r="G11" s="78" t="s">
        <v>228</v>
      </c>
      <c r="H11" s="329">
        <v>46174.0</v>
      </c>
      <c r="I11" s="329">
        <v>46178.0</v>
      </c>
      <c r="J11" s="78" t="s">
        <v>64</v>
      </c>
      <c r="K11" s="78" t="s">
        <v>4641</v>
      </c>
      <c r="L11" s="329">
        <v>46178.0</v>
      </c>
    </row>
    <row r="12">
      <c r="A12" s="78" t="s">
        <v>4633</v>
      </c>
      <c r="B12" s="78" t="s">
        <v>3954</v>
      </c>
      <c r="C12" s="78" t="s">
        <v>58</v>
      </c>
      <c r="D12" s="78" t="s">
        <v>4653</v>
      </c>
      <c r="E12" s="78" t="s">
        <v>64</v>
      </c>
      <c r="F12" s="78" t="s">
        <v>93</v>
      </c>
      <c r="G12" s="78" t="s">
        <v>93</v>
      </c>
      <c r="H12" s="329">
        <v>46174.0</v>
      </c>
      <c r="I12" s="329">
        <v>46174.0</v>
      </c>
      <c r="J12" s="78" t="s">
        <v>64</v>
      </c>
      <c r="K12" s="78" t="s">
        <v>4637</v>
      </c>
      <c r="L12" s="329">
        <v>46174.0</v>
      </c>
    </row>
    <row r="13">
      <c r="A13" s="78" t="s">
        <v>4633</v>
      </c>
      <c r="B13" s="78" t="s">
        <v>1400</v>
      </c>
      <c r="C13" s="78" t="s">
        <v>57</v>
      </c>
      <c r="D13" s="78" t="s">
        <v>4654</v>
      </c>
      <c r="E13" s="78" t="s">
        <v>64</v>
      </c>
      <c r="F13" s="78" t="s">
        <v>136</v>
      </c>
      <c r="G13" s="78" t="s">
        <v>136</v>
      </c>
      <c r="H13" s="329">
        <v>46174.0</v>
      </c>
      <c r="I13" s="329">
        <v>46175.0</v>
      </c>
      <c r="J13" s="78" t="s">
        <v>64</v>
      </c>
      <c r="K13" s="78" t="s">
        <v>4637</v>
      </c>
      <c r="L13" s="329">
        <v>46174.0</v>
      </c>
    </row>
    <row r="14">
      <c r="A14" s="78" t="s">
        <v>4633</v>
      </c>
      <c r="B14" s="78" t="s">
        <v>2017</v>
      </c>
      <c r="C14" s="78" t="s">
        <v>58</v>
      </c>
      <c r="D14" s="78" t="s">
        <v>4655</v>
      </c>
      <c r="E14" s="78" t="s">
        <v>64</v>
      </c>
      <c r="F14" s="78" t="s">
        <v>163</v>
      </c>
      <c r="G14" s="78" t="s">
        <v>163</v>
      </c>
      <c r="H14" s="329">
        <v>46174.0</v>
      </c>
      <c r="I14" s="329">
        <v>46175.0</v>
      </c>
      <c r="J14" s="78" t="s">
        <v>64</v>
      </c>
      <c r="K14" s="78" t="s">
        <v>4637</v>
      </c>
      <c r="L14" s="329">
        <v>46174.0</v>
      </c>
    </row>
    <row r="15">
      <c r="A15" s="78" t="s">
        <v>4633</v>
      </c>
      <c r="B15" s="78" t="s">
        <v>4656</v>
      </c>
      <c r="C15" s="78" t="s">
        <v>57</v>
      </c>
      <c r="D15" s="78" t="s">
        <v>4657</v>
      </c>
      <c r="E15" s="78" t="s">
        <v>64</v>
      </c>
      <c r="F15" s="78" t="s">
        <v>93</v>
      </c>
      <c r="G15" s="78" t="s">
        <v>93</v>
      </c>
      <c r="H15" s="329">
        <v>46174.0</v>
      </c>
      <c r="I15" s="329">
        <v>46175.0</v>
      </c>
      <c r="J15" s="78" t="s">
        <v>64</v>
      </c>
      <c r="K15" s="78" t="s">
        <v>4637</v>
      </c>
      <c r="L15" s="329">
        <v>46175.0</v>
      </c>
    </row>
    <row r="16">
      <c r="A16" s="78" t="s">
        <v>4633</v>
      </c>
      <c r="B16" s="78" t="s">
        <v>4264</v>
      </c>
      <c r="C16" s="78" t="s">
        <v>58</v>
      </c>
      <c r="D16" s="78" t="s">
        <v>4658</v>
      </c>
      <c r="E16" s="78" t="s">
        <v>64</v>
      </c>
      <c r="F16" s="78" t="s">
        <v>228</v>
      </c>
      <c r="G16" s="78" t="s">
        <v>228</v>
      </c>
      <c r="H16" s="329">
        <v>46174.0</v>
      </c>
      <c r="I16" s="329">
        <v>46174.0</v>
      </c>
      <c r="J16" s="78" t="s">
        <v>64</v>
      </c>
      <c r="K16" s="78" t="s">
        <v>4637</v>
      </c>
      <c r="L16" s="329">
        <v>46174.0</v>
      </c>
    </row>
    <row r="17">
      <c r="A17" s="78" t="s">
        <v>4633</v>
      </c>
      <c r="B17" s="78" t="s">
        <v>4659</v>
      </c>
      <c r="C17" s="78" t="s">
        <v>58</v>
      </c>
      <c r="D17" s="78" t="s">
        <v>4660</v>
      </c>
      <c r="E17" s="78" t="s">
        <v>64</v>
      </c>
      <c r="F17" s="78" t="s">
        <v>163</v>
      </c>
      <c r="G17" s="78" t="s">
        <v>163</v>
      </c>
      <c r="H17" s="329">
        <v>46174.0</v>
      </c>
      <c r="I17" s="329">
        <v>46175.0</v>
      </c>
      <c r="J17" s="78" t="s">
        <v>64</v>
      </c>
      <c r="K17" s="78" t="s">
        <v>4637</v>
      </c>
      <c r="L17" s="329">
        <v>46174.0</v>
      </c>
    </row>
    <row r="18">
      <c r="A18" s="78" t="s">
        <v>4633</v>
      </c>
      <c r="B18" s="78" t="s">
        <v>4661</v>
      </c>
      <c r="C18" s="78" t="s">
        <v>58</v>
      </c>
      <c r="D18" s="78" t="s">
        <v>4662</v>
      </c>
      <c r="E18" s="78" t="s">
        <v>64</v>
      </c>
      <c r="F18" s="78" t="s">
        <v>136</v>
      </c>
      <c r="G18" s="78" t="s">
        <v>136</v>
      </c>
      <c r="H18" s="329">
        <v>46174.0</v>
      </c>
      <c r="I18" s="329">
        <v>46175.0</v>
      </c>
      <c r="J18" s="78" t="s">
        <v>64</v>
      </c>
      <c r="K18" s="78" t="s">
        <v>4637</v>
      </c>
      <c r="L18" s="329">
        <v>46175.0</v>
      </c>
    </row>
    <row r="19">
      <c r="A19" s="78" t="s">
        <v>4633</v>
      </c>
      <c r="B19" s="78" t="s">
        <v>2036</v>
      </c>
      <c r="C19" s="78" t="s">
        <v>58</v>
      </c>
      <c r="D19" s="78" t="s">
        <v>4663</v>
      </c>
      <c r="E19" s="78" t="s">
        <v>64</v>
      </c>
      <c r="F19" s="78" t="s">
        <v>163</v>
      </c>
      <c r="G19" s="78" t="s">
        <v>163</v>
      </c>
      <c r="H19" s="329">
        <v>46174.0</v>
      </c>
      <c r="I19" s="329">
        <v>46175.0</v>
      </c>
      <c r="J19" s="78" t="s">
        <v>64</v>
      </c>
      <c r="K19" s="78" t="s">
        <v>4637</v>
      </c>
      <c r="L19" s="329">
        <v>46174.0</v>
      </c>
    </row>
    <row r="20">
      <c r="A20" s="78" t="s">
        <v>4633</v>
      </c>
      <c r="B20" s="78" t="s">
        <v>1543</v>
      </c>
      <c r="C20" s="78" t="s">
        <v>57</v>
      </c>
      <c r="D20" s="78" t="s">
        <v>4664</v>
      </c>
      <c r="E20" s="78" t="s">
        <v>64</v>
      </c>
      <c r="F20" s="78" t="s">
        <v>136</v>
      </c>
      <c r="G20" s="78" t="s">
        <v>136</v>
      </c>
      <c r="H20" s="329">
        <v>46174.0</v>
      </c>
      <c r="I20" s="329">
        <v>46175.0</v>
      </c>
      <c r="J20" s="78" t="s">
        <v>64</v>
      </c>
      <c r="K20" s="78" t="s">
        <v>4637</v>
      </c>
      <c r="L20" s="329">
        <v>46175.0</v>
      </c>
    </row>
    <row r="21">
      <c r="A21" s="78" t="s">
        <v>4633</v>
      </c>
      <c r="B21" s="78" t="s">
        <v>4325</v>
      </c>
      <c r="C21" s="78" t="s">
        <v>58</v>
      </c>
      <c r="D21" s="78" t="s">
        <v>4665</v>
      </c>
      <c r="E21" s="78" t="s">
        <v>4646</v>
      </c>
      <c r="F21" s="78" t="s">
        <v>228</v>
      </c>
      <c r="G21" s="78" t="s">
        <v>228</v>
      </c>
      <c r="H21" s="329">
        <v>46174.0</v>
      </c>
      <c r="I21" s="329">
        <v>46178.0</v>
      </c>
      <c r="J21" s="78" t="s">
        <v>62</v>
      </c>
      <c r="K21" s="78" t="s">
        <v>4637</v>
      </c>
      <c r="L21" s="329">
        <v>46178.0</v>
      </c>
    </row>
    <row r="22">
      <c r="A22" s="78" t="s">
        <v>4633</v>
      </c>
      <c r="B22" s="78" t="s">
        <v>1537</v>
      </c>
      <c r="C22" s="78" t="s">
        <v>58</v>
      </c>
      <c r="D22" s="78" t="s">
        <v>4669</v>
      </c>
      <c r="E22" s="78" t="s">
        <v>64</v>
      </c>
      <c r="F22" s="78" t="s">
        <v>136</v>
      </c>
      <c r="G22" s="78" t="s">
        <v>136</v>
      </c>
      <c r="H22" s="329">
        <v>46174.0</v>
      </c>
      <c r="I22" s="329">
        <v>46175.0</v>
      </c>
      <c r="J22" s="78" t="s">
        <v>64</v>
      </c>
      <c r="K22" s="78" t="s">
        <v>4637</v>
      </c>
      <c r="L22" s="329">
        <v>46175.0</v>
      </c>
    </row>
    <row r="23">
      <c r="A23" s="78" t="s">
        <v>4633</v>
      </c>
      <c r="B23" s="78" t="s">
        <v>4296</v>
      </c>
      <c r="C23" s="78" t="s">
        <v>58</v>
      </c>
      <c r="D23" s="78" t="s">
        <v>4670</v>
      </c>
      <c r="E23" s="78" t="s">
        <v>64</v>
      </c>
      <c r="F23" s="78" t="s">
        <v>228</v>
      </c>
      <c r="G23" s="78" t="s">
        <v>228</v>
      </c>
      <c r="H23" s="329">
        <v>46174.0</v>
      </c>
      <c r="I23" s="329">
        <v>46174.0</v>
      </c>
      <c r="J23" s="78" t="s">
        <v>64</v>
      </c>
      <c r="K23" s="78" t="s">
        <v>4637</v>
      </c>
      <c r="L23" s="329">
        <v>46174.0</v>
      </c>
    </row>
    <row r="24">
      <c r="A24" s="78" t="s">
        <v>4633</v>
      </c>
      <c r="B24" s="78" t="s">
        <v>4671</v>
      </c>
      <c r="C24" s="78" t="s">
        <v>58</v>
      </c>
      <c r="D24" s="78" t="s">
        <v>4672</v>
      </c>
      <c r="E24" s="78" t="s">
        <v>4666</v>
      </c>
      <c r="F24" s="78" t="s">
        <v>93</v>
      </c>
      <c r="G24" s="78" t="s">
        <v>4673</v>
      </c>
      <c r="H24" s="329">
        <v>46174.0</v>
      </c>
      <c r="I24" s="329">
        <v>46175.0</v>
      </c>
      <c r="J24" s="78" t="s">
        <v>4667</v>
      </c>
      <c r="K24" s="78" t="s">
        <v>4668</v>
      </c>
      <c r="L24" s="78" t="s">
        <v>4668</v>
      </c>
    </row>
    <row r="25">
      <c r="A25" s="78" t="s">
        <v>4633</v>
      </c>
      <c r="B25" s="78" t="s">
        <v>4674</v>
      </c>
      <c r="C25" s="78" t="s">
        <v>58</v>
      </c>
      <c r="D25" s="78" t="s">
        <v>4675</v>
      </c>
      <c r="E25" s="78" t="s">
        <v>64</v>
      </c>
      <c r="F25" s="78" t="s">
        <v>93</v>
      </c>
      <c r="G25" s="78" t="s">
        <v>93</v>
      </c>
      <c r="H25" s="329">
        <v>46174.0</v>
      </c>
      <c r="I25" s="329">
        <v>46178.0</v>
      </c>
      <c r="J25" s="78" t="s">
        <v>64</v>
      </c>
      <c r="K25" s="78" t="s">
        <v>4637</v>
      </c>
      <c r="L25" s="329">
        <v>46178.0</v>
      </c>
    </row>
    <row r="26">
      <c r="A26" s="78" t="s">
        <v>4633</v>
      </c>
      <c r="B26" s="78" t="s">
        <v>2099</v>
      </c>
      <c r="C26" s="78" t="s">
        <v>58</v>
      </c>
      <c r="D26" s="78" t="s">
        <v>4676</v>
      </c>
      <c r="E26" s="78" t="s">
        <v>64</v>
      </c>
      <c r="F26" s="78" t="s">
        <v>163</v>
      </c>
      <c r="G26" s="78" t="s">
        <v>163</v>
      </c>
      <c r="H26" s="329">
        <v>46175.0</v>
      </c>
      <c r="I26" s="329">
        <v>46177.0</v>
      </c>
      <c r="J26" s="78" t="s">
        <v>64</v>
      </c>
      <c r="K26" s="78" t="s">
        <v>4637</v>
      </c>
      <c r="L26" s="329">
        <v>46175.0</v>
      </c>
    </row>
    <row r="27">
      <c r="A27" s="78" t="s">
        <v>4633</v>
      </c>
      <c r="B27" s="78" t="s">
        <v>4677</v>
      </c>
      <c r="C27" s="78" t="s">
        <v>57</v>
      </c>
      <c r="D27" s="78" t="s">
        <v>4678</v>
      </c>
      <c r="E27" s="78" t="s">
        <v>62</v>
      </c>
      <c r="F27" s="78" t="s">
        <v>93</v>
      </c>
      <c r="G27" s="78" t="s">
        <v>4673</v>
      </c>
      <c r="H27" s="329">
        <v>46175.0</v>
      </c>
      <c r="I27" s="329">
        <v>46175.0</v>
      </c>
      <c r="J27" s="78" t="s">
        <v>62</v>
      </c>
      <c r="K27" s="78" t="s">
        <v>4668</v>
      </c>
      <c r="L27" s="78" t="s">
        <v>4668</v>
      </c>
    </row>
    <row r="28">
      <c r="A28" s="78" t="s">
        <v>4633</v>
      </c>
      <c r="B28" s="78" t="s">
        <v>1510</v>
      </c>
      <c r="C28" s="78" t="s">
        <v>58</v>
      </c>
      <c r="D28" s="78" t="s">
        <v>4679</v>
      </c>
      <c r="E28" s="78" t="s">
        <v>64</v>
      </c>
      <c r="F28" s="78" t="s">
        <v>136</v>
      </c>
      <c r="G28" s="78" t="s">
        <v>136</v>
      </c>
      <c r="H28" s="329">
        <v>46175.0</v>
      </c>
      <c r="I28" s="329">
        <v>46175.0</v>
      </c>
      <c r="J28" s="78" t="s">
        <v>64</v>
      </c>
      <c r="K28" s="78" t="s">
        <v>4637</v>
      </c>
      <c r="L28" s="329">
        <v>46175.0</v>
      </c>
    </row>
    <row r="29">
      <c r="A29" s="78" t="s">
        <v>4633</v>
      </c>
      <c r="B29" s="78" t="s">
        <v>4680</v>
      </c>
      <c r="C29" s="78" t="s">
        <v>57</v>
      </c>
      <c r="D29" s="78" t="s">
        <v>4681</v>
      </c>
      <c r="E29" s="78" t="s">
        <v>64</v>
      </c>
      <c r="F29" s="78" t="s">
        <v>93</v>
      </c>
      <c r="G29" s="78" t="s">
        <v>93</v>
      </c>
      <c r="H29" s="329">
        <v>46175.0</v>
      </c>
      <c r="I29" s="329">
        <v>46175.0</v>
      </c>
      <c r="J29" s="78" t="s">
        <v>64</v>
      </c>
      <c r="K29" s="78" t="s">
        <v>4637</v>
      </c>
      <c r="L29" s="329">
        <v>46175.0</v>
      </c>
    </row>
    <row r="30">
      <c r="A30" s="78" t="s">
        <v>4633</v>
      </c>
      <c r="B30" s="78" t="s">
        <v>4009</v>
      </c>
      <c r="C30" s="78" t="s">
        <v>58</v>
      </c>
      <c r="D30" s="78" t="s">
        <v>4682</v>
      </c>
      <c r="E30" s="78" t="s">
        <v>64</v>
      </c>
      <c r="F30" s="78" t="s">
        <v>228</v>
      </c>
      <c r="G30" s="78" t="s">
        <v>228</v>
      </c>
      <c r="H30" s="329">
        <v>46175.0</v>
      </c>
      <c r="I30" s="329">
        <v>46175.0</v>
      </c>
      <c r="J30" s="78" t="s">
        <v>64</v>
      </c>
      <c r="K30" s="78" t="s">
        <v>4637</v>
      </c>
      <c r="L30" s="329">
        <v>46175.0</v>
      </c>
    </row>
    <row r="31">
      <c r="A31" s="78" t="s">
        <v>4633</v>
      </c>
      <c r="B31" s="78" t="s">
        <v>2046</v>
      </c>
      <c r="C31" s="78" t="s">
        <v>58</v>
      </c>
      <c r="D31" s="78" t="s">
        <v>4683</v>
      </c>
      <c r="E31" s="78" t="s">
        <v>64</v>
      </c>
      <c r="F31" s="78" t="s">
        <v>163</v>
      </c>
      <c r="G31" s="78" t="s">
        <v>163</v>
      </c>
      <c r="H31" s="329">
        <v>46175.0</v>
      </c>
      <c r="I31" s="329">
        <v>46177.0</v>
      </c>
      <c r="J31" s="78" t="s">
        <v>64</v>
      </c>
      <c r="K31" s="78" t="s">
        <v>4641</v>
      </c>
      <c r="L31" s="329">
        <v>46177.0</v>
      </c>
    </row>
    <row r="32">
      <c r="A32" s="78" t="s">
        <v>4633</v>
      </c>
      <c r="B32" s="78" t="s">
        <v>4684</v>
      </c>
      <c r="C32" s="78" t="s">
        <v>58</v>
      </c>
      <c r="D32" s="78" t="s">
        <v>4685</v>
      </c>
      <c r="E32" s="78" t="s">
        <v>64</v>
      </c>
      <c r="F32" s="78" t="s">
        <v>93</v>
      </c>
      <c r="G32" s="78" t="s">
        <v>93</v>
      </c>
      <c r="H32" s="329">
        <v>46175.0</v>
      </c>
      <c r="I32" s="329">
        <v>46178.0</v>
      </c>
      <c r="J32" s="78" t="s">
        <v>64</v>
      </c>
      <c r="K32" s="78" t="s">
        <v>4637</v>
      </c>
      <c r="L32" s="329">
        <v>46177.0</v>
      </c>
    </row>
    <row r="33">
      <c r="A33" s="78" t="s">
        <v>4633</v>
      </c>
      <c r="B33" s="78" t="s">
        <v>3994</v>
      </c>
      <c r="C33" s="78" t="s">
        <v>58</v>
      </c>
      <c r="D33" s="78" t="s">
        <v>4686</v>
      </c>
      <c r="E33" s="78" t="s">
        <v>64</v>
      </c>
      <c r="F33" s="78" t="s">
        <v>228</v>
      </c>
      <c r="G33" s="78" t="s">
        <v>228</v>
      </c>
      <c r="H33" s="329">
        <v>46175.0</v>
      </c>
      <c r="I33" s="329">
        <v>46177.0</v>
      </c>
      <c r="J33" s="78" t="s">
        <v>64</v>
      </c>
      <c r="K33" s="78" t="s">
        <v>4637</v>
      </c>
      <c r="L33" s="329">
        <v>46175.0</v>
      </c>
    </row>
    <row r="34">
      <c r="A34" s="78" t="s">
        <v>4633</v>
      </c>
      <c r="B34" s="78" t="s">
        <v>1625</v>
      </c>
      <c r="C34" s="78" t="s">
        <v>58</v>
      </c>
      <c r="D34" s="78" t="s">
        <v>4687</v>
      </c>
      <c r="E34" s="78" t="s">
        <v>64</v>
      </c>
      <c r="F34" s="78" t="s">
        <v>136</v>
      </c>
      <c r="G34" s="78" t="s">
        <v>136</v>
      </c>
      <c r="H34" s="329">
        <v>46175.0</v>
      </c>
      <c r="I34" s="329">
        <v>46175.0</v>
      </c>
      <c r="J34" s="78" t="s">
        <v>64</v>
      </c>
      <c r="K34" s="78" t="s">
        <v>4637</v>
      </c>
      <c r="L34" s="329">
        <v>46175.0</v>
      </c>
    </row>
    <row r="35">
      <c r="A35" s="78" t="s">
        <v>4633</v>
      </c>
      <c r="B35" s="78" t="s">
        <v>1673</v>
      </c>
      <c r="C35" s="78" t="s">
        <v>58</v>
      </c>
      <c r="D35" s="78" t="s">
        <v>4688</v>
      </c>
      <c r="E35" s="78" t="s">
        <v>64</v>
      </c>
      <c r="F35" s="78" t="s">
        <v>136</v>
      </c>
      <c r="G35" s="78" t="s">
        <v>136</v>
      </c>
      <c r="H35" s="329">
        <v>46175.0</v>
      </c>
      <c r="I35" s="329">
        <v>46177.0</v>
      </c>
      <c r="J35" s="78" t="s">
        <v>64</v>
      </c>
      <c r="K35" s="78" t="s">
        <v>4637</v>
      </c>
      <c r="L35" s="329">
        <v>46175.0</v>
      </c>
    </row>
    <row r="36">
      <c r="A36" s="78" t="s">
        <v>4633</v>
      </c>
      <c r="B36" s="78" t="s">
        <v>4689</v>
      </c>
      <c r="C36" s="78" t="s">
        <v>58</v>
      </c>
      <c r="D36" s="78" t="s">
        <v>4690</v>
      </c>
      <c r="E36" s="78" t="s">
        <v>64</v>
      </c>
      <c r="F36" s="78" t="s">
        <v>163</v>
      </c>
      <c r="G36" s="78" t="s">
        <v>163</v>
      </c>
      <c r="H36" s="329">
        <v>46175.0</v>
      </c>
      <c r="I36" s="329">
        <v>46177.0</v>
      </c>
      <c r="J36" s="78" t="s">
        <v>64</v>
      </c>
      <c r="K36" s="78" t="s">
        <v>4637</v>
      </c>
      <c r="L36" s="329">
        <v>46177.0</v>
      </c>
    </row>
    <row r="37">
      <c r="A37" s="78" t="s">
        <v>4633</v>
      </c>
      <c r="B37" s="78" t="s">
        <v>4691</v>
      </c>
      <c r="C37" s="78" t="s">
        <v>58</v>
      </c>
      <c r="D37" s="78" t="s">
        <v>4692</v>
      </c>
      <c r="E37" s="78" t="s">
        <v>64</v>
      </c>
      <c r="F37" s="78" t="s">
        <v>93</v>
      </c>
      <c r="G37" s="78" t="s">
        <v>93</v>
      </c>
      <c r="H37" s="329">
        <v>46175.0</v>
      </c>
      <c r="I37" s="329">
        <v>46177.0</v>
      </c>
      <c r="J37" s="78" t="s">
        <v>64</v>
      </c>
      <c r="K37" s="78" t="s">
        <v>4637</v>
      </c>
      <c r="L37" s="329">
        <v>46175.0</v>
      </c>
    </row>
    <row r="38">
      <c r="A38" s="78" t="s">
        <v>4633</v>
      </c>
      <c r="B38" s="78" t="s">
        <v>1743</v>
      </c>
      <c r="C38" s="78" t="s">
        <v>58</v>
      </c>
      <c r="D38" s="78" t="s">
        <v>4693</v>
      </c>
      <c r="E38" s="78" t="s">
        <v>64</v>
      </c>
      <c r="F38" s="78" t="s">
        <v>136</v>
      </c>
      <c r="G38" s="78" t="s">
        <v>136</v>
      </c>
      <c r="H38" s="329">
        <v>46175.0</v>
      </c>
      <c r="I38" s="329">
        <v>46178.0</v>
      </c>
      <c r="J38" s="78" t="s">
        <v>64</v>
      </c>
      <c r="K38" s="78" t="s">
        <v>4637</v>
      </c>
      <c r="L38" s="329">
        <v>46177.0</v>
      </c>
    </row>
    <row r="39">
      <c r="A39" s="78" t="s">
        <v>4633</v>
      </c>
      <c r="B39" s="78" t="s">
        <v>4694</v>
      </c>
      <c r="C39" s="78" t="s">
        <v>58</v>
      </c>
      <c r="D39" s="78" t="s">
        <v>4695</v>
      </c>
      <c r="E39" s="78" t="s">
        <v>64</v>
      </c>
      <c r="F39" s="78" t="s">
        <v>93</v>
      </c>
      <c r="G39" s="78" t="s">
        <v>93</v>
      </c>
      <c r="H39" s="329">
        <v>46175.0</v>
      </c>
      <c r="I39" s="329">
        <v>46178.0</v>
      </c>
      <c r="J39" s="78" t="s">
        <v>64</v>
      </c>
      <c r="K39" s="78" t="s">
        <v>4637</v>
      </c>
      <c r="L39" s="329">
        <v>46177.0</v>
      </c>
    </row>
    <row r="40">
      <c r="A40" s="78" t="s">
        <v>4633</v>
      </c>
      <c r="B40" s="78" t="s">
        <v>4069</v>
      </c>
      <c r="C40" s="78" t="s">
        <v>59</v>
      </c>
      <c r="D40" s="78" t="s">
        <v>4696</v>
      </c>
      <c r="E40" s="78" t="s">
        <v>64</v>
      </c>
      <c r="F40" s="78" t="s">
        <v>228</v>
      </c>
      <c r="G40" s="78" t="s">
        <v>228</v>
      </c>
      <c r="H40" s="329">
        <v>46175.0</v>
      </c>
      <c r="I40" s="329">
        <v>46177.0</v>
      </c>
      <c r="J40" s="78" t="s">
        <v>64</v>
      </c>
      <c r="K40" s="78" t="s">
        <v>4637</v>
      </c>
      <c r="L40" s="329">
        <v>46175.0</v>
      </c>
    </row>
    <row r="41">
      <c r="A41" s="78" t="s">
        <v>4633</v>
      </c>
      <c r="B41" s="78" t="s">
        <v>4697</v>
      </c>
      <c r="C41" s="78" t="s">
        <v>58</v>
      </c>
      <c r="D41" s="78" t="s">
        <v>4698</v>
      </c>
      <c r="E41" s="78" t="s">
        <v>64</v>
      </c>
      <c r="F41" s="78" t="s">
        <v>163</v>
      </c>
      <c r="G41" s="78" t="s">
        <v>163</v>
      </c>
      <c r="H41" s="329">
        <v>46175.0</v>
      </c>
      <c r="I41" s="329">
        <v>46177.0</v>
      </c>
      <c r="J41" s="78" t="s">
        <v>64</v>
      </c>
      <c r="K41" s="78" t="s">
        <v>4637</v>
      </c>
      <c r="L41" s="329">
        <v>46177.0</v>
      </c>
    </row>
    <row r="42">
      <c r="A42" s="78" t="s">
        <v>4633</v>
      </c>
      <c r="B42" s="78" t="s">
        <v>1776</v>
      </c>
      <c r="C42" s="78" t="s">
        <v>58</v>
      </c>
      <c r="D42" s="78" t="s">
        <v>4699</v>
      </c>
      <c r="E42" s="78" t="s">
        <v>4700</v>
      </c>
      <c r="F42" s="78" t="s">
        <v>136</v>
      </c>
      <c r="G42" s="78" t="s">
        <v>4717</v>
      </c>
      <c r="H42" s="329">
        <v>46175.0</v>
      </c>
      <c r="I42" s="329">
        <v>46178.0</v>
      </c>
      <c r="J42" s="78" t="s">
        <v>4667</v>
      </c>
      <c r="K42" s="78" t="s">
        <v>4668</v>
      </c>
      <c r="L42" s="78" t="s">
        <v>4668</v>
      </c>
    </row>
    <row r="43">
      <c r="A43" s="78" t="s">
        <v>4633</v>
      </c>
      <c r="B43" s="78" t="s">
        <v>1785</v>
      </c>
      <c r="C43" s="78" t="s">
        <v>58</v>
      </c>
      <c r="D43" s="78" t="s">
        <v>4701</v>
      </c>
      <c r="E43" s="78" t="s">
        <v>62</v>
      </c>
      <c r="F43" s="78" t="s">
        <v>136</v>
      </c>
      <c r="G43" s="78" t="s">
        <v>4673</v>
      </c>
      <c r="H43" s="329">
        <v>46177.0</v>
      </c>
      <c r="I43" s="329">
        <v>46177.0</v>
      </c>
      <c r="J43" s="78" t="s">
        <v>62</v>
      </c>
      <c r="K43" s="78" t="s">
        <v>4668</v>
      </c>
      <c r="L43" s="78" t="s">
        <v>4668</v>
      </c>
    </row>
    <row r="44">
      <c r="A44" s="78" t="s">
        <v>4633</v>
      </c>
      <c r="B44" s="78" t="s">
        <v>1812</v>
      </c>
      <c r="C44" s="78" t="s">
        <v>58</v>
      </c>
      <c r="D44" s="78" t="s">
        <v>4702</v>
      </c>
      <c r="E44" s="78" t="s">
        <v>64</v>
      </c>
      <c r="F44" s="78" t="s">
        <v>136</v>
      </c>
      <c r="G44" s="78" t="s">
        <v>136</v>
      </c>
      <c r="H44" s="329">
        <v>46177.0</v>
      </c>
      <c r="I44" s="329">
        <v>46177.0</v>
      </c>
      <c r="J44" s="78" t="s">
        <v>64</v>
      </c>
      <c r="K44" s="78" t="s">
        <v>4637</v>
      </c>
      <c r="L44" s="329">
        <v>46177.0</v>
      </c>
    </row>
    <row r="45">
      <c r="A45" s="78" t="s">
        <v>4633</v>
      </c>
      <c r="B45" s="78" t="s">
        <v>4703</v>
      </c>
      <c r="C45" s="78" t="s">
        <v>57</v>
      </c>
      <c r="D45" s="78" t="s">
        <v>4704</v>
      </c>
      <c r="E45" s="78" t="s">
        <v>64</v>
      </c>
      <c r="F45" s="78" t="s">
        <v>93</v>
      </c>
      <c r="G45" s="78" t="s">
        <v>93</v>
      </c>
      <c r="H45" s="329">
        <v>46177.0</v>
      </c>
      <c r="I45" s="329">
        <v>46177.0</v>
      </c>
      <c r="J45" s="78" t="s">
        <v>64</v>
      </c>
      <c r="K45" s="78" t="s">
        <v>4637</v>
      </c>
      <c r="L45" s="329">
        <v>46177.0</v>
      </c>
    </row>
    <row r="46">
      <c r="A46" s="78" t="s">
        <v>4633</v>
      </c>
      <c r="B46" s="78" t="s">
        <v>4705</v>
      </c>
      <c r="C46" s="78" t="s">
        <v>57</v>
      </c>
      <c r="D46" s="78" t="s">
        <v>4706</v>
      </c>
      <c r="E46" s="78" t="s">
        <v>64</v>
      </c>
      <c r="F46" s="78" t="s">
        <v>93</v>
      </c>
      <c r="G46" s="78" t="s">
        <v>93</v>
      </c>
      <c r="H46" s="329">
        <v>46177.0</v>
      </c>
      <c r="I46" s="329">
        <v>46178.0</v>
      </c>
      <c r="J46" s="78" t="s">
        <v>64</v>
      </c>
      <c r="K46" s="78" t="s">
        <v>4637</v>
      </c>
      <c r="L46" s="329">
        <v>46177.0</v>
      </c>
    </row>
    <row r="47">
      <c r="A47" s="78" t="s">
        <v>4633</v>
      </c>
      <c r="B47" s="78" t="s">
        <v>4073</v>
      </c>
      <c r="C47" s="78" t="s">
        <v>58</v>
      </c>
      <c r="D47" s="78" t="s">
        <v>4707</v>
      </c>
      <c r="E47" s="78" t="s">
        <v>64</v>
      </c>
      <c r="F47" s="78" t="s">
        <v>228</v>
      </c>
      <c r="G47" s="78" t="s">
        <v>228</v>
      </c>
      <c r="H47" s="329">
        <v>46177.0</v>
      </c>
      <c r="I47" s="329">
        <v>46177.0</v>
      </c>
      <c r="J47" s="78" t="s">
        <v>64</v>
      </c>
      <c r="K47" s="78" t="s">
        <v>4637</v>
      </c>
      <c r="L47" s="329">
        <v>46177.0</v>
      </c>
    </row>
    <row r="48">
      <c r="A48" s="78" t="s">
        <v>4633</v>
      </c>
      <c r="B48" s="78" t="s">
        <v>4708</v>
      </c>
      <c r="C48" s="78" t="s">
        <v>57</v>
      </c>
      <c r="D48" s="78" t="s">
        <v>4709</v>
      </c>
      <c r="E48" s="78" t="s">
        <v>64</v>
      </c>
      <c r="F48" s="78" t="s">
        <v>93</v>
      </c>
      <c r="G48" s="78" t="s">
        <v>93</v>
      </c>
      <c r="H48" s="329">
        <v>46177.0</v>
      </c>
      <c r="I48" s="329">
        <v>46178.0</v>
      </c>
      <c r="J48" s="78" t="s">
        <v>64</v>
      </c>
      <c r="K48" s="78" t="s">
        <v>4637</v>
      </c>
      <c r="L48" s="329">
        <v>46178.0</v>
      </c>
    </row>
    <row r="49">
      <c r="A49" s="78" t="s">
        <v>4633</v>
      </c>
      <c r="B49" s="78" t="s">
        <v>2218</v>
      </c>
      <c r="C49" s="78" t="s">
        <v>58</v>
      </c>
      <c r="D49" s="78" t="s">
        <v>4710</v>
      </c>
      <c r="E49" s="78" t="s">
        <v>64</v>
      </c>
      <c r="F49" s="78" t="s">
        <v>163</v>
      </c>
      <c r="G49" s="78" t="s">
        <v>163</v>
      </c>
      <c r="H49" s="329">
        <v>46177.0</v>
      </c>
      <c r="I49" s="329">
        <v>46177.0</v>
      </c>
      <c r="J49" s="78" t="s">
        <v>64</v>
      </c>
      <c r="K49" s="78" t="s">
        <v>4637</v>
      </c>
      <c r="L49" s="329">
        <v>46177.0</v>
      </c>
    </row>
    <row r="50">
      <c r="A50" s="78" t="s">
        <v>4633</v>
      </c>
      <c r="B50" s="78" t="s">
        <v>1825</v>
      </c>
      <c r="C50" s="78" t="s">
        <v>58</v>
      </c>
      <c r="D50" s="78" t="s">
        <v>4711</v>
      </c>
      <c r="E50" s="78" t="s">
        <v>64</v>
      </c>
      <c r="F50" s="78" t="s">
        <v>136</v>
      </c>
      <c r="G50" s="78" t="s">
        <v>136</v>
      </c>
      <c r="H50" s="329">
        <v>46177.0</v>
      </c>
      <c r="I50" s="329">
        <v>46178.0</v>
      </c>
      <c r="J50" s="78" t="s">
        <v>64</v>
      </c>
      <c r="K50" s="78" t="s">
        <v>4637</v>
      </c>
      <c r="L50" s="329">
        <v>46177.0</v>
      </c>
    </row>
    <row r="51">
      <c r="A51" s="78" t="s">
        <v>4633</v>
      </c>
      <c r="B51" s="78" t="s">
        <v>4712</v>
      </c>
      <c r="C51" s="78" t="s">
        <v>58</v>
      </c>
      <c r="D51" s="78" t="s">
        <v>4713</v>
      </c>
      <c r="E51" s="78" t="s">
        <v>64</v>
      </c>
      <c r="F51" s="78" t="s">
        <v>93</v>
      </c>
      <c r="G51" s="78" t="s">
        <v>93</v>
      </c>
      <c r="H51" s="329">
        <v>46177.0</v>
      </c>
      <c r="I51" s="329">
        <v>46178.0</v>
      </c>
      <c r="J51" s="78" t="s">
        <v>64</v>
      </c>
      <c r="K51" s="78" t="s">
        <v>4637</v>
      </c>
      <c r="L51" s="329">
        <v>46178.0</v>
      </c>
    </row>
    <row r="52">
      <c r="A52" s="78" t="s">
        <v>4633</v>
      </c>
      <c r="B52" s="78" t="s">
        <v>1847</v>
      </c>
      <c r="C52" s="78" t="s">
        <v>58</v>
      </c>
      <c r="D52" s="78" t="s">
        <v>4714</v>
      </c>
      <c r="E52" s="78" t="s">
        <v>64</v>
      </c>
      <c r="F52" s="78" t="s">
        <v>136</v>
      </c>
      <c r="G52" s="78" t="s">
        <v>136</v>
      </c>
      <c r="H52" s="329">
        <v>46177.0</v>
      </c>
      <c r="I52" s="329">
        <v>46177.0</v>
      </c>
      <c r="J52" s="78" t="s">
        <v>64</v>
      </c>
      <c r="K52" s="78" t="s">
        <v>4637</v>
      </c>
      <c r="L52" s="329">
        <v>46177.0</v>
      </c>
    </row>
    <row r="53">
      <c r="A53" s="78" t="s">
        <v>4633</v>
      </c>
      <c r="B53" s="78" t="s">
        <v>4715</v>
      </c>
      <c r="C53" s="78" t="s">
        <v>58</v>
      </c>
      <c r="D53" s="78" t="s">
        <v>4716</v>
      </c>
      <c r="E53" s="78" t="s">
        <v>4646</v>
      </c>
      <c r="F53" s="78" t="s">
        <v>93</v>
      </c>
      <c r="G53" s="78" t="s">
        <v>93</v>
      </c>
      <c r="H53" s="329">
        <v>46177.0</v>
      </c>
      <c r="I53" s="329">
        <v>46178.0</v>
      </c>
      <c r="J53" s="78" t="s">
        <v>62</v>
      </c>
      <c r="K53" s="78" t="s">
        <v>4637</v>
      </c>
      <c r="L53" s="329">
        <v>46178.0</v>
      </c>
    </row>
    <row r="54">
      <c r="A54" s="78" t="s">
        <v>4633</v>
      </c>
      <c r="B54" s="78" t="s">
        <v>4718</v>
      </c>
      <c r="C54" s="78" t="s">
        <v>57</v>
      </c>
      <c r="D54" s="78" t="s">
        <v>4719</v>
      </c>
      <c r="E54" s="78" t="s">
        <v>64</v>
      </c>
      <c r="F54" s="78" t="s">
        <v>93</v>
      </c>
      <c r="G54" s="78" t="s">
        <v>93</v>
      </c>
      <c r="H54" s="329">
        <v>46177.0</v>
      </c>
      <c r="I54" s="329">
        <v>46178.0</v>
      </c>
      <c r="J54" s="78" t="s">
        <v>64</v>
      </c>
      <c r="K54" s="78" t="s">
        <v>4637</v>
      </c>
      <c r="L54" s="329">
        <v>46178.0</v>
      </c>
    </row>
    <row r="55">
      <c r="A55" s="78" t="s">
        <v>4633</v>
      </c>
      <c r="B55" s="78" t="s">
        <v>4156</v>
      </c>
      <c r="C55" s="78" t="s">
        <v>58</v>
      </c>
      <c r="D55" s="78" t="s">
        <v>4720</v>
      </c>
      <c r="E55" s="78" t="s">
        <v>64</v>
      </c>
      <c r="F55" s="78" t="s">
        <v>228</v>
      </c>
      <c r="G55" s="78" t="s">
        <v>228</v>
      </c>
      <c r="H55" s="329">
        <v>46177.0</v>
      </c>
      <c r="I55" s="329">
        <v>46177.0</v>
      </c>
      <c r="J55" s="78" t="s">
        <v>64</v>
      </c>
      <c r="K55" s="78" t="s">
        <v>4637</v>
      </c>
      <c r="L55" s="329">
        <v>46177.0</v>
      </c>
    </row>
    <row r="56">
      <c r="A56" s="78" t="s">
        <v>4633</v>
      </c>
      <c r="B56" s="78" t="s">
        <v>4124</v>
      </c>
      <c r="C56" s="78" t="s">
        <v>59</v>
      </c>
      <c r="D56" s="78" t="s">
        <v>4721</v>
      </c>
      <c r="E56" s="78" t="s">
        <v>64</v>
      </c>
      <c r="F56" s="78" t="s">
        <v>228</v>
      </c>
      <c r="G56" s="78" t="s">
        <v>228</v>
      </c>
      <c r="H56" s="329">
        <v>46177.0</v>
      </c>
      <c r="I56" s="329">
        <v>46178.0</v>
      </c>
      <c r="J56" s="78" t="s">
        <v>64</v>
      </c>
      <c r="K56" s="78" t="s">
        <v>64</v>
      </c>
      <c r="L56" s="329">
        <v>46178.0</v>
      </c>
    </row>
    <row r="57">
      <c r="A57" s="78" t="s">
        <v>4633</v>
      </c>
      <c r="B57" s="78" t="s">
        <v>4134</v>
      </c>
      <c r="C57" s="78" t="s">
        <v>59</v>
      </c>
      <c r="D57" s="78" t="s">
        <v>4722</v>
      </c>
      <c r="E57" s="78" t="s">
        <v>64</v>
      </c>
      <c r="F57" s="78" t="s">
        <v>228</v>
      </c>
      <c r="G57" s="78" t="s">
        <v>228</v>
      </c>
      <c r="H57" s="329">
        <v>46177.0</v>
      </c>
      <c r="I57" s="329">
        <v>46177.0</v>
      </c>
      <c r="J57" s="78" t="s">
        <v>64</v>
      </c>
      <c r="K57" s="78" t="s">
        <v>4637</v>
      </c>
      <c r="L57" s="329">
        <v>46177.0</v>
      </c>
    </row>
    <row r="58">
      <c r="A58" s="78" t="s">
        <v>4633</v>
      </c>
      <c r="B58" s="78" t="s">
        <v>1869</v>
      </c>
      <c r="C58" s="78" t="s">
        <v>58</v>
      </c>
      <c r="D58" s="78" t="s">
        <v>4723</v>
      </c>
      <c r="E58" s="78" t="s">
        <v>64</v>
      </c>
      <c r="F58" s="78" t="s">
        <v>136</v>
      </c>
      <c r="G58" s="78" t="s">
        <v>136</v>
      </c>
      <c r="H58" s="329">
        <v>46177.0</v>
      </c>
      <c r="I58" s="329">
        <v>46178.0</v>
      </c>
      <c r="J58" s="78" t="s">
        <v>64</v>
      </c>
      <c r="K58" s="78" t="s">
        <v>4637</v>
      </c>
      <c r="L58" s="329">
        <v>46177.0</v>
      </c>
    </row>
    <row r="59">
      <c r="A59" s="78" t="s">
        <v>4633</v>
      </c>
      <c r="B59" s="78" t="s">
        <v>1893</v>
      </c>
      <c r="C59" s="78" t="s">
        <v>58</v>
      </c>
      <c r="D59" s="78" t="s">
        <v>4724</v>
      </c>
      <c r="E59" s="78" t="s">
        <v>64</v>
      </c>
      <c r="F59" s="78" t="s">
        <v>136</v>
      </c>
      <c r="G59" s="78" t="s">
        <v>136</v>
      </c>
      <c r="H59" s="329">
        <v>46177.0</v>
      </c>
      <c r="I59" s="329">
        <v>46178.0</v>
      </c>
      <c r="J59" s="78" t="s">
        <v>64</v>
      </c>
      <c r="K59" s="78" t="s">
        <v>4637</v>
      </c>
      <c r="L59" s="329">
        <v>46177.0</v>
      </c>
    </row>
    <row r="60">
      <c r="A60" s="78" t="s">
        <v>4633</v>
      </c>
      <c r="B60" s="78" t="s">
        <v>4725</v>
      </c>
      <c r="C60" s="78" t="s">
        <v>58</v>
      </c>
      <c r="D60" s="78" t="s">
        <v>4726</v>
      </c>
      <c r="E60" s="78" t="s">
        <v>64</v>
      </c>
      <c r="F60" s="78" t="s">
        <v>136</v>
      </c>
      <c r="G60" s="78" t="s">
        <v>136</v>
      </c>
      <c r="H60" s="329">
        <v>46177.0</v>
      </c>
      <c r="I60" s="329">
        <v>46178.0</v>
      </c>
      <c r="J60" s="78" t="s">
        <v>64</v>
      </c>
      <c r="K60" s="78" t="s">
        <v>4637</v>
      </c>
      <c r="L60" s="329">
        <v>46177.0</v>
      </c>
    </row>
    <row r="61">
      <c r="A61" s="78" t="s">
        <v>4633</v>
      </c>
      <c r="B61" s="78" t="s">
        <v>4727</v>
      </c>
      <c r="C61" s="78" t="s">
        <v>58</v>
      </c>
      <c r="D61" s="78" t="s">
        <v>4728</v>
      </c>
      <c r="E61" s="78" t="s">
        <v>64</v>
      </c>
      <c r="F61" s="78" t="s">
        <v>136</v>
      </c>
      <c r="G61" s="78" t="s">
        <v>136</v>
      </c>
      <c r="H61" s="329">
        <v>46177.0</v>
      </c>
      <c r="I61" s="329">
        <v>46178.0</v>
      </c>
      <c r="J61" s="78" t="s">
        <v>64</v>
      </c>
      <c r="K61" s="78" t="s">
        <v>4637</v>
      </c>
      <c r="L61" s="329">
        <v>46177.0</v>
      </c>
    </row>
    <row r="62">
      <c r="A62" s="78" t="s">
        <v>4633</v>
      </c>
      <c r="B62" s="78" t="s">
        <v>4729</v>
      </c>
      <c r="C62" s="78" t="s">
        <v>57</v>
      </c>
      <c r="D62" s="78" t="s">
        <v>4730</v>
      </c>
      <c r="E62" s="78" t="s">
        <v>64</v>
      </c>
      <c r="F62" s="78" t="s">
        <v>93</v>
      </c>
      <c r="G62" s="78" t="s">
        <v>93</v>
      </c>
      <c r="H62" s="329">
        <v>46177.0</v>
      </c>
      <c r="I62" s="329">
        <v>46178.0</v>
      </c>
      <c r="J62" s="78" t="s">
        <v>64</v>
      </c>
      <c r="K62" s="78" t="s">
        <v>4637</v>
      </c>
      <c r="L62" s="329">
        <v>46177.0</v>
      </c>
    </row>
    <row r="63">
      <c r="A63" s="78" t="s">
        <v>4633</v>
      </c>
      <c r="B63" s="78" t="s">
        <v>2699</v>
      </c>
      <c r="C63" s="78" t="s">
        <v>58</v>
      </c>
      <c r="D63" s="78" t="s">
        <v>4731</v>
      </c>
      <c r="E63" s="78" t="s">
        <v>64</v>
      </c>
      <c r="F63" s="78" t="s">
        <v>136</v>
      </c>
      <c r="G63" s="78" t="s">
        <v>136</v>
      </c>
      <c r="H63" s="329">
        <v>46177.0</v>
      </c>
      <c r="I63" s="329">
        <v>46178.0</v>
      </c>
      <c r="J63" s="78" t="s">
        <v>64</v>
      </c>
      <c r="K63" s="78" t="s">
        <v>4637</v>
      </c>
      <c r="L63" s="329">
        <v>46177.0</v>
      </c>
    </row>
    <row r="64">
      <c r="A64" s="78" t="s">
        <v>4633</v>
      </c>
      <c r="B64" s="78" t="s">
        <v>4732</v>
      </c>
      <c r="C64" s="78" t="s">
        <v>57</v>
      </c>
      <c r="D64" s="78" t="s">
        <v>4733</v>
      </c>
      <c r="E64" s="78" t="s">
        <v>64</v>
      </c>
      <c r="F64" s="78" t="s">
        <v>93</v>
      </c>
      <c r="G64" s="78" t="s">
        <v>93</v>
      </c>
      <c r="H64" s="329">
        <v>46177.0</v>
      </c>
      <c r="I64" s="329">
        <v>46178.0</v>
      </c>
      <c r="J64" s="78" t="s">
        <v>64</v>
      </c>
      <c r="K64" s="78" t="s">
        <v>4637</v>
      </c>
      <c r="L64" s="329">
        <v>46177.0</v>
      </c>
    </row>
    <row r="65">
      <c r="A65" s="78" t="s">
        <v>4633</v>
      </c>
      <c r="B65" s="78" t="s">
        <v>2751</v>
      </c>
      <c r="C65" s="78" t="s">
        <v>58</v>
      </c>
      <c r="D65" s="78" t="s">
        <v>4734</v>
      </c>
      <c r="E65" s="78" t="s">
        <v>64</v>
      </c>
      <c r="F65" s="78" t="s">
        <v>136</v>
      </c>
      <c r="G65" s="78" t="s">
        <v>136</v>
      </c>
      <c r="H65" s="329">
        <v>46177.0</v>
      </c>
      <c r="I65" s="329">
        <v>46178.0</v>
      </c>
      <c r="J65" s="78" t="s">
        <v>64</v>
      </c>
      <c r="K65" s="78" t="s">
        <v>4637</v>
      </c>
      <c r="L65" s="329">
        <v>46177.0</v>
      </c>
    </row>
    <row r="66">
      <c r="A66" s="78" t="s">
        <v>4633</v>
      </c>
      <c r="B66" s="78" t="s">
        <v>2762</v>
      </c>
      <c r="C66" s="78" t="s">
        <v>58</v>
      </c>
      <c r="D66" s="78" t="s">
        <v>4735</v>
      </c>
      <c r="E66" s="78" t="s">
        <v>64</v>
      </c>
      <c r="F66" s="78" t="s">
        <v>136</v>
      </c>
      <c r="G66" s="78" t="s">
        <v>136</v>
      </c>
      <c r="H66" s="329">
        <v>46177.0</v>
      </c>
      <c r="I66" s="329">
        <v>46178.0</v>
      </c>
      <c r="J66" s="78" t="s">
        <v>64</v>
      </c>
      <c r="K66" s="78" t="s">
        <v>4637</v>
      </c>
      <c r="L66" s="329">
        <v>46177.0</v>
      </c>
    </row>
    <row r="67">
      <c r="A67" s="78" t="s">
        <v>4633</v>
      </c>
      <c r="B67" s="78" t="s">
        <v>4736</v>
      </c>
      <c r="C67" s="78" t="s">
        <v>58</v>
      </c>
      <c r="D67" s="78" t="s">
        <v>4737</v>
      </c>
      <c r="E67" s="78" t="s">
        <v>4666</v>
      </c>
      <c r="F67" s="78" t="s">
        <v>163</v>
      </c>
      <c r="G67" s="78" t="s">
        <v>163</v>
      </c>
      <c r="H67" s="329">
        <v>46177.0</v>
      </c>
      <c r="I67" s="329">
        <v>46178.0</v>
      </c>
      <c r="J67" s="78" t="s">
        <v>4667</v>
      </c>
      <c r="K67" s="78" t="s">
        <v>4668</v>
      </c>
      <c r="L67" s="78" t="s">
        <v>4668</v>
      </c>
    </row>
    <row r="68">
      <c r="A68" s="78" t="s">
        <v>4633</v>
      </c>
      <c r="B68" s="78" t="s">
        <v>4738</v>
      </c>
      <c r="C68" s="78" t="s">
        <v>58</v>
      </c>
      <c r="D68" s="78" t="s">
        <v>4739</v>
      </c>
      <c r="E68" s="78" t="s">
        <v>4666</v>
      </c>
      <c r="F68" s="78" t="s">
        <v>93</v>
      </c>
      <c r="G68" s="78" t="s">
        <v>4673</v>
      </c>
      <c r="H68" s="329">
        <v>46177.0</v>
      </c>
      <c r="I68" s="329">
        <v>46177.0</v>
      </c>
      <c r="J68" s="78" t="s">
        <v>4667</v>
      </c>
      <c r="K68" s="78" t="s">
        <v>4668</v>
      </c>
      <c r="L68" s="78" t="s">
        <v>4668</v>
      </c>
    </row>
    <row r="69">
      <c r="A69" s="78" t="s">
        <v>4633</v>
      </c>
      <c r="B69" s="78" t="s">
        <v>4740</v>
      </c>
      <c r="C69" s="78" t="s">
        <v>58</v>
      </c>
      <c r="D69" s="78" t="s">
        <v>4741</v>
      </c>
      <c r="E69" s="78" t="s">
        <v>4646</v>
      </c>
      <c r="F69" s="78" t="s">
        <v>93</v>
      </c>
      <c r="G69" s="78" t="s">
        <v>93</v>
      </c>
      <c r="H69" s="329">
        <v>46178.0</v>
      </c>
      <c r="I69" s="329">
        <v>46178.0</v>
      </c>
      <c r="J69" s="78" t="s">
        <v>62</v>
      </c>
      <c r="K69" s="78" t="s">
        <v>4637</v>
      </c>
      <c r="L69" s="329">
        <v>46178.0</v>
      </c>
    </row>
    <row r="70">
      <c r="A70" s="78" t="s">
        <v>4633</v>
      </c>
      <c r="B70" s="78" t="s">
        <v>4742</v>
      </c>
      <c r="C70" s="78" t="s">
        <v>58</v>
      </c>
      <c r="D70" s="78" t="s">
        <v>4743</v>
      </c>
      <c r="E70" s="78" t="s">
        <v>4646</v>
      </c>
      <c r="F70" s="78" t="s">
        <v>93</v>
      </c>
      <c r="G70" s="78" t="s">
        <v>93</v>
      </c>
      <c r="H70" s="329">
        <v>46178.0</v>
      </c>
      <c r="I70" s="329">
        <v>46178.0</v>
      </c>
      <c r="J70" s="78" t="s">
        <v>62</v>
      </c>
      <c r="K70" s="78" t="s">
        <v>4637</v>
      </c>
      <c r="L70" s="329">
        <v>46178.0</v>
      </c>
    </row>
    <row r="71">
      <c r="A71" s="78" t="s">
        <v>4633</v>
      </c>
      <c r="B71" s="78" t="s">
        <v>4744</v>
      </c>
      <c r="C71" s="78" t="s">
        <v>57</v>
      </c>
      <c r="D71" s="78" t="s">
        <v>4745</v>
      </c>
      <c r="E71" s="78" t="s">
        <v>4646</v>
      </c>
      <c r="F71" s="78" t="s">
        <v>93</v>
      </c>
      <c r="G71" s="78" t="s">
        <v>93</v>
      </c>
      <c r="H71" s="329">
        <v>46178.0</v>
      </c>
      <c r="I71" s="329">
        <v>46178.0</v>
      </c>
      <c r="J71" s="78" t="s">
        <v>62</v>
      </c>
      <c r="K71" s="78" t="s">
        <v>4637</v>
      </c>
      <c r="L71" s="329">
        <v>46178.0</v>
      </c>
    </row>
    <row r="72">
      <c r="A72" s="78" t="s">
        <v>4633</v>
      </c>
      <c r="B72" s="78" t="s">
        <v>4198</v>
      </c>
      <c r="C72" s="78" t="s">
        <v>58</v>
      </c>
      <c r="D72" s="78" t="s">
        <v>4746</v>
      </c>
      <c r="E72" s="78" t="s">
        <v>64</v>
      </c>
      <c r="F72" s="78" t="s">
        <v>228</v>
      </c>
      <c r="G72" s="78" t="s">
        <v>228</v>
      </c>
      <c r="H72" s="329">
        <v>46178.0</v>
      </c>
      <c r="I72" s="329">
        <v>46178.0</v>
      </c>
      <c r="J72" s="78" t="s">
        <v>64</v>
      </c>
      <c r="K72" s="78" t="s">
        <v>64</v>
      </c>
      <c r="L72" s="329">
        <v>46178.0</v>
      </c>
    </row>
    <row r="73">
      <c r="A73" s="78" t="s">
        <v>4633</v>
      </c>
      <c r="B73" s="78" t="s">
        <v>4747</v>
      </c>
      <c r="C73" s="78" t="s">
        <v>58</v>
      </c>
      <c r="D73" s="78" t="s">
        <v>4748</v>
      </c>
      <c r="E73" s="78" t="s">
        <v>64</v>
      </c>
      <c r="F73" s="78" t="s">
        <v>93</v>
      </c>
      <c r="G73" s="78" t="s">
        <v>93</v>
      </c>
      <c r="H73" s="329">
        <v>46178.0</v>
      </c>
      <c r="I73" s="329">
        <v>46178.0</v>
      </c>
      <c r="J73" s="78" t="s">
        <v>64</v>
      </c>
      <c r="K73" s="78" t="s">
        <v>4637</v>
      </c>
      <c r="L73" s="329">
        <v>46178.0</v>
      </c>
    </row>
    <row r="74">
      <c r="A74" s="78" t="s">
        <v>4749</v>
      </c>
      <c r="B74" s="78" t="s">
        <v>4750</v>
      </c>
      <c r="C74" s="78" t="s">
        <v>58</v>
      </c>
      <c r="D74" s="78" t="s">
        <v>4751</v>
      </c>
      <c r="E74" s="78" t="s">
        <v>4646</v>
      </c>
      <c r="F74" s="78" t="s">
        <v>228</v>
      </c>
      <c r="G74" s="78" t="s">
        <v>228</v>
      </c>
      <c r="H74" s="329">
        <v>46178.0</v>
      </c>
      <c r="I74" s="329">
        <v>46178.0</v>
      </c>
      <c r="J74" s="78" t="s">
        <v>62</v>
      </c>
      <c r="K74" s="78" t="s">
        <v>4637</v>
      </c>
      <c r="L74" s="329">
        <v>46178.0</v>
      </c>
    </row>
    <row r="75">
      <c r="A75" s="78" t="s">
        <v>4633</v>
      </c>
      <c r="B75" s="78" t="s">
        <v>2391</v>
      </c>
      <c r="C75" s="78" t="s">
        <v>58</v>
      </c>
      <c r="D75" s="78" t="s">
        <v>4752</v>
      </c>
      <c r="E75" s="78" t="s">
        <v>64</v>
      </c>
      <c r="F75" s="78" t="s">
        <v>163</v>
      </c>
      <c r="G75" s="78" t="s">
        <v>163</v>
      </c>
      <c r="H75" s="329">
        <v>46178.0</v>
      </c>
      <c r="I75" s="329">
        <v>46178.0</v>
      </c>
      <c r="J75" s="78" t="s">
        <v>64</v>
      </c>
      <c r="K75" s="78" t="s">
        <v>64</v>
      </c>
      <c r="L75" s="329">
        <v>46178.0</v>
      </c>
    </row>
    <row r="76">
      <c r="A76" s="78" t="s">
        <v>4633</v>
      </c>
      <c r="B76" s="78" t="s">
        <v>4085</v>
      </c>
      <c r="C76" s="78" t="s">
        <v>58</v>
      </c>
      <c r="D76" s="78" t="s">
        <v>4753</v>
      </c>
      <c r="E76" s="78" t="s">
        <v>4666</v>
      </c>
      <c r="F76" s="78" t="s">
        <v>228</v>
      </c>
      <c r="G76" s="78" t="s">
        <v>4673</v>
      </c>
      <c r="H76" s="329">
        <v>46178.0</v>
      </c>
      <c r="I76" s="329">
        <v>46178.0</v>
      </c>
      <c r="J76" s="78" t="s">
        <v>4667</v>
      </c>
      <c r="K76" s="78" t="s">
        <v>4668</v>
      </c>
      <c r="L76" s="78" t="s">
        <v>4668</v>
      </c>
    </row>
    <row r="77">
      <c r="A77" s="78" t="s">
        <v>4633</v>
      </c>
      <c r="B77" s="78" t="s">
        <v>4754</v>
      </c>
      <c r="C77" s="78" t="s">
        <v>58</v>
      </c>
      <c r="D77" s="78" t="s">
        <v>4755</v>
      </c>
      <c r="E77" s="78" t="s">
        <v>4646</v>
      </c>
      <c r="F77" s="78" t="s">
        <v>93</v>
      </c>
      <c r="G77" s="78" t="s">
        <v>93</v>
      </c>
      <c r="H77" s="329">
        <v>46178.0</v>
      </c>
      <c r="I77" s="329">
        <v>46178.0</v>
      </c>
      <c r="J77" s="78" t="s">
        <v>62</v>
      </c>
      <c r="K77" s="78" t="s">
        <v>4637</v>
      </c>
      <c r="L77" s="329">
        <v>46178.0</v>
      </c>
    </row>
    <row r="78">
      <c r="A78" s="78" t="s">
        <v>4633</v>
      </c>
      <c r="B78" s="78" t="s">
        <v>4756</v>
      </c>
      <c r="C78" s="78" t="s">
        <v>58</v>
      </c>
      <c r="D78" s="78" t="s">
        <v>4757</v>
      </c>
      <c r="E78" s="78" t="s">
        <v>4646</v>
      </c>
      <c r="F78" s="78" t="s">
        <v>163</v>
      </c>
      <c r="G78" s="78" t="s">
        <v>163</v>
      </c>
      <c r="H78" s="329">
        <v>46178.0</v>
      </c>
      <c r="I78" s="329">
        <v>46178.0</v>
      </c>
      <c r="J78" s="78" t="s">
        <v>62</v>
      </c>
      <c r="K78" s="78" t="s">
        <v>4637</v>
      </c>
      <c r="L78" s="329">
        <v>46178.0</v>
      </c>
    </row>
    <row r="79">
      <c r="A79" s="78" t="s">
        <v>4633</v>
      </c>
      <c r="B79" s="78" t="s">
        <v>2879</v>
      </c>
      <c r="C79" s="78" t="s">
        <v>58</v>
      </c>
      <c r="D79" s="78" t="s">
        <v>4759</v>
      </c>
      <c r="E79" s="78" t="s">
        <v>4646</v>
      </c>
      <c r="F79" s="78" t="s">
        <v>136</v>
      </c>
      <c r="G79" s="78" t="s">
        <v>136</v>
      </c>
      <c r="H79" s="329">
        <v>46178.0</v>
      </c>
      <c r="I79" s="329">
        <v>46178.0</v>
      </c>
      <c r="J79" s="78" t="s">
        <v>62</v>
      </c>
      <c r="K79" s="78" t="s">
        <v>4637</v>
      </c>
      <c r="L79" s="329">
        <v>46178.0</v>
      </c>
    </row>
    <row r="80">
      <c r="A80" s="78" t="s">
        <v>4633</v>
      </c>
      <c r="B80" s="78" t="s">
        <v>4173</v>
      </c>
      <c r="C80" s="78" t="s">
        <v>58</v>
      </c>
      <c r="D80" s="78" t="s">
        <v>4760</v>
      </c>
      <c r="E80" s="78" t="s">
        <v>4646</v>
      </c>
      <c r="F80" s="78" t="s">
        <v>228</v>
      </c>
      <c r="G80" s="78" t="s">
        <v>228</v>
      </c>
      <c r="H80" s="329">
        <v>46178.0</v>
      </c>
      <c r="I80" s="329">
        <v>46178.0</v>
      </c>
      <c r="J80" s="78" t="s">
        <v>62</v>
      </c>
      <c r="K80" s="78" t="s">
        <v>4637</v>
      </c>
      <c r="L80" s="329">
        <v>46178.0</v>
      </c>
    </row>
    <row r="81">
      <c r="A81" s="78" t="s">
        <v>4633</v>
      </c>
      <c r="B81" s="78" t="s">
        <v>2363</v>
      </c>
      <c r="C81" s="78" t="s">
        <v>58</v>
      </c>
      <c r="D81" s="78" t="s">
        <v>4761</v>
      </c>
      <c r="E81" s="78" t="s">
        <v>4646</v>
      </c>
      <c r="F81" s="78" t="s">
        <v>163</v>
      </c>
      <c r="G81" s="78" t="s">
        <v>163</v>
      </c>
      <c r="H81" s="329">
        <v>46178.0</v>
      </c>
      <c r="I81" s="329">
        <v>46178.0</v>
      </c>
      <c r="J81" s="78" t="s">
        <v>62</v>
      </c>
      <c r="K81" s="78" t="s">
        <v>4637</v>
      </c>
      <c r="L81" s="329">
        <v>46178.0</v>
      </c>
    </row>
    <row r="82">
      <c r="A82" s="78" t="s">
        <v>4633</v>
      </c>
      <c r="B82" s="78" t="s">
        <v>4212</v>
      </c>
      <c r="C82" s="78" t="s">
        <v>59</v>
      </c>
      <c r="D82" s="78" t="s">
        <v>4762</v>
      </c>
      <c r="E82" s="78" t="s">
        <v>64</v>
      </c>
      <c r="F82" s="78" t="s">
        <v>228</v>
      </c>
      <c r="G82" s="78" t="s">
        <v>228</v>
      </c>
      <c r="H82" s="329">
        <v>46178.0</v>
      </c>
      <c r="I82" s="329">
        <v>46178.0</v>
      </c>
      <c r="J82" s="78" t="s">
        <v>64</v>
      </c>
      <c r="K82" s="78" t="s">
        <v>4637</v>
      </c>
      <c r="L82" s="329">
        <v>46178.0</v>
      </c>
    </row>
    <row r="83">
      <c r="A83" s="78" t="s">
        <v>4633</v>
      </c>
      <c r="B83" s="78" t="s">
        <v>4763</v>
      </c>
      <c r="C83" s="78" t="s">
        <v>57</v>
      </c>
      <c r="D83" s="78" t="s">
        <v>4764</v>
      </c>
      <c r="E83" s="78" t="s">
        <v>4646</v>
      </c>
      <c r="F83" s="78" t="s">
        <v>93</v>
      </c>
      <c r="G83" s="78" t="s">
        <v>93</v>
      </c>
      <c r="H83" s="329">
        <v>46178.0</v>
      </c>
      <c r="I83" s="329">
        <v>46178.0</v>
      </c>
      <c r="J83" s="78" t="s">
        <v>62</v>
      </c>
      <c r="K83" s="78" t="s">
        <v>4637</v>
      </c>
      <c r="L83" s="329">
        <v>46178.0</v>
      </c>
    </row>
    <row r="84">
      <c r="A84" s="78" t="s">
        <v>4633</v>
      </c>
      <c r="B84" s="78" t="s">
        <v>4765</v>
      </c>
      <c r="C84" s="78" t="s">
        <v>58</v>
      </c>
      <c r="D84" s="78" t="s">
        <v>4766</v>
      </c>
      <c r="E84" s="78" t="s">
        <v>4646</v>
      </c>
      <c r="F84" s="78" t="s">
        <v>93</v>
      </c>
      <c r="G84" s="78" t="s">
        <v>93</v>
      </c>
      <c r="H84" s="329">
        <v>46178.0</v>
      </c>
      <c r="I84" s="329">
        <v>46178.0</v>
      </c>
      <c r="J84" s="78" t="s">
        <v>62</v>
      </c>
      <c r="K84" s="78" t="s">
        <v>4637</v>
      </c>
      <c r="L84" s="329">
        <v>46178.0</v>
      </c>
    </row>
    <row r="85">
      <c r="A85" s="78" t="s">
        <v>4633</v>
      </c>
      <c r="B85" s="78" t="s">
        <v>2437</v>
      </c>
      <c r="C85" s="78" t="s">
        <v>58</v>
      </c>
      <c r="D85" s="78" t="s">
        <v>4767</v>
      </c>
      <c r="E85" s="78" t="s">
        <v>4646</v>
      </c>
      <c r="F85" s="78" t="s">
        <v>163</v>
      </c>
      <c r="G85" s="78" t="s">
        <v>163</v>
      </c>
      <c r="H85" s="329">
        <v>46178.0</v>
      </c>
      <c r="I85" s="329">
        <v>46178.0</v>
      </c>
      <c r="J85" s="78" t="s">
        <v>62</v>
      </c>
      <c r="K85" s="78" t="s">
        <v>64</v>
      </c>
      <c r="L85" s="329">
        <v>46178.0</v>
      </c>
    </row>
    <row r="86">
      <c r="A86" s="78" t="s">
        <v>4633</v>
      </c>
      <c r="B86" s="78" t="s">
        <v>4769</v>
      </c>
      <c r="C86" s="78" t="s">
        <v>58</v>
      </c>
      <c r="D86" s="78" t="s">
        <v>4770</v>
      </c>
      <c r="E86" s="78" t="s">
        <v>4646</v>
      </c>
      <c r="F86" s="78" t="s">
        <v>93</v>
      </c>
      <c r="G86" s="78" t="s">
        <v>93</v>
      </c>
      <c r="H86" s="329">
        <v>46178.0</v>
      </c>
      <c r="I86" s="329">
        <v>46178.0</v>
      </c>
      <c r="J86" s="78" t="s">
        <v>62</v>
      </c>
      <c r="K86" s="78" t="s">
        <v>4637</v>
      </c>
      <c r="L86" s="329">
        <v>46178.0</v>
      </c>
    </row>
    <row r="87">
      <c r="A87" s="78" t="s">
        <v>4633</v>
      </c>
      <c r="B87" s="78" t="s">
        <v>3754</v>
      </c>
      <c r="C87" s="78" t="s">
        <v>59</v>
      </c>
      <c r="D87" s="78" t="s">
        <v>4771</v>
      </c>
      <c r="E87" s="78" t="s">
        <v>62</v>
      </c>
      <c r="F87" s="78" t="s">
        <v>228</v>
      </c>
      <c r="G87" s="78" t="s">
        <v>4772</v>
      </c>
      <c r="H87" s="329">
        <v>46178.0</v>
      </c>
      <c r="I87" s="329">
        <v>46178.0</v>
      </c>
      <c r="J87" s="78" t="s">
        <v>62</v>
      </c>
      <c r="K87" s="78" t="s">
        <v>4668</v>
      </c>
      <c r="L87" s="78" t="s">
        <v>4668</v>
      </c>
    </row>
    <row r="88">
      <c r="A88" s="78" t="s">
        <v>4633</v>
      </c>
      <c r="B88" s="78" t="s">
        <v>2337</v>
      </c>
      <c r="C88" s="78" t="s">
        <v>59</v>
      </c>
      <c r="D88" s="78" t="s">
        <v>4773</v>
      </c>
      <c r="E88" s="78" t="s">
        <v>4646</v>
      </c>
      <c r="F88" s="78" t="s">
        <v>163</v>
      </c>
      <c r="G88" s="78" t="s">
        <v>163</v>
      </c>
      <c r="H88" s="329">
        <v>46178.0</v>
      </c>
      <c r="I88" s="329">
        <v>46178.0</v>
      </c>
      <c r="J88" s="78" t="s">
        <v>62</v>
      </c>
      <c r="K88" s="78" t="s">
        <v>4637</v>
      </c>
      <c r="L88" s="329">
        <v>46178.0</v>
      </c>
    </row>
    <row r="89">
      <c r="A89" s="78" t="s">
        <v>4633</v>
      </c>
      <c r="B89" s="78" t="s">
        <v>2931</v>
      </c>
      <c r="C89" s="78" t="s">
        <v>59</v>
      </c>
      <c r="D89" s="78" t="s">
        <v>4774</v>
      </c>
      <c r="E89" s="78" t="s">
        <v>62</v>
      </c>
      <c r="F89" s="78" t="s">
        <v>136</v>
      </c>
      <c r="G89" s="78" t="s">
        <v>4772</v>
      </c>
      <c r="H89" s="329">
        <v>46178.0</v>
      </c>
      <c r="I89" s="329">
        <v>46178.0</v>
      </c>
      <c r="J89" s="78" t="s">
        <v>62</v>
      </c>
      <c r="K89" s="78" t="s">
        <v>4668</v>
      </c>
      <c r="L89" s="78" t="s">
        <v>4668</v>
      </c>
    </row>
    <row r="90">
      <c r="A90" s="78" t="s">
        <v>4633</v>
      </c>
      <c r="B90" s="78" t="s">
        <v>4780</v>
      </c>
      <c r="C90" s="78" t="s">
        <v>57</v>
      </c>
      <c r="D90" s="78" t="s">
        <v>4781</v>
      </c>
      <c r="E90" s="78" t="s">
        <v>4666</v>
      </c>
      <c r="F90" s="78" t="s">
        <v>93</v>
      </c>
      <c r="G90" s="78" t="s">
        <v>4717</v>
      </c>
      <c r="H90" s="329">
        <v>46178.0</v>
      </c>
      <c r="I90" s="329">
        <v>46178.0</v>
      </c>
      <c r="J90" s="78" t="s">
        <v>4667</v>
      </c>
      <c r="K90" s="78" t="s">
        <v>4668</v>
      </c>
      <c r="L90" s="78" t="s">
        <v>4668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78" t="s">
        <v>4782</v>
      </c>
    </row>
  </sheetData>
  <drawing r:id="rId1"/>
</worksheet>
</file>